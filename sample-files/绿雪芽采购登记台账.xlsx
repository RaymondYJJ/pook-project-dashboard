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汇总表" sheetId="2" r:id="rId6"/>
    <sheet name="采购明细表" sheetId="3" r:id="rId7"/>
    <sheet name="金六条" sheetId="4" r:id="rId8"/>
    <sheet name="诗经" sheetId="5" r:id="rId9"/>
    <sheet name="4月13款新品" sheetId="6" r:id="rId10"/>
    <sheet name="分销发货台账" sheetId="7" r:id="rId11"/>
    <sheet name="耗材采购台账" sheetId="8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tc={CA306CDE-B4CB-484A-8474-C11185C197FE}</author>
    <author>tc={791464E3-4501-4E60-8CDF-FD4F0CC53BE3}</author>
    <author>tc={3D472B93-364F-4E72-828F-4E1956C23E35}</author>
    <author>tc={47F5DCA1-6BFB-4551-BF8F-B61858E2B852}</author>
    <author>tc={5C3CD6CC-B59A-48E3-B260-A5819A5BC7ED}</author>
    <author>tc={1C96D401-B64A-41CF-BC4F-DE484C2197A1}</author>
    <author>tc={8F0A074F-FE69-406A-B4B6-D22FE6216C6D}</author>
  </authors>
  <commentList>
    <comment ref="L2" authorId="0" shapeId="0" xr:uid="{CA306CDE-B4CB-484A-8474-C11185C197FE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L3" authorId="1" shapeId="0" xr:uid="{791464E3-4501-4E60-8CDF-FD4F0CC53BE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L4" authorId="2" shapeId="0" xr:uid="{3D472B93-364F-4E72-828F-4E1956C23E3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L9" authorId="3" shapeId="0" xr:uid="{47F5DCA1-6BFB-4551-BF8F-B61858E2B85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L10" authorId="4" shapeId="0" xr:uid="{5C3CD6CC-B59A-48E3-B260-A5819A5BC7E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L11" authorId="5" shapeId="0" xr:uid="{1C96D401-B64A-41CF-BC4F-DE484C2197A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L12" authorId="6" shapeId="0" xr:uid="{8F0A074F-FE69-406A-B4B6-D22FE6216C6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<sst xmlns="http://schemas.openxmlformats.org/spreadsheetml/2006/main" count="969" uniqueCount="969">
  <si>
    <t xml:space="preserve">  </t>
  </si>
  <si>
    <t xml:space="preserve"> </t>
  </si>
  <si>
    <t xml:space="preserve">时间</t>
  </si>
  <si>
    <t xml:space="preserve">采购数量</t>
  </si>
  <si>
    <t xml:space="preserve">采购金额</t>
  </si>
  <si>
    <t xml:space="preserve">采购OA</t>
  </si>
  <si>
    <t xml:space="preserve">是否完全入库</t>
  </si>
  <si>
    <t xml:space="preserve">入库单号</t>
  </si>
  <si>
    <t xml:space="preserve">付款oa提交时间</t>
  </si>
  <si>
    <t xml:space="preserve">应付款时间</t>
  </si>
  <si>
    <t xml:space="preserve">是否开票</t>
  </si>
  <si>
    <t xml:space="preserve">付款OA</t>
  </si>
  <si>
    <t xml:space="preserve">说明</t>
  </si>
  <si>
    <t xml:space="preserve">流程状态</t>
  </si>
  <si>
    <t xml:space="preserve">预付款</t>
  </si>
  <si>
    <t xml:space="preserve">尾款</t>
  </si>
  <si>
    <t xml:space="preserve">CGSQ-20251016-00061</t>
  </si>
  <si>
    <t xml:space="preserve">是</t>
  </si>
  <si>
    <t xml:space="preserve">611005290822401000</t>
  </si>
  <si>
    <t xml:space="preserve">SPFK-20251016-0053</t>
  </si>
  <si>
    <t xml:space="preserve">mixxhome</t>
  </si>
  <si>
    <t xml:space="preserve">已打款</t>
  </si>
  <si>
    <t xml:space="preserve">CGSQ-20250731-00148</t>
  </si>
  <si>
    <t xml:space="preserve">SPFK-20250901-0005</t>
  </si>
  <si>
    <t xml:space="preserve">商品</t>
  </si>
  <si>
    <t xml:space="preserve">CGSQ-20250807-00023</t>
  </si>
  <si>
    <t xml:space="preserve">SPFK-20250915-0058</t>
  </si>
  <si>
    <t xml:space="preserve">XMTGFY-20250919-0216</t>
  </si>
  <si>
    <t xml:space="preserve">\</t>
  </si>
  <si>
    <t xml:space="preserve">耗材，走项目费用</t>
  </si>
  <si>
    <t xml:space="preserve">CGSQ-20250902-00007</t>
  </si>
  <si>
    <t xml:space="preserve">611005077622401000
611005057322401000
611005077822401000
611005068722401000
611005068822401000</t>
  </si>
  <si>
    <t xml:space="preserve">SPFK-20251010-0012</t>
  </si>
  <si>
    <t xml:space="preserve">CGSQ-20250904-00026</t>
  </si>
  <si>
    <t xml:space="preserve">611005068522401000</t>
  </si>
  <si>
    <t xml:space="preserve">SPFK-20251010-0011</t>
  </si>
  <si>
    <t xml:space="preserve">CGSQ-20250904-00027</t>
  </si>
  <si>
    <t xml:space="preserve">611005068622401000</t>
  </si>
  <si>
    <t xml:space="preserve">CGSQ-20250915-00083</t>
  </si>
  <si>
    <t xml:space="preserve">否</t>
  </si>
  <si>
    <t xml:space="preserve">611005106822401000
611005121822401000 611005107122401000 611005373322401000 611005455022401000 611005496822401000 611005503422401000</t>
  </si>
  <si>
    <t xml:space="preserve">
30%：SPFK-20250915-0061</t>
  </si>
  <si>
    <t xml:space="preserve">金六条商品首批下单</t>
  </si>
  <si>
    <t xml:space="preserve">已付30%付款，尾款未支付</t>
  </si>
  <si>
    <t xml:space="preserve">CGSQ-20250929-00151</t>
  </si>
  <si>
    <t xml:space="preserve">611005154222401000</t>
  </si>
  <si>
    <t xml:space="preserve">SPFK-20251104-0006</t>
  </si>
  <si>
    <t xml:space="preserve">兰芷礼盒商品</t>
  </si>
  <si>
    <t xml:space="preserve">CGSQ-20251009-00003</t>
  </si>
  <si>
    <t xml:space="preserve">611005202922401000</t>
  </si>
  <si>
    <t xml:space="preserve">SPFK-20251114-0051</t>
  </si>
  <si>
    <t xml:space="preserve">缺货商品</t>
  </si>
  <si>
    <t xml:space="preserve">CGSQ-20251010-00029</t>
  </si>
  <si>
    <t xml:space="preserve">611005213022401000</t>
  </si>
  <si>
    <t xml:space="preserve">SPFK-20251114-0052</t>
  </si>
  <si>
    <t xml:space="preserve">意会</t>
  </si>
  <si>
    <t xml:space="preserve">CGSQ-20251010-00031</t>
  </si>
  <si>
    <t xml:space="preserve">611005206622401000 611005215622401000 611005263322401000 611005267722401000 611005329822401000 611005353922401000</t>
  </si>
  <si>
    <t xml:space="preserve">SPFK-20251114-0053</t>
  </si>
  <si>
    <t xml:space="preserve">双十一备货</t>
  </si>
  <si>
    <t xml:space="preserve">CGSQ-20251020-00076</t>
  </si>
  <si>
    <t xml:space="preserve">611005242222401000</t>
  </si>
  <si>
    <t xml:space="preserve">SPFK-20251126-0083</t>
  </si>
  <si>
    <t xml:space="preserve">XMTGFY-20251020-0151</t>
  </si>
  <si>
    <t xml:space="preserve">CGSQ-20251021-00078</t>
  </si>
  <si>
    <t xml:space="preserve">611005259422401000 611005267722401000 611005329822401000</t>
  </si>
  <si>
    <t xml:space="preserve">SPFK-20251126-0084</t>
  </si>
  <si>
    <t xml:space="preserve">CGSQ-20251021-00079</t>
  </si>
  <si>
    <t xml:space="preserve">611005339222401000</t>
  </si>
  <si>
    <t xml:space="preserve">SPFK-20251022-0069</t>
  </si>
  <si>
    <t xml:space="preserve">金六条5g</t>
  </si>
  <si>
    <t xml:space="preserve">预付款全额，已打款</t>
  </si>
  <si>
    <t xml:space="preserve">CGSQ-20251022-00092</t>
  </si>
  <si>
    <t xml:space="preserve">611005263122401000</t>
  </si>
  <si>
    <t xml:space="preserve">CGSQ-20251028-00114</t>
  </si>
  <si>
    <t xml:space="preserve">611005291122401000</t>
  </si>
  <si>
    <t xml:space="preserve">SPFK-20251205-0019</t>
  </si>
  <si>
    <t xml:space="preserve">CGSQ-20251103-00003</t>
  </si>
  <si>
    <t xml:space="preserve">611005331022401000 </t>
  </si>
  <si>
    <t xml:space="preserve">SPFK-20251212-0044</t>
  </si>
  <si>
    <t xml:space="preserve">CGSQ-20251111-00045</t>
  </si>
  <si>
    <t xml:space="preserve">611005359322401000</t>
  </si>
  <si>
    <t xml:space="preserve">SPFK-20251216-0048</t>
  </si>
  <si>
    <t xml:space="preserve">缺货商品下单</t>
  </si>
  <si>
    <t xml:space="preserve">XMTGFY-20251114-0174</t>
  </si>
  <si>
    <t xml:space="preserve">CGSQ-20251117-00055</t>
  </si>
  <si>
    <t xml:space="preserve">611005367522401000</t>
  </si>
  <si>
    <t xml:space="preserve">SPFK-20251225-0080</t>
  </si>
  <si>
    <t xml:space="preserve">CGSQ-20251118-00063</t>
  </si>
  <si>
    <t xml:space="preserve">611005386722401000</t>
  </si>
  <si>
    <t xml:space="preserve">新品下单</t>
  </si>
  <si>
    <t xml:space="preserve">CGSQ-20251124-00084</t>
  </si>
  <si>
    <t xml:space="preserve">611005399122401000 611005401622401000</t>
  </si>
  <si>
    <t xml:space="preserve">SPFK-20260104-0003</t>
  </si>
  <si>
    <t xml:space="preserve">XMTGFY-20251127-0320</t>
  </si>
  <si>
    <t xml:space="preserve">CGSQ-20251127-00097</t>
  </si>
  <si>
    <t xml:space="preserve"> 611005414322401000</t>
  </si>
  <si>
    <t xml:space="preserve">CGSQ-20251127-00109</t>
  </si>
  <si>
    <t xml:space="preserve">611005449322401000</t>
  </si>
  <si>
    <t xml:space="preserve">SPFK-20260114-0045</t>
  </si>
  <si>
    <t xml:space="preserve">80个牡丹王</t>
  </si>
  <si>
    <t xml:space="preserve">CGSQ-20251128-00111</t>
  </si>
  <si>
    <t xml:space="preserve">611005416022401000</t>
  </si>
  <si>
    <t xml:space="preserve">质量问题补偿免费货</t>
  </si>
  <si>
    <t xml:space="preserve">CGSQ-20251203-00019</t>
  </si>
  <si>
    <t xml:space="preserve">611005440922401000</t>
  </si>
  <si>
    <t xml:space="preserve">线下分销需求</t>
  </si>
  <si>
    <t xml:space="preserve">CGSQ-20251209-00044</t>
  </si>
  <si>
    <t xml:space="preserve">611005463022401000</t>
  </si>
  <si>
    <t xml:space="preserve">CGSQ-20251210-00053</t>
  </si>
  <si>
    <t xml:space="preserve">611005469822401000</t>
  </si>
  <si>
    <t xml:space="preserve">新品+金砖下单</t>
  </si>
  <si>
    <t xml:space="preserve">CGSQ-20251212-00066</t>
  </si>
  <si>
    <t xml:space="preserve">611005481922401000</t>
  </si>
  <si>
    <t xml:space="preserve">SPFK-20260115-0051</t>
  </si>
  <si>
    <t xml:space="preserve">冻干面</t>
  </si>
  <si>
    <t xml:space="preserve">CGSQ-20251215-00068</t>
  </si>
  <si>
    <t xml:space="preserve">611005478022401000</t>
  </si>
  <si>
    <t xml:space="preserve">SPFK-20260127-0099</t>
  </si>
  <si>
    <t xml:space="preserve">主人杯</t>
  </si>
  <si>
    <t xml:space="preserve">CGSQ-20251215-00080</t>
  </si>
  <si>
    <t xml:space="preserve">611005485022401000
611005482722401000</t>
  </si>
  <si>
    <t xml:space="preserve">缺货商品下单（删除华茶一号）</t>
  </si>
  <si>
    <t xml:space="preserve">CGSQ-20251218-00098</t>
  </si>
  <si>
    <t xml:space="preserve">611005620122401000</t>
  </si>
  <si>
    <t xml:space="preserve">SPFK-20260109-0029</t>
  </si>
  <si>
    <t xml:space="preserve">5g金六条已安排生产</t>
  </si>
  <si>
    <t xml:space="preserve">CGSQ-20251218-00102</t>
  </si>
  <si>
    <t xml:space="preserve">611005504022401000 611005503322401000</t>
  </si>
  <si>
    <t xml:space="preserve">SPFK-20260129-0107</t>
  </si>
  <si>
    <t xml:space="preserve">CGSQ-20251222-00117</t>
  </si>
  <si>
    <t xml:space="preserve">611005504322401000 611005533922401000</t>
  </si>
  <si>
    <t xml:space="preserve">5g金六条</t>
  </si>
  <si>
    <t xml:space="preserve"> CGSQ-20251222-00118</t>
  </si>
  <si>
    <t xml:space="preserve">611005504422401000 611005505222401000</t>
  </si>
  <si>
    <t xml:space="preserve">新品特级白毫+缺货</t>
  </si>
  <si>
    <t xml:space="preserve">XMTGFY-20251222-0268</t>
  </si>
  <si>
    <t xml:space="preserve">CGSQ-20251225-00141</t>
  </si>
  <si>
    <t xml:space="preserve">611005562422401000 611005657222401000 611005658022401000 611005685322401000 611005688022401000 611005729122401000 611005856522401000 611005866822401000</t>
  </si>
  <si>
    <t xml:space="preserve">SPFK-20260326-0088</t>
  </si>
  <si>
    <t xml:space="preserve">年货节备货</t>
  </si>
  <si>
    <t xml:space="preserve">CGSQ-20251225-00142</t>
  </si>
  <si>
    <t xml:space="preserve">30%：SPFK-20260427-0084</t>
  </si>
  <si>
    <t xml:space="preserve">180g19年金六条已安排生产</t>
  </si>
  <si>
    <t xml:space="preserve">CGSQ-20251225-00143</t>
  </si>
  <si>
    <t xml:space="preserve">6110055489 611005592822401000</t>
  </si>
  <si>
    <t xml:space="preserve">30个新年礼盒已做虚拟出入库</t>
  </si>
  <si>
    <t xml:space="preserve">CGSQ-20251229-00151</t>
  </si>
  <si>
    <t xml:space="preserve">611005567922401000</t>
  </si>
  <si>
    <t xml:space="preserve">SPFK-20260224-0057</t>
  </si>
  <si>
    <t xml:space="preserve">新品闻道+骐骥</t>
  </si>
  <si>
    <t xml:space="preserve">CGSQ-20251231-00170</t>
  </si>
  <si>
    <t xml:space="preserve">611006123022401000 611006198822401000</t>
  </si>
  <si>
    <t xml:space="preserve">未提货，待走付款oa</t>
  </si>
  <si>
    <t xml:space="preserve">CGSQ-20251231-00172</t>
  </si>
  <si>
    <t xml:space="preserve">611005569822401000 611005609622401000 611005614822401000</t>
  </si>
  <si>
    <t xml:space="preserve">SPFK-20260209-0030</t>
  </si>
  <si>
    <t xml:space="preserve">缺货商品+骐骥下单</t>
  </si>
  <si>
    <t xml:space="preserve">CGSQ-20260112-00036</t>
  </si>
  <si>
    <t xml:space="preserve">611005614822401000 611005620022401000</t>
  </si>
  <si>
    <t xml:space="preserve">缺货商品+150个骐骥下单+和悦总经办需求</t>
  </si>
  <si>
    <t xml:space="preserve">XMTGFY-20260113-0111</t>
  </si>
  <si>
    <t xml:space="preserve">CGSQ-20260114-00046</t>
  </si>
  <si>
    <t xml:space="preserve">611005626522401000 611005729322401000 611005818122401000  611006103122401000 611006124922401000
</t>
  </si>
  <si>
    <t xml:space="preserve">30%：SPFK-20260127-0098 70%：SPFK-20260616-0056</t>
  </si>
  <si>
    <t xml:space="preserve">新品14g牡丹王，已经发起预付30%流程</t>
  </si>
  <si>
    <t xml:space="preserve">已付预付款，尾款已申请待打款</t>
  </si>
  <si>
    <t xml:space="preserve">CGSQ-20260120-00078</t>
  </si>
  <si>
    <t xml:space="preserve">611005633022401000 611005688022401000
611005752422401000</t>
  </si>
  <si>
    <t xml:space="preserve">SPFK-20260305-0020</t>
  </si>
  <si>
    <t xml:space="preserve">CGSQ-20260120-00086</t>
  </si>
  <si>
    <t xml:space="preserve">611005685222401000 611005730322401000 611005817922401000</t>
  </si>
  <si>
    <t xml:space="preserve">30%：SPFK-20260209-0029</t>
  </si>
  <si>
    <t xml:space="preserve">新品8款诗经，已经发起预付30%流程</t>
  </si>
  <si>
    <t xml:space="preserve">CGSQ-20260120-00087</t>
  </si>
  <si>
    <t xml:space="preserve">611005633122401000</t>
  </si>
  <si>
    <t xml:space="preserve">32件九年白牡丹（京仓缺货的）</t>
  </si>
  <si>
    <t xml:space="preserve">CGSQ-20260122-00094</t>
  </si>
  <si>
    <t xml:space="preserve">611005639822401000</t>
  </si>
  <si>
    <t xml:space="preserve">CGSQ-20260123-00105</t>
  </si>
  <si>
    <t xml:space="preserve">611005652222401000</t>
  </si>
  <si>
    <t xml:space="preserve">三款新品</t>
  </si>
  <si>
    <t xml:space="preserve">CGSQ-20260203-00016</t>
  </si>
  <si>
    <t xml:space="preserve">611005688222401000 611005752322401000</t>
  </si>
  <si>
    <t xml:space="preserve">SPFK-20260306-0023</t>
  </si>
  <si>
    <t xml:space="preserve">CGSQ-20260210-00036</t>
  </si>
  <si>
    <t xml:space="preserve">611005717622401000</t>
  </si>
  <si>
    <t xml:space="preserve">CGSQ-20260212-00052</t>
  </si>
  <si>
    <t xml:space="preserve">30%：SPFK-20260224-0055 70%：SPFK-20260612-0048</t>
  </si>
  <si>
    <t xml:space="preserve">XMTGFY-20260302-0017</t>
  </si>
  <si>
    <t xml:space="preserve">CGSQ-20260305-00021</t>
  </si>
  <si>
    <t xml:space="preserve">611005781422401000</t>
  </si>
  <si>
    <t xml:space="preserve">SPFK-20260417-0053</t>
  </si>
  <si>
    <t xml:space="preserve">已走付款，待审核</t>
  </si>
  <si>
    <t xml:space="preserve"> CGSQ-20260306-00027</t>
  </si>
  <si>
    <t xml:space="preserve">611005808622401000</t>
  </si>
  <si>
    <t xml:space="preserve">新品太姥神韵礼盒84g</t>
  </si>
  <si>
    <t xml:space="preserve">CGSQ-20260312-00056</t>
  </si>
  <si>
    <t xml:space="preserve">611005821722401000</t>
  </si>
  <si>
    <t xml:space="preserve">CGSQ-20260313-00058</t>
  </si>
  <si>
    <t xml:space="preserve">611005823322401000</t>
  </si>
  <si>
    <t xml:space="preserve">赠品</t>
  </si>
  <si>
    <t xml:space="preserve">CGSQ-20260323-00114</t>
  </si>
  <si>
    <t xml:space="preserve">611005859922401000</t>
  </si>
  <si>
    <t xml:space="preserve">SPFK-20260424-0080</t>
  </si>
  <si>
    <t xml:space="preserve">CGSQ-20260326-00128</t>
  </si>
  <si>
    <t xml:space="preserve">611005926522401000</t>
  </si>
  <si>
    <t xml:space="preserve">SPFK-20260326-0087</t>
  </si>
  <si>
    <t xml:space="preserve">回收商品</t>
  </si>
  <si>
    <t xml:space="preserve">XMTGFY-20260330-0318</t>
  </si>
  <si>
    <t xml:space="preserve">CGSQ-20260402-00006</t>
  </si>
  <si>
    <t xml:space="preserve">611005910022401000 611005901222401000
</t>
  </si>
  <si>
    <t xml:space="preserve">CGSQ-20260416-00080</t>
  </si>
  <si>
    <t xml:space="preserve">611005968522401000</t>
  </si>
  <si>
    <t xml:space="preserve">SPFK-20260521-0070</t>
  </si>
  <si>
    <t xml:space="preserve">CGSQ-20260420-00093</t>
  </si>
  <si>
    <t xml:space="preserve">611005983022401000</t>
  </si>
  <si>
    <t xml:space="preserve">CGSQ-20260420-00096</t>
  </si>
  <si>
    <t xml:space="preserve">611006031022401000
</t>
  </si>
  <si>
    <t xml:space="preserve">是：30%已开</t>
  </si>
  <si>
    <t xml:space="preserve">30%：SPFK-20260429-0092</t>
  </si>
  <si>
    <t xml:space="preserve">13款新品</t>
  </si>
  <si>
    <t xml:space="preserve">CGSQ-20260421-00104</t>
  </si>
  <si>
    <t xml:space="preserve">SPFK-20260423-0074</t>
  </si>
  <si>
    <t xml:space="preserve">金六条5g采购价优惠50%，需要预付全款</t>
  </si>
  <si>
    <t xml:space="preserve">CGSQ-20260423-00126</t>
  </si>
  <si>
    <t xml:space="preserve">611005997522401000</t>
  </si>
  <si>
    <t xml:space="preserve">CGSQ-20260424-00130</t>
  </si>
  <si>
    <t xml:space="preserve">611006030822401000 611006112322401000 611006178322401000</t>
  </si>
  <si>
    <t xml:space="preserve">SPFK-20260601-0004</t>
  </si>
  <si>
    <t xml:space="preserve">9款商品</t>
  </si>
  <si>
    <t xml:space="preserve">CGSQ-20260429-00145</t>
  </si>
  <si>
    <t xml:space="preserve">611006042122401000</t>
  </si>
  <si>
    <t xml:space="preserve">4款商品：兰芷意会言茶、华芯</t>
  </si>
  <si>
    <t xml:space="preserve">CGSQ-20260507-00011</t>
  </si>
  <si>
    <t xml:space="preserve">611006077422401000</t>
  </si>
  <si>
    <t xml:space="preserve">SPFK-20260616-0057</t>
  </si>
  <si>
    <t xml:space="preserve">CGSQ-20260507-00012</t>
  </si>
  <si>
    <t xml:space="preserve">611006070122401000 611006256522401000</t>
  </si>
  <si>
    <t xml:space="preserve">618常规品备货</t>
  </si>
  <si>
    <t xml:space="preserve">待走付款oa</t>
  </si>
  <si>
    <t xml:space="preserve">CGSQ-20260507-00017</t>
  </si>
  <si>
    <t xml:space="preserve">611006213522401000</t>
  </si>
  <si>
    <t xml:space="preserve">30%：SPFK-20260511-0023 70%：SPFK-20260611-0044</t>
  </si>
  <si>
    <t xml:space="preserve">618定制品备货：诗经5g寿眉、白牡丹</t>
  </si>
  <si>
    <t xml:space="preserve">CGSQ-20260615-00043</t>
  </si>
  <si>
    <t xml:space="preserve">611006079722401000</t>
  </si>
  <si>
    <t xml:space="preserve">XMTGFY-20260511-0089</t>
  </si>
  <si>
    <t xml:space="preserve">CGSQ-20260512-00041</t>
  </si>
  <si>
    <t xml:space="preserve">611006086622401000</t>
  </si>
  <si>
    <t xml:space="preserve">品牌赠送110个山河随行壶</t>
  </si>
  <si>
    <t xml:space="preserve">无需付款</t>
  </si>
  <si>
    <t xml:space="preserve">CGSQ-20260514-00048</t>
  </si>
  <si>
    <t xml:space="preserve">611006093422401000</t>
  </si>
  <si>
    <t xml:space="preserve">CGSQ-20260515-00056</t>
  </si>
  <si>
    <t xml:space="preserve">611006100622401000</t>
  </si>
  <si>
    <t xml:space="preserve">26年的兰芷意会言茶618备货</t>
  </si>
  <si>
    <t xml:space="preserve">CGSQ-20260519-00068</t>
  </si>
  <si>
    <t xml:space="preserve">611006110922401000</t>
  </si>
  <si>
    <t xml:space="preserve">CGSQ-20260521-00085</t>
  </si>
  <si>
    <t xml:space="preserve">611006129622401000 611006177822401000</t>
  </si>
  <si>
    <t xml:space="preserve">缺货商品，此单中包含了150个14g天香牡丹王已有采购oa，本采购实际付款金额应为102766.76-2925元（150个牡丹王14g）</t>
  </si>
  <si>
    <t xml:space="preserve">CGSQ-20260528-00106</t>
  </si>
  <si>
    <t xml:space="preserve">611006175522401000</t>
  </si>
  <si>
    <t xml:space="preserve">CGSQ-20260529-00116</t>
  </si>
  <si>
    <t xml:space="preserve">预付款已开票</t>
  </si>
  <si>
    <t xml:space="preserve">30%：SPFK-20260601-0002</t>
  </si>
  <si>
    <t xml:space="preserve">新品14g牡丹王</t>
  </si>
  <si>
    <t xml:space="preserve">预付款已打款，尾款未支付</t>
  </si>
  <si>
    <t xml:space="preserve">CGSQ-20260601-00004</t>
  </si>
  <si>
    <t xml:space="preserve">611006208822401000</t>
  </si>
  <si>
    <t xml:space="preserve">CGSQ-20260604-00015</t>
  </si>
  <si>
    <t xml:space="preserve">611006213622401000</t>
  </si>
  <si>
    <t xml:space="preserve">SPFK-20260608-0033</t>
  </si>
  <si>
    <t xml:space="preserve">多生产的5g诗经，预付全款</t>
  </si>
  <si>
    <t xml:space="preserve">CGSQ-20260608-00028</t>
  </si>
  <si>
    <t xml:space="preserve">611006234022401000 611006247922401000</t>
  </si>
  <si>
    <t xml:space="preserve">CGSQ-20260618-00069</t>
  </si>
  <si>
    <t xml:space="preserve">611006263922401000 611006264422401000</t>
  </si>
  <si>
    <t xml:space="preserve">采购oa</t>
  </si>
  <si>
    <t xml:space="preserve">时间</t>
  </si>
  <si>
    <t xml:space="preserve">sap编码</t>
  </si>
  <si>
    <t xml:space="preserve">物料编码</t>
  </si>
  <si>
    <t xml:space="preserve">物料名称</t>
  </si>
  <si>
    <t xml:space="preserve">采购单价</t>
  </si>
  <si>
    <t xml:space="preserve">采购数量</t>
  </si>
  <si>
    <t xml:space="preserve">实际入库</t>
  </si>
  <si>
    <t xml:space="preserve">采购额</t>
  </si>
  <si>
    <t xml:space="preserve">余量</t>
  </si>
  <si>
    <t xml:space="preserve">1.BC.369.JY.YSSNCYLH216(22)</t>
  </si>
  <si>
    <t xml:space="preserve">369年份老茶-乙巳三年陈韵礼盒216g</t>
  </si>
  <si>
    <t xml:space="preserve">1.BC.369.JY.YSLNCYLH216(19)</t>
  </si>
  <si>
    <t xml:space="preserve">369年份老茶-乙巳六年陈韵礼盒216g</t>
  </si>
  <si>
    <t xml:space="preserve">1.BC.369.JY.YSJNCYLH216(16)</t>
  </si>
  <si>
    <t xml:space="preserve">369年份老茶-乙巳九年陈韵礼盒216g</t>
  </si>
  <si>
    <t xml:space="preserve">1.BC.JYLX.TJBMD70(18)</t>
  </si>
  <si>
    <t xml:space="preserve">金芽绿雪•2018年白牡丹礼盒70g</t>
  </si>
  <si>
    <t xml:space="preserve">1.BC.XJD.SC.WXMDLH70(21)</t>
  </si>
  <si>
    <t xml:space="preserve">万香•2021年白牡丹礼盒70g</t>
  </si>
  <si>
    <t xml:space="preserve">1.BC.LS.MD.BHYZ150(25)</t>
  </si>
  <si>
    <t xml:space="preserve">2025年明道白毫银针150g</t>
  </si>
  <si>
    <t xml:space="preserve">1.BC.LS.MD.BMD150(25)</t>
  </si>
  <si>
    <t xml:space="preserve">2025年明道白牡丹150g</t>
  </si>
  <si>
    <t xml:space="preserve">1.BC.LS.MD.LBC150(18)</t>
  </si>
  <si>
    <t xml:space="preserve">2025年明道老白茶150g</t>
  </si>
  <si>
    <t xml:space="preserve">1.BC.369.SC.SNYZLH50(22)</t>
  </si>
  <si>
    <t xml:space="preserve">369年份老茶-2025年三年陈韵白毫银针礼盒50g</t>
  </si>
  <si>
    <t xml:space="preserve">1.BC.369.SC.LNYZLH50(19)</t>
  </si>
  <si>
    <t xml:space="preserve">369年份老茶-2025年六年陈韵白毫银针礼盒50g</t>
  </si>
  <si>
    <t xml:space="preserve">1.BC.369.SC.JNYZLH50(16)</t>
  </si>
  <si>
    <t xml:space="preserve">369年份老茶-2025年九年陈韵白毫银针礼盒50g</t>
  </si>
  <si>
    <t xml:space="preserve">1.BC.369.SC.SNMDLH50(22)</t>
  </si>
  <si>
    <t xml:space="preserve">369年份老茶-2025年三年陈韵白牡丹礼盒50g</t>
  </si>
  <si>
    <t xml:space="preserve">1.BC.369.SC.LNMDLH50(19)</t>
  </si>
  <si>
    <t xml:space="preserve">369年份老茶-2025年六年陈韵白牡丹礼盒50g</t>
  </si>
  <si>
    <t xml:space="preserve">1.BC.369.SC.JNMDLH50(16)</t>
  </si>
  <si>
    <t xml:space="preserve">369年份老茶-2025年九年陈韵白牡丹礼盒50g</t>
  </si>
  <si>
    <t xml:space="preserve">1.BC.XJD.SX.TSYZ750(25)</t>
  </si>
  <si>
    <t xml:space="preserve">2025年腾蛇白毫银针750g</t>
  </si>
  <si>
    <t xml:space="preserve">5.BC.HCYH.MDLH112(25)</t>
  </si>
  <si>
    <t xml:space="preserve">华茶壹号•2025年白牡丹礼盒112g</t>
  </si>
  <si>
    <t xml:space="preserve">1.BC.369.JY.JCSNCY36(21)</t>
  </si>
  <si>
    <t xml:space="preserve">369年份老茶-甲辰三年陈韵36g</t>
  </si>
  <si>
    <t xml:space="preserve">1.BC.369.JY.JCSNCYLH216(21)</t>
  </si>
  <si>
    <t xml:space="preserve">369年份老茶-甲辰三年陈韵礼盒216g</t>
  </si>
  <si>
    <t xml:space="preserve">1.BC.369.JY.JCLNCY36(18)</t>
  </si>
  <si>
    <t xml:space="preserve">369年份老茶-甲辰六年陈韵36g</t>
  </si>
  <si>
    <t xml:space="preserve">1.BC.369.JY.JCJNCYLH216(15)</t>
  </si>
  <si>
    <t xml:space="preserve">369年份老茶-甲辰九年陈韵礼盒216g</t>
  </si>
  <si>
    <t xml:space="preserve">1.BC.369.JY.JCLZMD45(21)</t>
  </si>
  <si>
    <t xml:space="preserve">369年份老茶-甲辰龙珠白牡丹45g</t>
  </si>
  <si>
    <t xml:space="preserve">1.BC.369.JY.JCLZYZ45(21)</t>
  </si>
  <si>
    <t xml:space="preserve">369年份老茶-甲辰龙珠白毫银针45g</t>
  </si>
  <si>
    <t xml:space="preserve">1.BC.369.JY.LZLH234(22)</t>
  </si>
  <si>
    <t xml:space="preserve">2025年兰芷礼盒234g</t>
  </si>
  <si>
    <t xml:space="preserve">1.BC.369.JY.YCLH234(19)</t>
  </si>
  <si>
    <t xml:space="preserve">2025年言茶礼盒234g</t>
  </si>
  <si>
    <t xml:space="preserve">1.BC.369.JY.YHLH234(16)</t>
  </si>
  <si>
    <t xml:space="preserve">2025年意会礼盒234g</t>
  </si>
  <si>
    <t xml:space="preserve">1.BC.369.SC.LNYZLH50(18)</t>
  </si>
  <si>
    <t xml:space="preserve">369年份老茶-甲辰六年陈韵白毫银针礼盒50g</t>
  </si>
  <si>
    <t xml:space="preserve">1.BC.369.SC.JCJNCYYZ100(15)</t>
  </si>
  <si>
    <t xml:space="preserve">369年份老茶-甲辰九年陈韵白毫银针100g</t>
  </si>
  <si>
    <t xml:space="preserve">1.BC.369.SC.SNMDLH50(21)</t>
  </si>
  <si>
    <t xml:space="preserve">2024年三年陈韵白牡丹礼盒50g（甲辰年）</t>
  </si>
  <si>
    <t xml:space="preserve">1.BC.369.SC.LNMDLH50(18)</t>
  </si>
  <si>
    <t xml:space="preserve">369年份老茶-甲辰六年陈韵白牡丹礼盒50g</t>
  </si>
  <si>
    <t xml:space="preserve">1.BC.369.SC.JNMDLH50(15)</t>
  </si>
  <si>
    <t xml:space="preserve">369年份老茶-甲辰九年陈韵白牡丹礼盒50g</t>
  </si>
  <si>
    <t xml:space="preserve">1.BC.369.SC.LNYZ56</t>
  </si>
  <si>
    <t xml:space="preserve">369年份老茶-六年陈韵白毫银针56g</t>
  </si>
  <si>
    <t xml:space="preserve">1.BC.369.SC.JNYZ56</t>
  </si>
  <si>
    <t xml:space="preserve">369年份老茶-九年陈韵白毫银针56g</t>
  </si>
  <si>
    <t xml:space="preserve">1.BC.369.SC.SNMD56</t>
  </si>
  <si>
    <t xml:space="preserve">369年份老茶-三年陈韵白牡丹56g</t>
  </si>
  <si>
    <t xml:space="preserve">1.BC.DC.QLJSMD500(24)</t>
  </si>
  <si>
    <t xml:space="preserve">2024年千里江山牡丹500g</t>
  </si>
  <si>
    <t xml:space="preserve">1.BC.DC.QMR.MD400(24)</t>
  </si>
  <si>
    <t xml:space="preserve">2024年绿雪清明白牡丹400g</t>
  </si>
  <si>
    <t xml:space="preserve">1.BC.DZ.SC.WZQHLH140(16)</t>
  </si>
  <si>
    <t xml:space="preserve">万紫千红礼盒140g</t>
  </si>
  <si>
    <t xml:space="preserve">1.BC.HB.SYLH216(19)</t>
  </si>
  <si>
    <t xml:space="preserve">思源礼盒216g</t>
  </si>
  <si>
    <t xml:space="preserve">1.BC.JN.JN.CXYJLH96</t>
  </si>
  <si>
    <t xml:space="preserve">初心印记礼盒96g</t>
  </si>
  <si>
    <t xml:space="preserve">1.BC.JN.JN.SYCG500(15)</t>
  </si>
  <si>
    <t xml:space="preserve">2020年岁月长歌礼盒500g</t>
  </si>
  <si>
    <t xml:space="preserve">1.BC.LS.MD.JCJZLCLH520(21)</t>
  </si>
  <si>
    <t xml:space="preserve">甲辰•金砖礼茶礼盒520g</t>
  </si>
  <si>
    <t xml:space="preserve">1.BC.LS.MD.JZLCLH520(23)</t>
  </si>
  <si>
    <t xml:space="preserve">2023年金砖礼茶礼盒520g</t>
  </si>
  <si>
    <t xml:space="preserve">1.BC.LS.XWCSMD112(23)</t>
  </si>
  <si>
    <t xml:space="preserve">香舞春山•2023年白牡丹礼盒112g</t>
  </si>
  <si>
    <t xml:space="preserve">1.BC.XJD.1248.YZLH42(18)</t>
  </si>
  <si>
    <t xml:space="preserve">F1248-2018年白毫银针礼盒42g</t>
  </si>
  <si>
    <t xml:space="preserve">1.BC.XJD.JY.SFLCCBLH357(17)</t>
  </si>
  <si>
    <t xml:space="preserve">巳方来财茶饼礼盒357g</t>
  </si>
  <si>
    <t xml:space="preserve">1.BC.XJD.SC.QXMD280(20)</t>
  </si>
  <si>
    <t xml:space="preserve">沁心•2020年白牡丹280g</t>
  </si>
  <si>
    <t xml:space="preserve">1.BC.XJD.SC.QXMD70(20)</t>
  </si>
  <si>
    <t xml:space="preserve">沁心•2020年白牡丹70g</t>
  </si>
  <si>
    <t xml:space="preserve">1.BC.XJD.SC.QXSM70(20)</t>
  </si>
  <si>
    <t xml:space="preserve">沁心•2020年寿眉70g</t>
  </si>
  <si>
    <t xml:space="preserve">1.BC.XJD.JY.ZZLBC144(19)</t>
  </si>
  <si>
    <t xml:space="preserve">庄主的礼物•2019年老白茶礼盒144g</t>
  </si>
  <si>
    <t xml:space="preserve">1.BC.XJD.SC.ZZMD84(23)</t>
  </si>
  <si>
    <t xml:space="preserve">庄主的礼物•2023年白牡丹礼盒84g</t>
  </si>
  <si>
    <t xml:space="preserve">1.BC.XJD.SC.ZZYZ84(23)</t>
  </si>
  <si>
    <t xml:space="preserve">庄主的礼物•2023年白毫银针礼盒84g</t>
  </si>
  <si>
    <t xml:space="preserve">1.BC.XJD.SHJ.JWXHMD14(20)</t>
  </si>
  <si>
    <t xml:space="preserve">精卫小盒14g</t>
  </si>
  <si>
    <t xml:space="preserve">1.BC.XJD.SHJ.XWXHYZ14(18)</t>
  </si>
  <si>
    <t xml:space="preserve">玄武小盒14g</t>
  </si>
  <si>
    <t xml:space="preserve">1.BC.XJD.SX.ZLYZLH70(24)</t>
  </si>
  <si>
    <t xml:space="preserve">2024年真龙白毫银针礼盒70g</t>
  </si>
  <si>
    <t xml:space="preserve">1.BC.XJD.TMSYYZ120(24)</t>
  </si>
  <si>
    <t xml:space="preserve">太姥神韵•2024年白毫银针120g</t>
  </si>
  <si>
    <t xml:space="preserve">1.BC.XJD.ZSYF.MDSMLH144(21)</t>
  </si>
  <si>
    <t xml:space="preserve">2024年在水一方礼盒144g</t>
  </si>
  <si>
    <t xml:space="preserve">1.BC.ZSB.ZFGSMLH300(24)</t>
  </si>
  <si>
    <t xml:space="preserve">2024年正方罐寿眉礼盒300g</t>
  </si>
  <si>
    <t xml:space="preserve">1.BC.ZSB.ZFGMDLH300(24)</t>
  </si>
  <si>
    <t xml:space="preserve">2024年正方罐白牡丹礼盒300g</t>
  </si>
  <si>
    <t xml:space="preserve">1.BC.ZSB.ZFGYZLH150(24)</t>
  </si>
  <si>
    <t xml:space="preserve">2024年正方罐白毫银针礼盒150g</t>
  </si>
  <si>
    <t xml:space="preserve">1.BC.ZSB.ZFGYZ500(23)</t>
  </si>
  <si>
    <t xml:space="preserve">2023年正方罐白毫银针500g</t>
  </si>
  <si>
    <t xml:space="preserve">1.BC.ZSB.ZFGSMLH300</t>
  </si>
  <si>
    <t xml:space="preserve">正方罐寿眉礼盒300g</t>
  </si>
  <si>
    <t xml:space="preserve">1.BC.ZSB.ZFGMDLH300</t>
  </si>
  <si>
    <t xml:space="preserve">正方罐白牡丹礼盒300g</t>
  </si>
  <si>
    <t xml:space="preserve">1.BC.ZSB.ZFGWNSMLH300</t>
  </si>
  <si>
    <t xml:space="preserve">正方罐寿眉（五年陈韵）礼盒300g</t>
  </si>
  <si>
    <t xml:space="preserve">5.BC.HCYH.MDLH112(19)</t>
  </si>
  <si>
    <t xml:space="preserve">华茶壹号•2019年白牡丹礼盒112g</t>
  </si>
  <si>
    <t xml:space="preserve">1.BC.369.JY.YCLH357(15)</t>
  </si>
  <si>
    <t xml:space="preserve">辛丑年言茶礼盒（六年陈韵）357g</t>
  </si>
  <si>
    <t xml:space="preserve">1.BC.369.JY.YH357(09)</t>
  </si>
  <si>
    <t xml:space="preserve">戊戌年意会饼（九年陈韵）357g</t>
  </si>
  <si>
    <t xml:space="preserve">1.BC.369.JY.YHLH357(12)</t>
  </si>
  <si>
    <t xml:space="preserve">辛丑年意会礼盒（九年陈韵）357g</t>
  </si>
  <si>
    <t xml:space="preserve">1.BC.HB.TXMD500(12)</t>
  </si>
  <si>
    <t xml:space="preserve">天香金牡丹•2012年白牡丹500g</t>
  </si>
  <si>
    <t xml:space="preserve">1.BC.JYLX.MD63(16)</t>
  </si>
  <si>
    <t xml:space="preserve">2023年金芽绿雪牡丹63g</t>
  </si>
  <si>
    <t xml:space="preserve">1.BC.JYLX.YZ63(16)</t>
  </si>
  <si>
    <t xml:space="preserve">2023年金芽绿雪银针63g</t>
  </si>
  <si>
    <t xml:space="preserve">1.BC.LS.MD.JZLC600(21)</t>
  </si>
  <si>
    <t xml:space="preserve">2025年金砖礼茶600g（三年陈韵）</t>
  </si>
  <si>
    <t xml:space="preserve">1.BC.LS.XWCS70(22)</t>
  </si>
  <si>
    <t xml:space="preserve">2023年香舞春山礼盒70g</t>
  </si>
  <si>
    <t xml:space="preserve">1.BC.XJD.JY.JMDCB357(21)</t>
  </si>
  <si>
    <t xml:space="preserve">2024年静牡丹茶饼357g</t>
  </si>
  <si>
    <t xml:space="preserve">2024年静牡丹茶饼357g*5饼</t>
  </si>
  <si>
    <t xml:space="preserve">1.BC.XJD.LS.DHLH96(00)</t>
  </si>
  <si>
    <t xml:space="preserve">2023年丹华礼盒96g</t>
  </si>
  <si>
    <t xml:space="preserve">1.BC.HB.SYCB357(16)</t>
  </si>
  <si>
    <t xml:space="preserve">山韵茶饼357g</t>
  </si>
  <si>
    <t xml:space="preserve">1.BC.HB.HXFSB357(16)</t>
  </si>
  <si>
    <t xml:space="preserve">虎啸风生饼357g</t>
  </si>
  <si>
    <t xml:space="preserve">1.BC.HB.XYLH357(08)</t>
  </si>
  <si>
    <t xml:space="preserve">雪印礼盒357g</t>
  </si>
  <si>
    <t xml:space="preserve">1.BC.DZ.JY.FSCB357</t>
  </si>
  <si>
    <t xml:space="preserve">富山茶饼357g</t>
  </si>
  <si>
    <t xml:space="preserve">1.BC.369.JY.YC357(14)</t>
  </si>
  <si>
    <t xml:space="preserve">庚子年言茶饼（六年陈韵）357g</t>
  </si>
  <si>
    <t xml:space="preserve">1.BC.369.JY.YH357(11)</t>
  </si>
  <si>
    <t xml:space="preserve">庚子年意会饼（九年陈韵）357g</t>
  </si>
  <si>
    <t xml:space="preserve">1.BC.369.JY.LZ357(18)</t>
  </si>
  <si>
    <t xml:space="preserve">辛丑年兰芷饼（三年陈韵）357g</t>
  </si>
  <si>
    <t xml:space="preserve">辛丑年兰芷饼（三年陈韵）357g*6饼</t>
  </si>
  <si>
    <t xml:space="preserve">1.BC.369.JY.YCLH357(17)</t>
  </si>
  <si>
    <t xml:space="preserve">癸卯年言茶礼盒（六年陈韵）357g</t>
  </si>
  <si>
    <t xml:space="preserve">1.BC.HB.STYHYZ500(24)</t>
  </si>
  <si>
    <t xml:space="preserve">生态一号白毫银针500g</t>
  </si>
  <si>
    <t xml:space="preserve">1.BC.ZSB.ZFGYZLH500(24)</t>
  </si>
  <si>
    <t xml:space="preserve">2024年正方罐白毫银针礼盒500g</t>
  </si>
  <si>
    <t xml:space="preserve">1.BC.HB.ZXYZ(15)</t>
  </si>
  <si>
    <t xml:space="preserve">甄稀•2015年白毫银针100g</t>
  </si>
  <si>
    <t xml:space="preserve">1.BC.XJD.SC.TMYZLH75(24)</t>
  </si>
  <si>
    <t xml:space="preserve">太姥银针•2024年白毫银针礼盒75g</t>
  </si>
  <si>
    <t xml:space="preserve">1.BC.XJD.JY.SYMXCBLH357(19)</t>
  </si>
  <si>
    <t xml:space="preserve">岁月铭心茶饼礼盒357g</t>
  </si>
  <si>
    <t xml:space="preserve">1.BC.DC.ZYC.YZ120(17)</t>
  </si>
  <si>
    <t xml:space="preserve">绿雪芽庄园茶工坊•2017年白毫银针120g</t>
  </si>
  <si>
    <t xml:space="preserve">1.BC.XJD.TC.YZ500(25)</t>
  </si>
  <si>
    <t xml:space="preserve">2025年头採白毫银针500g</t>
  </si>
  <si>
    <t xml:space="preserve">1.BC.ZSB.ZFGYZLH500(25)</t>
  </si>
  <si>
    <t xml:space="preserve">2025年正方罐白毫银针礼盒500g</t>
  </si>
  <si>
    <t xml:space="preserve">1.BC.ZSB.ZFGMDLH300(25)</t>
  </si>
  <si>
    <t xml:space="preserve">2025年正方罐白牡丹礼盒300g</t>
  </si>
  <si>
    <t xml:space="preserve">1.BC.ZSB.ZFGSMLH300(25)</t>
  </si>
  <si>
    <t xml:space="preserve">2025年正方罐寿眉礼盒300g</t>
  </si>
  <si>
    <t xml:space="preserve">1.BC.LS.JQ.HYLH296(19)</t>
  </si>
  <si>
    <t xml:space="preserve">2023年和悦礼盒296g</t>
  </si>
  <si>
    <t xml:space="preserve">4.1.266</t>
  </si>
  <si>
    <t xml:space="preserve">绿雪生活茶具礼盒-B（成套）</t>
  </si>
  <si>
    <t xml:space="preserve">物料</t>
  </si>
  <si>
    <t xml:space="preserve">绿雪芽通用拉链袋（绿色）</t>
  </si>
  <si>
    <t xml:space="preserve">绿雪芽天青色单饼盒通用手提袋</t>
  </si>
  <si>
    <t xml:space="preserve">绿雪芽外箱防盗标</t>
  </si>
  <si>
    <t xml:space="preserve">绿雪芽胶带</t>
  </si>
  <si>
    <t xml:space="preserve">淘宝箱（大）</t>
  </si>
  <si>
    <t xml:space="preserve">淘宝箱（小）</t>
  </si>
  <si>
    <t xml:space="preserve">1.BC.HB.SM500(18)</t>
  </si>
  <si>
    <t xml:space="preserve">老寿眉•2018年寿眉500g</t>
  </si>
  <si>
    <t xml:space="preserve">1.BC.LS.MD.JZLCLH288(20)</t>
  </si>
  <si>
    <t xml:space="preserve">2025年金砖礼茶礼盒288g</t>
  </si>
  <si>
    <t xml:space="preserve">1.BC.DC.QMR.YZLH50(25)</t>
  </si>
  <si>
    <t xml:space="preserve">2025年绿雪清明银针礼盒50g</t>
  </si>
  <si>
    <t xml:space="preserve">1.BC.DC.QMR.MDLH50(25)</t>
  </si>
  <si>
    <t xml:space="preserve">2025年绿雪清明牡丹礼盒50g</t>
  </si>
  <si>
    <t xml:space="preserve">1.BC.LS.MD.JZLC36(20)</t>
  </si>
  <si>
    <t xml:space="preserve">2025年金砖礼茶36g</t>
  </si>
  <si>
    <t xml:space="preserve">绿雪芽-金芽绿雪2018年白牡丹14g样包</t>
  </si>
  <si>
    <t xml:space="preserve">1.BC.JLT.JY.SM180(16)</t>
  </si>
  <si>
    <t xml:space="preserve">金六条•2016年紧压寿眉180g</t>
  </si>
  <si>
    <t xml:space="preserve">1.BC.JLT.JY.SMXH5(19)</t>
  </si>
  <si>
    <t xml:space="preserve">金六条•2019年紧压寿眉5g</t>
  </si>
  <si>
    <t xml:space="preserve">1.BC.JLT.JY.SM180(19)</t>
  </si>
  <si>
    <t xml:space="preserve">金六条•2019年紧压寿眉180g</t>
  </si>
  <si>
    <t xml:space="preserve">1.BC.JLT.JY.SM360(19)</t>
  </si>
  <si>
    <t xml:space="preserve">金六条•2019年紧压寿眉360g</t>
  </si>
  <si>
    <t xml:space="preserve">1.BC.JLT.JY.SM360(22)</t>
  </si>
  <si>
    <t xml:space="preserve">金六条•2022年紧压寿眉360g</t>
  </si>
  <si>
    <t xml:space="preserve">1.BC.JLT.JY.SM240(20)</t>
  </si>
  <si>
    <t xml:space="preserve">金六条•2020年寿眉Pro240g</t>
  </si>
  <si>
    <t xml:space="preserve">1.BC.369.JY.YHLH357(14)</t>
  </si>
  <si>
    <t xml:space="preserve">癸卯年意会礼盒（九年陈韵）357g</t>
  </si>
  <si>
    <t xml:space="preserve">4.1.308</t>
  </si>
  <si>
    <t xml:space="preserve">主人杯</t>
  </si>
  <si>
    <t xml:space="preserve">1.BC.LS.MD.BMD14(25)</t>
  </si>
  <si>
    <t xml:space="preserve">2025年明道白牡丹14g</t>
  </si>
  <si>
    <t xml:space="preserve">5.BC.HCYH.MD14(25)</t>
  </si>
  <si>
    <t xml:space="preserve">华茶壹号2025年白牡丹14g样包</t>
  </si>
  <si>
    <t xml:space="preserve">太姥神韵2024年白毫银针120g</t>
  </si>
  <si>
    <t xml:space="preserve">太姥银针2024年白毫银针礼盒75g</t>
  </si>
  <si>
    <t xml:space="preserve">沁心2020年寿眉70g</t>
  </si>
  <si>
    <t xml:space="preserve">金芽绿雪2018年白牡丹礼盒70g</t>
  </si>
  <si>
    <t xml:space="preserve">1.BC.ZSB.ZFGMD300(23)</t>
  </si>
  <si>
    <t xml:space="preserve">2023年正方罐白牡丹300g</t>
  </si>
  <si>
    <t xml:space="preserve">金芽绿雪2018年白牡丹14g样包</t>
  </si>
  <si>
    <t xml:space="preserve">4.1.296</t>
  </si>
  <si>
    <t xml:space="preserve">精卫空礼盒</t>
  </si>
  <si>
    <t xml:space="preserve">4.1.297</t>
  </si>
  <si>
    <t xml:space="preserve">玄武空礼盒</t>
  </si>
  <si>
    <t xml:space="preserve">190. 40</t>
  </si>
  <si>
    <t xml:space="preserve">甲辰金砖礼茶礼盒520g</t>
  </si>
  <si>
    <t xml:space="preserve">CGSQ-20251118-00063</t>
  </si>
  <si>
    <t xml:space="preserve">1.BC.HB.TXMD500(17)</t>
  </si>
  <si>
    <t xml:space="preserve">天香金牡丹•2017年白牡丹500g</t>
  </si>
  <si>
    <t xml:space="preserve">1.BC.HB.TXMDW500(25)</t>
  </si>
  <si>
    <t xml:space="preserve">天香牡丹王•2025年白牡丹500g</t>
  </si>
  <si>
    <t xml:space="preserve">1.BC.DC.ZYC.YZ300(25)</t>
  </si>
  <si>
    <t xml:space="preserve">2025年绿雪芽庄园茶-白毫银针300g</t>
  </si>
  <si>
    <t xml:space="preserve">1.BC.DC.ZYC.MD300(25)</t>
  </si>
  <si>
    <t xml:space="preserve">2025年绿雪芽庄园茶-白牡丹300g</t>
  </si>
  <si>
    <t xml:space="preserve">1.BC.DC.ZYC.SM300(25)</t>
  </si>
  <si>
    <t xml:space="preserve">2025年绿雪芽庄园茶-寿眉300g</t>
  </si>
  <si>
    <t xml:space="preserve">CGSQ-20251209-00044</t>
  </si>
  <si>
    <t xml:space="preserve">\</t>
  </si>
  <si>
    <t xml:space="preserve">2025年明道白毫银针14g</t>
  </si>
  <si>
    <t xml:space="preserve">CGSQ-20251210-00053</t>
  </si>
  <si>
    <t xml:space="preserve">1.BC.JB.JYYYYZLH100(25)</t>
  </si>
  <si>
    <t xml:space="preserve">金芽玉叶•白毫银针礼盒100g</t>
  </si>
  <si>
    <t xml:space="preserve">1.BC.JB.JYYYMDLH200(20)</t>
  </si>
  <si>
    <t xml:space="preserve">金芽玉叶•白牡丹礼盒200g</t>
  </si>
  <si>
    <t xml:space="preserve">1.BC.JB.JYYYSMLH200(20)</t>
  </si>
  <si>
    <t xml:space="preserve">金芽玉叶•寿眉礼盒200g</t>
  </si>
  <si>
    <t xml:space="preserve">CGSQ-20251212-00066</t>
  </si>
  <si>
    <t xml:space="preserve">茶养生活·冻干拌面</t>
  </si>
  <si>
    <t xml:space="preserve">CGSQ-20251215-00068</t>
  </si>
  <si>
    <t xml:space="preserve">CGSQ-20251215-00080</t>
  </si>
  <si>
    <t xml:space="preserve">甄稀2015年白毫银针100g</t>
  </si>
  <si>
    <t xml:space="preserve">天香金牡丹2012年白牡丹500g</t>
  </si>
  <si>
    <t xml:space="preserve">香舞春山2023年白牡丹礼盒112g</t>
  </si>
  <si>
    <t xml:space="preserve">CGSQ-20251218-00098</t>
  </si>
  <si>
    <t xml:space="preserve">CGSQ-20251218-00102</t>
  </si>
  <si>
    <t xml:space="preserve">2025年明道老白茶14g</t>
  </si>
  <si>
    <t xml:space="preserve">CGSQ-20251222-00117</t>
  </si>
  <si>
    <t xml:space="preserve"> CGSQ-20251222-00118</t>
  </si>
  <si>
    <t xml:space="preserve">1.BC.XJD.SC.TJYZ84(18)</t>
  </si>
  <si>
    <t xml:space="preserve">绿雪芽•2018年特级白毫银针礼盒84g</t>
  </si>
  <si>
    <t xml:space="preserve">/</t>
  </si>
  <si>
    <t xml:space="preserve">金芽雪.2018年白牡丹14g</t>
  </si>
  <si>
    <t xml:space="preserve">CGSQ-20251225-00141</t>
  </si>
  <si>
    <t xml:space="preserve">品牌无货，实际入库121</t>
  </si>
  <si>
    <t xml:space="preserve">华茶壹号2025年白牡丹礼盒112g</t>
  </si>
  <si>
    <t xml:space="preserve">CGSQ-20251229-00151</t>
  </si>
  <si>
    <t xml:space="preserve">1.BC.DZ.JY.WDLH210(16)</t>
  </si>
  <si>
    <t xml:space="preserve">闻道礼盒210g</t>
  </si>
  <si>
    <t xml:space="preserve">1.BC.XJD.JY.QJCBLH357(21)</t>
  </si>
  <si>
    <t xml:space="preserve">骐骥茶饼礼盒357g</t>
  </si>
  <si>
    <t xml:space="preserve">CGSQ-20251231-00170</t>
  </si>
  <si>
    <t xml:space="preserve">CGSQ-20251231-00172</t>
  </si>
  <si>
    <t xml:space="preserve">CGSQ-20260112-00036</t>
  </si>
  <si>
    <t xml:space="preserve">万香2021年白牡丹礼盒70g</t>
  </si>
  <si>
    <t xml:space="preserve">1.BC.LS.MD.LBC14(18)</t>
  </si>
  <si>
    <t xml:space="preserve">2025年明道老白茶14g样包</t>
  </si>
  <si>
    <t xml:space="preserve">CGSQ-20260114-00046</t>
  </si>
  <si>
    <t xml:space="preserve">1.BC.HB.TXMDW14(25)</t>
  </si>
  <si>
    <t xml:space="preserve">天香牡丹王•2025年白牡丹14g</t>
  </si>
  <si>
    <t xml:space="preserve">CGSQ-20260120-00078</t>
  </si>
  <si>
    <t xml:space="preserve">CGSQ-20260120-00086</t>
  </si>
  <si>
    <t xml:space="preserve">诗经·风 2025年一级寿眉 5g</t>
  </si>
  <si>
    <t xml:space="preserve">诗经·雅 2025年一级白牡丹 5g</t>
  </si>
  <si>
    <t xml:space="preserve">诗经·颂 2025年一级白毫银针5g</t>
  </si>
  <si>
    <t xml:space="preserve">诗经风雅颂试饮装 15g 
（2025年一级白毫银针5g+2025年一级白牡丹5g+
2025年一级寿眉5g）</t>
  </si>
  <si>
    <t xml:space="preserve">诗经-风 2025年一级寿眉 100g</t>
  </si>
  <si>
    <t xml:space="preserve">诗经-雅 2025年一级白牡丹50g</t>
  </si>
  <si>
    <t xml:space="preserve">诗经-颂 2025年一级白毫银针35g</t>
  </si>
  <si>
    <t xml:space="preserve">诗经风雅颂 礼盒装135g</t>
  </si>
  <si>
    <t xml:space="preserve">CGSQ-20260120-00087</t>
  </si>
  <si>
    <t xml:space="preserve">1.BC.369.SC.JNMDLH50(16) </t>
  </si>
  <si>
    <t xml:space="preserve"> 369年份老茶-2025年九年陈韵白牡丹礼盒50g</t>
  </si>
  <si>
    <t xml:space="preserve">CGSQ-20260122-00094</t>
  </si>
  <si>
    <t xml:space="preserve">CGSQ-20260123-00105</t>
  </si>
  <si>
    <t xml:space="preserve">2026年和悦礼盒200g</t>
  </si>
  <si>
    <t xml:space="preserve">龙韵香茶36g</t>
  </si>
  <si>
    <t xml:space="preserve">金芽玉叶•龙珠&amp;闷杯礼盒108g</t>
  </si>
  <si>
    <t xml:space="preserve">CGSQ-20260203-00016</t>
  </si>
  <si>
    <t xml:space="preserve">CGSQ-20260210-00036</t>
  </si>
  <si>
    <t xml:space="preserve">CGSQ-20260305-00021</t>
  </si>
  <si>
    <t xml:space="preserve">CGSQ-20260306-00027</t>
  </si>
  <si>
    <t xml:space="preserve">1.BC.XJD.TMSYLH84(22)</t>
  </si>
  <si>
    <t xml:space="preserve">2025年太姥神韵礼盒84g</t>
  </si>
  <si>
    <t xml:space="preserve">CGSQ-20260312-00056</t>
  </si>
  <si>
    <t xml:space="preserve">CGSQ-20260313-00058</t>
  </si>
  <si>
    <t xml:space="preserve">双核智能泡茶炉</t>
  </si>
  <si>
    <t xml:space="preserve">山河随行壶450ml</t>
  </si>
  <si>
    <t xml:space="preserve">CGSQ-20260323-00114</t>
  </si>
  <si>
    <t xml:space="preserve">CGSQ-20260326-00128</t>
  </si>
  <si>
    <t xml:space="preserve">1.BC.HB.JPQZLSLH300(18)</t>
  </si>
  <si>
    <t xml:space="preserve">2021年简朴亲真-乐山礼盒300g</t>
  </si>
  <si>
    <t xml:space="preserve">1.BC.HB.LXCCYXCS(22)</t>
  </si>
  <si>
    <t xml:space="preserve">绿雪茶仓-一箱传世2022年礼盒2600g（天青色）</t>
  </si>
  <si>
    <t xml:space="preserve">5.BC.HCYH.MDLHHB112(19)</t>
  </si>
  <si>
    <t xml:space="preserve">华茶壹号•2019年白牡丹礼盒112g（红标版）</t>
  </si>
  <si>
    <t xml:space="preserve">1.BC.XJD.TMSYMD250(24)</t>
  </si>
  <si>
    <t xml:space="preserve">太姥神韵•2024年白牡丹250g（电商）</t>
  </si>
  <si>
    <t xml:space="preserve">CGSQ-20260402-00006</t>
  </si>
  <si>
    <t xml:space="preserve">CGSQ-20260416-00080</t>
  </si>
  <si>
    <t xml:space="preserve">沁心2020年白牡丹70g</t>
  </si>
  <si>
    <t xml:space="preserve">CGSQ-20260420-00093</t>
  </si>
  <si>
    <t xml:space="preserve">CGSQ-20260423-00126</t>
  </si>
  <si>
    <t xml:space="preserve">CGSQ-20260424-00130</t>
  </si>
  <si>
    <t xml:space="preserve">1.BC.JYLX.TJBMD70(19)</t>
  </si>
  <si>
    <t xml:space="preserve">金芽绿雪•2019年白牡丹礼盒70g</t>
  </si>
  <si>
    <t xml:space="preserve">1.BC.XJD.SC.WXMDLH60(22)</t>
  </si>
  <si>
    <t xml:space="preserve">万香•2022年白牡丹礼盒60g</t>
  </si>
  <si>
    <t xml:space="preserve">1.BC.XJD.SC.SSMD10(25)</t>
  </si>
  <si>
    <t xml:space="preserve">森蔎•2025年白牡丹10g</t>
  </si>
  <si>
    <t xml:space="preserve">1.BC.XJD.SC.ZZYZ10(17)</t>
  </si>
  <si>
    <t xml:space="preserve">至臻•2017年白毫银针10g</t>
  </si>
  <si>
    <t xml:space="preserve">1.BC.XJD.SC.ZZMD10(17)</t>
  </si>
  <si>
    <t xml:space="preserve">至臻•2017年白牡丹10g</t>
  </si>
  <si>
    <t xml:space="preserve">1.BC.XJD.SC.QXMD50(21)</t>
  </si>
  <si>
    <t xml:space="preserve">沁心•2021年白牡丹50g</t>
  </si>
  <si>
    <t xml:space="preserve">1.BC.XJD.SC.QXMD200(21)</t>
  </si>
  <si>
    <t xml:space="preserve">沁心•2021年白牡丹200g</t>
  </si>
  <si>
    <t xml:space="preserve">1.BC.XJD.SC.QXSM50(21)</t>
  </si>
  <si>
    <t xml:space="preserve">沁心•2021年寿眉50g</t>
  </si>
  <si>
    <t xml:space="preserve">1.BC.XJD.SC.QXSM200(21)</t>
  </si>
  <si>
    <t xml:space="preserve">沁心•2021年寿眉200g</t>
  </si>
  <si>
    <t xml:space="preserve">金芽绿雪·2019年白牡丹14g</t>
  </si>
  <si>
    <t xml:space="preserve">CGSQ-20260429-00145</t>
  </si>
  <si>
    <t xml:space="preserve">2026年兰芷礼盒234g</t>
  </si>
  <si>
    <t xml:space="preserve">2026年言茶礼盒234g</t>
  </si>
  <si>
    <t xml:space="preserve">2026年意会礼盒234g</t>
  </si>
  <si>
    <t xml:space="preserve">华茶中芯礼盒160g</t>
  </si>
  <si>
    <t xml:space="preserve">CGSQ-20260507-00011</t>
  </si>
  <si>
    <t xml:space="preserve">1.BC.JB.JYYYLZLH108(20)</t>
  </si>
  <si>
    <t xml:space="preserve">CGSQ-20260507-00012</t>
  </si>
  <si>
    <t xml:space="preserve">CGSQ-20260615-00043</t>
  </si>
  <si>
    <t xml:space="preserve">CGSQ-20260512-00041</t>
  </si>
  <si>
    <t xml:space="preserve">CGSQ-20260514-00048</t>
  </si>
  <si>
    <t xml:space="preserve">CGSQ-20260515-00056</t>
  </si>
  <si>
    <t xml:space="preserve">CGSQ-20260519-00068</t>
  </si>
  <si>
    <t xml:space="preserve">CGSQ-20260521-00085</t>
  </si>
  <si>
    <t xml:space="preserve">CGSQ-20260528-00106</t>
  </si>
  <si>
    <t xml:space="preserve">CGSQ-20260529-00116</t>
  </si>
  <si>
    <t xml:space="preserve">CGSQ-20260601-00004</t>
  </si>
  <si>
    <t xml:space="preserve">521•2019年紧压白茶礼盒240g</t>
  </si>
  <si>
    <t xml:space="preserve">CGSQ-20260608-00028</t>
  </si>
  <si>
    <t xml:space="preserve">CGSQ-20260618-00069</t>
  </si>
  <si>
    <t xml:space="preserve">2026/6/18</t>
  </si>
  <si>
    <t xml:space="preserve">序号</t>
  </si>
  <si>
    <t xml:space="preserve">采购oa</t>
  </si>
  <si>
    <t xml:space="preserve">SAP编码</t>
  </si>
  <si>
    <t xml:space="preserve">品名</t>
  </si>
  <si>
    <t xml:space="preserve">成本</t>
  </si>
  <si>
    <t xml:space="preserve">零售价</t>
  </si>
  <si>
    <t xml:space="preserve">箱规</t>
  </si>
  <si>
    <t xml:space="preserve">总量</t>
  </si>
  <si>
    <t xml:space="preserve">第一批</t>
  </si>
  <si>
    <t xml:space="preserve">第二批</t>
  </si>
  <si>
    <t xml:space="preserve"> 第三批 </t>
  </si>
  <si>
    <t xml:space="preserve"> 第四批 </t>
  </si>
  <si>
    <t xml:space="preserve"> 第五批 </t>
  </si>
  <si>
    <t xml:space="preserve"> 第六批 </t>
  </si>
  <si>
    <t xml:space="preserve"> 第七批 </t>
  </si>
  <si>
    <t xml:space="preserve"> 第八批 </t>
  </si>
  <si>
    <t xml:space="preserve"> 第九批 </t>
  </si>
  <si>
    <t xml:space="preserve"> 第十批 </t>
  </si>
  <si>
    <t xml:space="preserve"> 第十一批 </t>
  </si>
  <si>
    <t xml:space="preserve"> 第十二批 </t>
  </si>
  <si>
    <t xml:space="preserve"> 第十三批 </t>
  </si>
  <si>
    <t xml:space="preserve"> 第十四批 </t>
  </si>
  <si>
    <t xml:space="preserve"> 第十五批 </t>
  </si>
  <si>
    <t xml:space="preserve"> 第十六批 </t>
  </si>
  <si>
    <t xml:space="preserve"> 第十七批 </t>
  </si>
  <si>
    <t xml:space="preserve"> 第十八批 </t>
  </si>
  <si>
    <t xml:space="preserve"> 第十九批 </t>
  </si>
  <si>
    <t xml:space="preserve"> 第二十批 </t>
  </si>
  <si>
    <t xml:space="preserve"> 第二十一批 </t>
  </si>
  <si>
    <t xml:space="preserve"> 第二十二批 </t>
  </si>
  <si>
    <t xml:space="preserve"> 第二十三批 </t>
  </si>
  <si>
    <t xml:space="preserve"> 第二十四批 </t>
  </si>
  <si>
    <t xml:space="preserve"> 第二十五批 </t>
  </si>
  <si>
    <t xml:space="preserve"> 第二十六批 </t>
  </si>
  <si>
    <t xml:space="preserve"> 第二十七批 </t>
  </si>
  <si>
    <t xml:space="preserve"> 第二十八批 </t>
  </si>
  <si>
    <t xml:space="preserve"> 第28批 </t>
  </si>
  <si>
    <t xml:space="preserve"> 第29批 </t>
  </si>
  <si>
    <t xml:space="preserve"> 第30批 </t>
  </si>
  <si>
    <t xml:space="preserve"> 第31批 </t>
  </si>
  <si>
    <t xml:space="preserve"> 第32批 </t>
  </si>
  <si>
    <t xml:space="preserve"> 第33批 </t>
  </si>
  <si>
    <t xml:space="preserve"> 第34批 </t>
  </si>
  <si>
    <t xml:space="preserve"> 第35批 </t>
  </si>
  <si>
    <t xml:space="preserve"> 第36批 </t>
  </si>
  <si>
    <t xml:space="preserve"> 剩余未发货总数</t>
  </si>
  <si>
    <t xml:space="preserve">品牌现货</t>
  </si>
  <si>
    <t xml:space="preserve"> 剩余未排产数量 </t>
  </si>
  <si>
    <t xml:space="preserve">采购数量</t>
  </si>
  <si>
    <t xml:space="preserve">采购金额</t>
  </si>
  <si>
    <t xml:space="preserve"> 采购数量 </t>
  </si>
  <si>
    <t xml:space="preserve">CGSQ-20250915-00083</t>
  </si>
  <si>
    <t xml:space="preserve">金六条•2016年紧压寿眉180g</t>
  </si>
  <si>
    <t xml:space="preserve">\</t>
  </si>
  <si>
    <t xml:space="preserve">金六条•2019年紧压寿眉5g</t>
  </si>
  <si>
    <t xml:space="preserve">金六条•2019年紧压寿眉180g</t>
  </si>
  <si>
    <t xml:space="preserve">金六条•2019年紧压寿眉360g</t>
  </si>
  <si>
    <t xml:space="preserve">金六条•2022年紧压寿眉360g</t>
  </si>
  <si>
    <t xml:space="preserve">金六条•2020年寿眉Pro240g</t>
  </si>
  <si>
    <t xml:space="preserve">CGSQ-20251021-00079</t>
  </si>
  <si>
    <t xml:space="preserve">CGSQ-20251222-00117</t>
  </si>
  <si>
    <t xml:space="preserve">CGSQ-20251218-00098</t>
  </si>
  <si>
    <t xml:space="preserve">697884024025900</t>
  </si>
  <si>
    <t xml:space="preserve">CGSQ-20251225-00142</t>
  </si>
  <si>
    <t xml:space="preserve">CGSQ-20251225-00143</t>
  </si>
  <si>
    <t xml:space="preserve">金六条·新年礼盒240g</t>
  </si>
  <si>
    <t xml:space="preserve">CGSQ-20260212-00052</t>
  </si>
  <si>
    <t xml:space="preserve">CGSQ-20260421-00104</t>
  </si>
  <si>
    <t xml:space="preserve">合计</t>
  </si>
  <si>
    <t xml:space="preserve">备注</t>
  </si>
  <si>
    <t xml:space="preserve">9.22号到货，入库单：611005106822401000
611005121822401000</t>
  </si>
  <si>
    <t xml:space="preserve">直发办公室，仓库做虚拟出入库即可
入库单：611005107122401000</t>
  </si>
  <si>
    <t xml:space="preserve">9.29到货入库单：611005154322401000</t>
  </si>
  <si>
    <t xml:space="preserve">10.7到货入库单：611005198922401000</t>
  </si>
  <si>
    <t xml:space="preserve">10.15到货入库单：611005219122401000</t>
  </si>
  <si>
    <t xml:space="preserve">11.10到货入库单：611005339222401000</t>
  </si>
  <si>
    <t xml:space="preserve">11.17到货入库单： 611005373322401000</t>
  </si>
  <si>
    <t xml:space="preserve">12.8到货入库单号：611005455022401000</t>
  </si>
  <si>
    <t xml:space="preserve">12.12到货入库单号：611005470422401000</t>
  </si>
  <si>
    <t xml:space="preserve">12.18到货入库单：  611005496822401000</t>
  </si>
  <si>
    <t xml:space="preserve">12.22到货入库单：  611005503422401000</t>
  </si>
  <si>
    <t xml:space="preserve">12.23到货入库单：  611005504322401000</t>
  </si>
  <si>
    <t xml:space="preserve">12.28到货入库单：611005533922401000</t>
  </si>
  <si>
    <t xml:space="preserve">1.5到货入库单： 611005571622401000</t>
  </si>
  <si>
    <t xml:space="preserve">1.11到货入库单：611005592822401000、6110055489 （30个虚入虚出）</t>
  </si>
  <si>
    <t xml:space="preserve">1.16到货入库单：611005620122401000</t>
  </si>
  <si>
    <t xml:space="preserve">1.24到货入库单：611005645822401000</t>
  </si>
  <si>
    <t xml:space="preserve">1.29到货入库单：611005662222401000</t>
  </si>
  <si>
    <t xml:space="preserve">1.30到货入库单：611005671522401000
611005671622401000</t>
  </si>
  <si>
    <t xml:space="preserve">2.6到货入库单： 611005703722401000</t>
  </si>
  <si>
    <t xml:space="preserve">2.9到货入库单：611005712422401000 611005712122401000</t>
  </si>
  <si>
    <t xml:space="preserve">2.10到货入库单611005722522401000</t>
  </si>
  <si>
    <t xml:space="preserve">2.12到货入库单611005729222401000 </t>
  </si>
  <si>
    <t xml:space="preserve">3.12到货入库单 611005818022401000</t>
  </si>
  <si>
    <t xml:space="preserve">3.17到货入库单 611005833822401000 611005833922401000
</t>
  </si>
  <si>
    <t xml:space="preserve">3.23到货入库单 
611005856322401000 611005856422401000</t>
  </si>
  <si>
    <t xml:space="preserve">3.26到货入库单 
611005866722401000</t>
  </si>
  <si>
    <t xml:space="preserve">3.30到货入库单 
611005866722401000</t>
  </si>
  <si>
    <t xml:space="preserve">4.16到货入库单 
611005963022401000</t>
  </si>
  <si>
    <t xml:space="preserve">4.27到货入库单 
611006014322401000 611006014422401000</t>
  </si>
  <si>
    <t xml:space="preserve">4.30到货入库单 
611006041722401000
611006041622401000</t>
  </si>
  <si>
    <t xml:space="preserve">5.7到货入库单 
611006060622401000</t>
  </si>
  <si>
    <t xml:space="preserve">5.12到货入库单 
611006084022401000</t>
  </si>
  <si>
    <t xml:space="preserve">5.18到货入库单 
611006103022401000</t>
  </si>
  <si>
    <t xml:space="preserve">5.21到货入库单 
611006123422401000</t>
  </si>
  <si>
    <t xml:space="preserve">5.21到货入库单 
611006124122401000 611006124222401000</t>
  </si>
  <si>
    <t xml:space="preserve">5.25到货入库单 
80+60件：611006140122401000
200件：611006140222401000</t>
  </si>
  <si>
    <t xml:space="preserve">6.10到货入库单 611006230522401000</t>
  </si>
  <si>
    <t xml:space="preserve">6.12到货入库单 611006238322401000</t>
  </si>
  <si>
    <t xml:space="preserve">6.17到货入库单 611006256322401000
611006256422401000</t>
  </si>
  <si>
    <t xml:space="preserve"> </t>
  </si>
  <si>
    <t xml:space="preserve">序号</t>
  </si>
  <si>
    <t xml:space="preserve">采购oa</t>
  </si>
  <si>
    <t xml:space="preserve">SAP编码</t>
  </si>
  <si>
    <t xml:space="preserve">品名</t>
  </si>
  <si>
    <t xml:space="preserve">成本</t>
  </si>
  <si>
    <t xml:space="preserve">总量</t>
  </si>
  <si>
    <t xml:space="preserve">第一批</t>
  </si>
  <si>
    <t xml:space="preserve">第二批</t>
  </si>
  <si>
    <t xml:space="preserve"> 第三批 </t>
  </si>
  <si>
    <t xml:space="preserve"> 第四批 </t>
  </si>
  <si>
    <t xml:space="preserve"> 第五批 </t>
  </si>
  <si>
    <t xml:space="preserve"> 第六批 </t>
  </si>
  <si>
    <t xml:space="preserve"> 第七批 </t>
  </si>
  <si>
    <t xml:space="preserve"> 第八批 </t>
  </si>
  <si>
    <t xml:space="preserve"> 剩余未发货总数</t>
  </si>
  <si>
    <t xml:space="preserve">品牌现货</t>
  </si>
  <si>
    <t xml:space="preserve"> 剩余未排产数量 </t>
  </si>
  <si>
    <t xml:space="preserve">备注</t>
  </si>
  <si>
    <t xml:space="preserve">采购数量</t>
  </si>
  <si>
    <t xml:space="preserve">采购金额</t>
  </si>
  <si>
    <t xml:space="preserve"> 采购数量 </t>
  </si>
  <si>
    <t xml:space="preserve">CGSQ-20260120-00086</t>
  </si>
  <si>
    <t xml:space="preserve">诗经·风 2025年一级寿眉 5g</t>
  </si>
  <si>
    <t xml:space="preserve">诗经·雅 2025年一级白牡丹 5g</t>
  </si>
  <si>
    <t xml:space="preserve">诗经·颂 2025年一级白毫银针5g</t>
  </si>
  <si>
    <t xml:space="preserve">诗经风雅颂试饮装 15g 
（2025年一级白毫银针5g+2025年一级白牡丹5g+2025年一级寿眉5g）</t>
  </si>
  <si>
    <t xml:space="preserve">诗经-风 2025年一级寿眉 100g</t>
  </si>
  <si>
    <t xml:space="preserve">诗经-雅 2025年一级白牡丹50g</t>
  </si>
  <si>
    <t xml:space="preserve">诗经-颂 2025年一级白毫银针35g</t>
  </si>
  <si>
    <t xml:space="preserve">诗经风雅颂 礼盒装135g</t>
  </si>
  <si>
    <t xml:space="preserve">CGSQ-20260507-00017</t>
  </si>
  <si>
    <t xml:space="preserve">CGSQ-20260604-00015</t>
  </si>
  <si>
    <t xml:space="preserve">合计</t>
  </si>
  <si>
    <t xml:space="preserve">领用，入库单：
611005685222401000        已做虚拟出入库</t>
  </si>
  <si>
    <t xml:space="preserve">2.13入库单号：611005730322401000</t>
  </si>
  <si>
    <t xml:space="preserve">2.28、3.2入库单：
611005756622401000 611005758522401000</t>
  </si>
  <si>
    <t xml:space="preserve">3.5入库单：
611005781122401000</t>
  </si>
  <si>
    <t xml:space="preserve">3.12入库单：611005817922401000 611005821822401000</t>
  </si>
  <si>
    <t xml:space="preserve">4.16入库单：611005963122401000</t>
  </si>
  <si>
    <t xml:space="preserve">4.27入库单：611006014522401000</t>
  </si>
  <si>
    <t xml:space="preserve">4.30入库单：611006042222401000</t>
  </si>
  <si>
    <t xml:space="preserve">6.5入库单：611006213522401000
611006213622401000
611006213722401000</t>
  </si>
  <si>
    <t xml:space="preserve">6.12入库单：611006238422401000</t>
  </si>
  <si>
    <t xml:space="preserve">序号</t>
  </si>
  <si>
    <t xml:space="preserve">采购oa</t>
  </si>
  <si>
    <t xml:space="preserve">SAP编码</t>
  </si>
  <si>
    <t xml:space="preserve">品名</t>
  </si>
  <si>
    <t xml:space="preserve">成本</t>
  </si>
  <si>
    <t xml:space="preserve">箱规</t>
  </si>
  <si>
    <t xml:space="preserve">总量</t>
  </si>
  <si>
    <t xml:space="preserve">第1批</t>
  </si>
  <si>
    <t xml:space="preserve">第2批</t>
  </si>
  <si>
    <t xml:space="preserve">第3批</t>
  </si>
  <si>
    <t xml:space="preserve">第4批</t>
  </si>
  <si>
    <t xml:space="preserve">第5批</t>
  </si>
  <si>
    <t xml:space="preserve">第6批</t>
  </si>
  <si>
    <t xml:space="preserve">第7批</t>
  </si>
  <si>
    <t xml:space="preserve">第8批</t>
  </si>
  <si>
    <t xml:space="preserve">第9批</t>
  </si>
  <si>
    <t xml:space="preserve"> 剩余未发货总数</t>
  </si>
  <si>
    <t xml:space="preserve">品牌现货</t>
  </si>
  <si>
    <t xml:space="preserve"> 剩余未排产数量 </t>
  </si>
  <si>
    <t xml:space="preserve">采购数量</t>
  </si>
  <si>
    <t xml:space="preserve">采购金额</t>
  </si>
  <si>
    <t xml:space="preserve">CGSQ-20260420-00096</t>
  </si>
  <si>
    <t xml:space="preserve">金六条老白茶寿眉2018年铁罐老茶40g</t>
  </si>
  <si>
    <t xml:space="preserve">2022 金六条 寿眉品鉴装金六条50g（5g*10）</t>
  </si>
  <si>
    <t xml:space="preserve">2022 金六条 寿眉自饮装180g（30g*6）1条装</t>
  </si>
  <si>
    <t xml:space="preserve">2022 金六条 礼盒款金六条饼茶350g</t>
  </si>
  <si>
    <t xml:space="preserve">2019 金六条 礼盒款金六条饼茶350g</t>
  </si>
  <si>
    <t xml:space="preserve">2023小金罐 寿眉 小金罐老茶50g</t>
  </si>
  <si>
    <t xml:space="preserve">2021小金罐 寿眉 小金罐老茶50g</t>
  </si>
  <si>
    <t xml:space="preserve">2023小金罐 白牡丹 小金罐老茶50g</t>
  </si>
  <si>
    <t xml:space="preserve">2021小金罐 白牡丹 小金罐老茶50g</t>
  </si>
  <si>
    <t xml:space="preserve">正方罐 寿眉正方罐老茶（自饮+送礼）260g</t>
  </si>
  <si>
    <t xml:space="preserve">正方罐 白牡丹正方罐老茶（自饮+送礼）260g</t>
  </si>
  <si>
    <t xml:space="preserve">2022 金六条 寿眉品鉴装30g（ 5g*6）</t>
  </si>
  <si>
    <t xml:space="preserve">2019 金六条 寿眉品鉴装30g（ 5g*6）</t>
  </si>
  <si>
    <t xml:space="preserve">合计</t>
  </si>
  <si>
    <t xml:space="preserve">备注</t>
  </si>
  <si>
    <t xml:space="preserve">入库单：
611006031022401000</t>
  </si>
  <si>
    <t xml:space="preserve">5月20日入库单：
611006112522401000
</t>
  </si>
  <si>
    <t xml:space="preserve">5月21日入库单：
611006123522401000
</t>
  </si>
  <si>
    <t xml:space="preserve">5月25日入库单：
611006140022401000</t>
  </si>
  <si>
    <t xml:space="preserve">5月29日入库单：
611006178622401000</t>
  </si>
  <si>
    <t xml:space="preserve">6月1日入库单：
611006191922401000</t>
  </si>
  <si>
    <t xml:space="preserve">6月9日入库单：
611006226922401000</t>
  </si>
  <si>
    <t xml:space="preserve">6月16日入库单：
611006251722401000</t>
  </si>
  <si>
    <t xml:space="preserve">6月17日入库单：611006256622401000</t>
  </si>
  <si>
    <t xml:space="preserve">下单时间</t>
  </si>
  <si>
    <t xml:space="preserve">sap编码</t>
  </si>
  <si>
    <t xml:space="preserve">物料名称</t>
  </si>
  <si>
    <t xml:space="preserve">分销采购单价</t>
  </si>
  <si>
    <t xml:space="preserve">采购数量</t>
  </si>
  <si>
    <t xml:space="preserve">采购总额</t>
  </si>
  <si>
    <t xml:space="preserve">收件人</t>
  </si>
  <si>
    <t xml:space="preserve">采购原因</t>
  </si>
  <si>
    <t xml:space="preserve">需求人</t>
  </si>
  <si>
    <t xml:space="preserve">采购oa</t>
  </si>
  <si>
    <t xml:space="preserve">出库oa</t>
  </si>
  <si>
    <t xml:space="preserve">备注</t>
  </si>
  <si>
    <t xml:space="preserve">物流单号</t>
  </si>
  <si>
    <t xml:space="preserve">金六条 2019年360g </t>
  </si>
  <si>
    <t xml:space="preserve">河北省邢台市信都区文苑北路508号 沈晓敏18832976997</t>
  </si>
  <si>
    <t xml:space="preserve">零星出库（福鼎出货）</t>
  </si>
  <si>
    <t xml:space="preserve">豆豆</t>
  </si>
  <si>
    <t xml:space="preserve">\</t>
  </si>
  <si>
    <t xml:space="preserve">LXKH-20251201-00005</t>
  </si>
  <si>
    <t xml:space="preserve">已付款</t>
  </si>
  <si>
    <t xml:space="preserve">甲辰金砖礼茶礼盒520g</t>
  </si>
  <si>
    <t xml:space="preserve">山西省太原市小店区世贸中心A座1603室
郝丹  15934105431</t>
  </si>
  <si>
    <t xml:space="preserve">维维</t>
  </si>
  <si>
    <t xml:space="preserve">CGSQ-20251203-00019</t>
  </si>
  <si>
    <t xml:space="preserve">LXKH-20251203-00015</t>
  </si>
  <si>
    <t xml:space="preserve">金六条•2019年紧压寿眉180g</t>
  </si>
  <si>
    <t xml:space="preserve">沈阳 13641866452 上海市静安区万荣路1256、1258号A座7/8楼</t>
  </si>
  <si>
    <t xml:space="preserve">分销出库（福鼎出货）</t>
  </si>
  <si>
    <t xml:space="preserve">总经办沈阳</t>
  </si>
  <si>
    <t xml:space="preserve">CGSQ-20251205-00034</t>
  </si>
  <si>
    <t xml:space="preserve">FXB2B-20251209-0797</t>
  </si>
  <si>
    <t xml:space="preserve">SF3269483251156</t>
  </si>
  <si>
    <t xml:space="preserve"> 2025年意会礼盒234g</t>
  </si>
  <si>
    <t xml:space="preserve">CGSQ-20251223-00126</t>
  </si>
  <si>
    <t xml:space="preserve">LRSQ-20251223-00144</t>
  </si>
  <si>
    <t xml:space="preserve">SF5127965481612</t>
  </si>
  <si>
    <t xml:space="preserve">金六条.2019年紧压寿眉180g</t>
  </si>
  <si>
    <t xml:space="preserve">上海市静安区万荣路1256号A座7楼 张豆豆 18434791834</t>
  </si>
  <si>
    <t xml:space="preserve">分销出库，璞康名义狮王项目组采购</t>
  </si>
  <si>
    <t xml:space="preserve">FXB2B-20251226-0875</t>
  </si>
  <si>
    <t xml:space="preserve">金六条•2016年紧压寿眉180g</t>
  </si>
  <si>
    <t xml:space="preserve">金六条.2020寿眉pro 240g</t>
  </si>
  <si>
    <t xml:space="preserve">四川省成都市郫都区顺河东街香门第南区第36号楼，吴先生，13052176629</t>
  </si>
  <si>
    <t xml:space="preserve">LXKH-20260107-00008</t>
  </si>
  <si>
    <t xml:space="preserve">CGSQ-20260109-00033</t>
  </si>
  <si>
    <t xml:space="preserve">FXB2B-20260113-0922</t>
  </si>
  <si>
    <t xml:space="preserve">2023年和悦礼盒296g</t>
  </si>
  <si>
    <t xml:space="preserve">CGSQ-20260112-00037</t>
  </si>
  <si>
    <t xml:space="preserve">金六条·新年礼盒240g</t>
  </si>
  <si>
    <t xml:space="preserve">CGSQ-20260122-00100</t>
  </si>
  <si>
    <t xml:space="preserve">FXB2B-20260126-0980</t>
  </si>
  <si>
    <t xml:space="preserve">待发货</t>
  </si>
  <si>
    <t xml:space="preserve">合计</t>
  </si>
  <si>
    <t xml:space="preserve">9.19 XMTGFY-20250919-0216</t>
  </si>
  <si>
    <t xml:space="preserve">10.2 XMTGFY-20251020-0151</t>
  </si>
  <si>
    <t xml:space="preserve">11.14 XMTGFY-20251114-0174</t>
  </si>
  <si>
    <t xml:space="preserve">11.27 XMTGFY-20251127-0320</t>
  </si>
  <si>
    <t xml:space="preserve">12.22 XMTGFY-20251222-0268</t>
  </si>
  <si>
    <t xml:space="preserve">1.13 XMTGFY-20260113-0111</t>
  </si>
  <si>
    <t xml:space="preserve">1.23      XMTGFY-20260123-0245</t>
  </si>
  <si>
    <t xml:space="preserve">3.2      XMTGFY-20260302-0017</t>
  </si>
  <si>
    <t xml:space="preserve">3.30     XMTGFY-20260330-0318</t>
  </si>
  <si>
    <t xml:space="preserve">5.7    XMTGFY-20260511-0089</t>
  </si>
  <si>
    <t xml:space="preserve">序号</t>
  </si>
  <si>
    <t xml:space="preserve">耗材物料名称</t>
  </si>
  <si>
    <t xml:space="preserve">单位</t>
  </si>
  <si>
    <t xml:space="preserve">库存剩余数量</t>
  </si>
  <si>
    <t xml:space="preserve">采购单价</t>
  </si>
  <si>
    <t xml:space="preserve"> 采购量 </t>
  </si>
  <si>
    <t xml:space="preserve">采购金额</t>
  </si>
  <si>
    <t xml:space="preserve"> 库存剩余数量 </t>
  </si>
  <si>
    <t xml:space="preserve">淘宝箱（25*25*25）</t>
  </si>
  <si>
    <t xml:space="preserve">个</t>
  </si>
  <si>
    <t xml:space="preserve"> 未统计 </t>
  </si>
  <si>
    <t xml:space="preserve">打包箱（38*27*14.5）</t>
  </si>
  <si>
    <t xml:space="preserve">淘宝箱（23*14*23）</t>
  </si>
  <si>
    <t xml:space="preserve">打包箱（19*17*10）</t>
  </si>
  <si>
    <t xml:space="preserve">空白打包箱（34*34*11）</t>
  </si>
  <si>
    <t xml:space="preserve">空白打包箱（38*27*33）</t>
  </si>
  <si>
    <t xml:space="preserve">空白打包箱（36*30*18）</t>
  </si>
  <si>
    <t xml:space="preserve">空白打包箱（44*38*15）</t>
  </si>
  <si>
    <t xml:space="preserve">空白打包箱（42*34*22）</t>
  </si>
  <si>
    <t xml:space="preserve">打包箱（35*22*14）</t>
  </si>
  <si>
    <t xml:space="preserve">未统计</t>
  </si>
  <si>
    <t xml:space="preserve">打包箱（46*27*25.5）</t>
  </si>
  <si>
    <t xml:space="preserve">打包箱（60*40*40）</t>
  </si>
  <si>
    <t xml:space="preserve">绿雪芽胶带</t>
  </si>
  <si>
    <t xml:space="preserve">卷</t>
  </si>
  <si>
    <t xml:space="preserve">气泡袋（30cm*30cm)</t>
  </si>
  <si>
    <t xml:space="preserve">气泡膜（50cm*100m)</t>
  </si>
  <si>
    <t xml:space="preserve">绿雪芽通用拉链袋（绿色）</t>
  </si>
  <si>
    <t xml:space="preserve">绿雪芽天青色单饼盒通用手提袋</t>
  </si>
  <si>
    <t xml:space="preserve">缠绕膜宽30cm</t>
  </si>
  <si>
    <t xml:space="preserve">缠绕膜宽35cm</t>
  </si>
  <si>
    <t xml:space="preserve">缠绕膜宽50cm</t>
  </si>
  <si>
    <t xml:space="preserve">拉紧型打包器(50CM宽)</t>
  </si>
  <si>
    <t xml:space="preserve">绿雪芽外箱防盗标</t>
  </si>
  <si>
    <t xml:space="preserve">珍珠棉（44CM*43CM*1CM）</t>
  </si>
  <si>
    <t xml:space="preserve">片</t>
  </si>
  <si>
    <t xml:space="preserve">珍珠棉（43CM*37CM*1CM）</t>
  </si>
  <si>
    <t xml:space="preserve">珍珠棉（33CM*43CM*1CM）</t>
  </si>
  <si>
    <t xml:space="preserve">珍珠棉（43CM*35CM*1CM）</t>
  </si>
  <si>
    <t xml:space="preserve">打印机热敏纸（70*40）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</si>
</sst>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8">
    <numFmt numFmtId="164" formatCode="¥#,##0"/>
    <numFmt numFmtId="165" formatCode="¥#,##0.00"/>
    <numFmt numFmtId="166" formatCode="yyyy&quot;年&quot;m&quot;月&quot;d&quot;日&quot;"/>
    <numFmt numFmtId="167" formatCode="#,##0"/>
    <numFmt numFmtId="168" formatCode="@"/>
    <numFmt numFmtId="169" formatCode="0.00"/>
    <numFmt numFmtId="170" formatCode="0%"/>
    <numFmt numFmtId="171" formatCode="yyyy/m/d"/>
    <numFmt numFmtId="172" formatCode="0"/>
    <numFmt numFmtId="173" formatCode="¥#,##0.00"/>
    <numFmt numFmtId="174" formatCode="#,##0"/>
    <numFmt numFmtId="175" formatCode="General"/>
    <numFmt numFmtId="176" formatCode="yyyy&quot;年&quot;m&quot;月&quot;d&quot;日&quot;"/>
    <numFmt numFmtId="177" formatCode="¥#,##0.00;[Red](¥#,##0.00)"/>
    <numFmt numFmtId="178" formatCode="¥#,##0"/>
    <numFmt numFmtId="179" formatCode="0.0000"/>
    <numFmt numFmtId="180" formatCode="¥#,##0.00"/>
    <numFmt numFmtId="181" formatCode="#,##0"/>
    <numFmt numFmtId="182" formatCode="¥#,##0"/>
    <numFmt numFmtId="183" formatCode="¥#,##0.0"/>
    <numFmt numFmtId="184" formatCode="@"/>
    <numFmt numFmtId="185" formatCode="¥#,##0.00;[Red](¥#,##0.00)"/>
    <numFmt numFmtId="186" formatCode="¥#,##0;[Red](¥#,##0)"/>
    <numFmt numFmtId="187" formatCode="General"/>
    <numFmt numFmtId="188" formatCode="0"/>
    <numFmt numFmtId="189" formatCode="¥#,##0.00"/>
    <numFmt numFmtId="190" formatCode="#,##0"/>
    <numFmt numFmtId="191" formatCode="yyyy&quot;年&quot;m&quot;月&quot;d&quot;日&quot;"/>
    <numFmt numFmtId="192" formatCode="0"/>
    <numFmt numFmtId="193" formatCode="General"/>
    <numFmt numFmtId="194" formatCode="¥#,##0.00"/>
    <numFmt numFmtId="195" formatCode="#,##0"/>
    <numFmt numFmtId="196" formatCode="¥#,##0.00;[Red](¥#,##0.00)"/>
    <numFmt numFmtId="197" formatCode="¥#,##0"/>
    <numFmt numFmtId="198" formatCode="0"/>
    <numFmt numFmtId="199" formatCode="¥#,##0.00"/>
    <numFmt numFmtId="200" formatCode="General"/>
    <numFmt numFmtId="201" formatCode="¥#,##0"/>
    <numFmt numFmtId="202" formatCode="yyyy&quot;年&quot;m&quot;月&quot;d&quot;日&quot;"/>
    <numFmt numFmtId="203" formatCode="@"/>
    <numFmt numFmtId="204" formatCode="¥#,##0.00;[Red](¥#,##0.00)"/>
    <numFmt numFmtId="205" formatCode="¥#,##0.00;[Red](¥#,##0.00)"/>
    <numFmt numFmtId="206" formatCode="#,##0"/>
    <numFmt numFmtId="207" formatCode="¥#,##0.00"/>
    <numFmt numFmtId="208" formatCode="General"/>
    <numFmt numFmtId="209" formatCode="¥#,##0"/>
    <numFmt numFmtId="210" formatCode="¥#,##0.000"/>
    <numFmt numFmtId="211" formatCode="0"/>
  </numFmts>
  <fonts count="41">
    <font>
      <sz val="10"/>
      <color theme="1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2"/>
      <color rgb="FF1F2329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sz val="12"/>
      <color rgb="FF373C43"/>
      <name val="Calibri"/>
      <family val="2"/>
      <scheme val="minor"/>
    </font>
    <font>
      <sz val="12"/>
      <color rgb="FFF43308"/>
      <name val="Calibri"/>
      <family val="2"/>
      <scheme val="minor"/>
    </font>
    <font>
      <sz val="12"/>
      <color rgb="FF9C0006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微软雅黑"/>
      <family val="2"/>
    </font>
    <font>
      <sz val="12"/>
      <color rgb="FF000000"/>
      <name val="微软雅黑"/>
      <family val="2"/>
    </font>
    <font>
      <sz val="11"/>
      <color rgb="FF000000"/>
      <name val="微软雅黑"/>
      <family val="2"/>
    </font>
    <font>
      <b val="true"/>
      <sz val="11"/>
      <color rgb="FF000000"/>
      <name val="Calibri"/>
      <family val="2"/>
      <scheme val="minor"/>
    </font>
    <font>
      <b val="true"/>
      <sz val="11"/>
      <color rgb="FFF54A45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strike val="true"/>
      <sz val="11"/>
      <color rgb="FF8F959E"/>
      <name val="Calibri"/>
      <family val="2"/>
      <scheme val="minor"/>
    </font>
    <font>
      <b val="true"/>
      <strike val="true"/>
      <sz val="11"/>
      <color rgb="FF8F959E"/>
      <name val="Calibri"/>
      <family val="2"/>
      <scheme val="minor"/>
    </font>
    <font>
      <sz val="11"/>
      <color rgb="FF1F232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b val="true"/>
      <strike val="true"/>
      <sz val="11"/>
      <color rgb="FFF54A45"/>
      <name val="Calibri"/>
      <family val="2"/>
      <scheme val="minor"/>
    </font>
    <font>
      <b val="true"/>
      <strike val="true"/>
      <sz val="10"/>
      <color rgb="FFF54A4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34C724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C9E4B4"/>
        <bgColor/>
      </patternFill>
    </fill>
    <fill>
      <patternFill patternType="solid">
        <fgColor rgb="FFEEF6C6"/>
        <bgColor/>
      </patternFill>
    </fill>
    <fill>
      <patternFill patternType="solid">
        <fgColor rgb="FFFFC7CE"/>
        <bgColor/>
      </patternFill>
    </fill>
    <fill>
      <patternFill patternType="solid">
        <fgColor rgb="FFD9F5D6"/>
        <bgColor/>
      </patternFill>
    </fill>
    <fill>
      <patternFill patternType="solid">
        <fgColor rgb="FFFFFF00"/>
        <bgColor/>
      </patternFill>
    </fill>
    <fill>
      <patternFill patternType="solid">
        <fgColor rgb="FFD5F6F2"/>
        <bgColor/>
      </patternFill>
    </fill>
    <fill>
      <patternFill patternType="solid">
        <fgColor rgb="FFFBBFBC"/>
        <bgColor/>
      </patternFill>
    </fill>
    <fill>
      <patternFill patternType="solid">
        <fgColor rgb="FFFAF1D1"/>
        <bgColor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F54A45"/>
      </left>
      <right style="thin">
        <color rgb="FFF54A45"/>
      </right>
      <top style="thin">
        <color rgb="FFF54A45"/>
      </top>
      <bottom style="thin">
        <color rgb="FFF54A4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F54A45"/>
      </right>
      <top style="thin">
        <color rgb="FFF54A45"/>
      </top>
      <bottom style="thin">
        <color rgb="FFF54A45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F54A45"/>
      </left>
      <right/>
      <top style="thin">
        <color rgb="FFF54A45"/>
      </top>
      <bottom style="thin">
        <color rgb="FFF54A45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54A45"/>
      </left>
      <right style="thin">
        <color rgb="FFF54A45"/>
      </right>
      <top style="thin">
        <color rgb="FFF54A45"/>
      </top>
      <bottom style="thin">
        <color rgb="FFF54A45"/>
      </bottom>
      <diagonal/>
    </border>
    <border>
      <left style="thin">
        <color rgb="FFF54A45"/>
      </left>
      <right style="thin">
        <color rgb="FFF54A45"/>
      </right>
      <top/>
      <bottom style="thin">
        <color rgb="FFF54A45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9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164" xfId="0">
      <alignment horizontal="center" vertical="center"/>
    </xf>
    <xf applyAlignment="true" applyBorder="false" applyFill="false" applyFont="true" applyNumberFormat="true" applyProtection="false" borderId="0" fillId="0" fontId="1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true" applyFont="true" applyNumberFormat="true" applyProtection="false" borderId="0" fillId="2" fontId="3" numFmtId="167" xfId="0">
      <alignment horizontal="center" vertical="center"/>
    </xf>
    <xf applyAlignment="true" applyBorder="false" applyFill="true" applyFont="true" applyNumberFormat="true" applyProtection="false" borderId="0" fillId="2" fontId="3" numFmtId="165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4" numFmtId="166" xfId="0">
      <alignment horizontal="center" vertical="center"/>
    </xf>
    <xf applyAlignment="true" applyBorder="false" applyFill="false" applyFont="true" applyNumberFormat="true" applyProtection="false" borderId="0" fillId="0" fontId="4" numFmtId="167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6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7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true" applyProtection="false" borderId="0" fillId="0" fontId="4" numFmtId="168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4" numFmtId="168" xfId="0">
      <alignment horizontal="center" vertical="center"/>
    </xf>
    <xf applyAlignment="true" applyBorder="false" applyFill="false" applyFont="true" applyNumberFormat="true" applyProtection="false" borderId="0" fillId="0" fontId="4" numFmtId="166" xfId="0">
      <alignment horizontal="center" vertical="center"/>
    </xf>
    <xf applyAlignment="true" applyBorder="false" applyFill="false" applyFont="true" applyNumberFormat="true" applyProtection="false" borderId="0" fillId="0" fontId="4" numFmtId="167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4" numFmtId="168" xfId="0">
      <alignment horizontal="center" vertical="center" wrapText="true"/>
    </xf>
    <xf applyAlignment="true" applyBorder="false" applyFill="false" applyFont="true" applyNumberFormat="true" applyProtection="false" borderId="0" fillId="0" fontId="4" numFmtId="166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6" numFmtId="165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true" applyProtection="false" borderId="0" fillId="0" fontId="7" numFmtId="166" xfId="0">
      <alignment horizontal="center" vertical="center"/>
    </xf>
    <xf applyAlignment="true" applyBorder="false" applyFill="false" applyFont="true" applyNumberFormat="true" applyProtection="false" borderId="0" fillId="0" fontId="5" numFmtId="167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7" numFmtId="166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7" numFmtId="166" xfId="0">
      <alignment horizontal="center" vertical="center"/>
    </xf>
    <xf applyAlignment="true" applyBorder="false" applyFill="false" applyFont="true" applyNumberFormat="true" applyProtection="false" borderId="0" fillId="0" fontId="4" numFmtId="167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true" applyProtection="false" borderId="0" fillId="0" fontId="7" numFmtId="166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true" applyProtection="false" borderId="0" fillId="0" fontId="4" numFmtId="169" xfId="0">
      <alignment horizontal="center" vertical="center"/>
    </xf>
    <xf applyAlignment="true" applyBorder="false" applyFill="false" applyFont="true" applyNumberFormat="true" applyProtection="false" borderId="0" fillId="0" fontId="4" numFmtId="17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 wrapText="true"/>
    </xf>
    <xf applyAlignment="true" applyBorder="false" applyFill="false" applyFont="true" applyNumberFormat="true" applyProtection="false" borderId="0" fillId="0" fontId="7" numFmtId="167" xfId="0">
      <alignment horizontal="center" vertical="center"/>
    </xf>
    <xf applyAlignment="true" applyBorder="false" applyFill="false" applyFont="true" applyNumberFormat="true" applyProtection="false" borderId="0" fillId="0" fontId="7" numFmtId="165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true" applyProtection="false" borderId="0" fillId="0" fontId="4" numFmtId="166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0" fillId="3" fontId="7" numFmtId="166" xfId="0">
      <alignment horizontal="center" vertical="center"/>
    </xf>
    <xf applyAlignment="true" applyBorder="false" applyFill="true" applyFont="true" applyNumberFormat="true" applyProtection="false" borderId="0" fillId="3" fontId="4" numFmtId="167" xfId="0">
      <alignment horizontal="center" vertical="center"/>
    </xf>
    <xf applyAlignment="true" applyBorder="false" applyFill="true" applyFont="true" applyNumberFormat="true" applyProtection="false" borderId="0" fillId="3" fontId="4" numFmtId="165" xfId="0">
      <alignment horizontal="center" vertical="center"/>
    </xf>
    <xf applyAlignment="true" applyBorder="false" applyFill="true" applyFont="true" applyNumberFormat="false" applyProtection="false" borderId="0" fillId="3" fontId="4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true" applyFont="true" applyNumberFormat="false" applyProtection="false" borderId="0" fillId="3" fontId="4" numFmtId="0" xfId="0">
      <alignment horizontal="center" vertical="center" wrapText="true"/>
    </xf>
    <xf applyAlignment="true" applyBorder="false" applyFill="true" applyFont="true" applyNumberFormat="true" applyProtection="false" borderId="0" fillId="3" fontId="4" numFmtId="166" xfId="0">
      <alignment horizontal="center" vertical="center"/>
    </xf>
    <xf applyAlignment="true" applyBorder="false" applyFill="true" applyFont="true" applyNumberFormat="false" applyProtection="false" borderId="0" fillId="3" fontId="4" numFmtId="0" xfId="0">
      <alignment horizontal="center" vertical="center"/>
    </xf>
    <xf applyAlignment="true" applyBorder="false" applyFill="true" applyFont="true" applyNumberFormat="false" applyProtection="false" borderId="0" fillId="3" fontId="4" numFmtId="0" xfId="0">
      <alignment horizontal="left" vertical="center" wrapText="true"/>
    </xf>
    <xf applyAlignment="true" applyBorder="false" applyFill="true" applyFont="true" applyNumberFormat="false" applyProtection="false" borderId="0" fillId="3" fontId="7" numFmtId="0" xfId="0">
      <alignment horizontal="center" vertical="center" wrapText="true"/>
    </xf>
    <xf applyAlignment="true" applyBorder="false" applyFill="false" applyFont="true" applyNumberFormat="true" applyProtection="false" borderId="0" fillId="0" fontId="4" numFmtId="171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true" applyProtection="false" borderId="1" fillId="0" fontId="9" numFmtId="172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left" vertical="center"/>
    </xf>
    <xf applyAlignment="true" applyBorder="false" applyFill="false" applyFont="true" applyNumberFormat="true" applyProtection="false" borderId="1" fillId="0" fontId="10" numFmtId="173" xfId="0">
      <alignment horizontal="center" vertical="center" wrapText="true"/>
    </xf>
    <xf applyAlignment="true" applyBorder="false" applyFill="false" applyFont="true" applyNumberFormat="true" applyProtection="false" borderId="1" fillId="0" fontId="10" numFmtId="174" xfId="0">
      <alignment horizontal="center" vertical="center" wrapText="true"/>
    </xf>
    <xf applyAlignment="true" applyBorder="false" applyFill="false" applyFont="true" applyNumberFormat="true" applyProtection="false" borderId="1" fillId="0" fontId="10" numFmtId="175" xfId="0">
      <alignment horizontal="center" vertical="center"/>
    </xf>
    <xf applyAlignment="true" applyBorder="false" applyFill="false" applyFont="true" applyNumberFormat="true" applyProtection="false" borderId="1" fillId="0" fontId="10" numFmtId="173" xfId="0">
      <alignment horizontal="center" vertical="center"/>
    </xf>
    <xf applyAlignment="true" applyBorder="false" applyFill="false" applyFont="true" applyNumberFormat="true" applyProtection="false" borderId="0" fillId="0" fontId="9" numFmtId="174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true" applyProtection="false" borderId="1" fillId="0" fontId="9" numFmtId="176" xfId="0">
      <alignment horizontal="center" vertical="center"/>
    </xf>
    <xf applyAlignment="true" applyBorder="false" applyFill="false" applyFont="true" applyNumberFormat="true" applyProtection="false" borderId="1" fillId="0" fontId="9" numFmtId="172" xfId="0">
      <alignment horizontal="center" vertical="center"/>
    </xf>
    <xf applyAlignment="true" applyBorder="false" applyFill="false" applyFont="true" applyNumberFormat="true" applyProtection="false" borderId="1" fillId="0" fontId="10" numFmtId="173" xfId="0">
      <alignment horizontal="center" vertical="center" wrapText="true"/>
    </xf>
    <xf applyAlignment="true" applyBorder="false" applyFill="false" applyFont="true" applyNumberFormat="true" applyProtection="false" borderId="1" fillId="0" fontId="10" numFmtId="174" xfId="0">
      <alignment horizontal="center" vertical="center" wrapText="true"/>
    </xf>
    <xf applyAlignment="true" applyBorder="false" applyFill="false" applyFont="true" applyNumberFormat="true" applyProtection="false" borderId="1" fillId="0" fontId="10" numFmtId="175" xfId="0">
      <alignment horizontal="center" vertical="center"/>
    </xf>
    <xf applyAlignment="true" applyBorder="false" applyFill="false" applyFont="true" applyNumberFormat="true" applyProtection="false" borderId="0" fillId="0" fontId="9" numFmtId="174" xfId="0">
      <alignment horizontal="center" vertical="center"/>
    </xf>
    <xf applyAlignment="true" applyBorder="false" applyFill="false" applyFont="true" applyNumberFormat="true" applyProtection="false" borderId="2" fillId="0" fontId="10" numFmtId="173" xfId="0">
      <alignment horizontal="center" vertical="center"/>
    </xf>
    <xf applyAlignment="true" applyBorder="false" applyFill="false" applyFont="true" applyNumberFormat="true" applyProtection="false" borderId="1" fillId="0" fontId="11" numFmtId="172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left" vertical="center" wrapText="true"/>
    </xf>
    <xf applyAlignment="true" applyBorder="false" applyFill="true" applyFont="true" applyNumberFormat="true" applyProtection="false" borderId="1" fillId="4" fontId="9" numFmtId="176" xfId="0">
      <alignment horizontal="center" vertical="center"/>
    </xf>
    <xf applyAlignment="true" applyBorder="false" applyFill="false" applyFont="true" applyNumberFormat="true" applyProtection="false" borderId="3" fillId="0" fontId="10" numFmtId="175" xfId="0">
      <alignment horizontal="center" vertical="center"/>
    </xf>
    <xf applyAlignment="true" applyBorder="false" applyFill="false" applyFont="true" applyNumberFormat="true" applyProtection="false" borderId="3" fillId="0" fontId="10" numFmtId="173" xfId="0">
      <alignment horizontal="center" vertical="center"/>
    </xf>
    <xf applyAlignment="true" applyBorder="false" applyFill="true" applyFont="true" applyNumberFormat="true" applyProtection="false" borderId="2" fillId="5" fontId="12" numFmtId="172" xfId="0">
      <alignment horizontal="center" vertical="center"/>
    </xf>
    <xf applyAlignment="true" applyBorder="false" applyFill="true" applyFont="true" applyNumberFormat="false" applyProtection="false" borderId="2" fillId="5" fontId="12" numFmtId="0" xfId="0">
      <alignment horizontal="center" vertical="center"/>
    </xf>
    <xf applyAlignment="true" applyBorder="false" applyFill="true" applyFont="true" applyNumberFormat="false" applyProtection="false" borderId="2" fillId="5" fontId="12" numFmtId="0" xfId="0">
      <alignment horizontal="left" vertical="center" wrapText="true"/>
    </xf>
    <xf applyAlignment="true" applyBorder="false" applyFill="false" applyFont="true" applyNumberFormat="true" applyProtection="false" borderId="4" fillId="0" fontId="10" numFmtId="173" xfId="0">
      <alignment horizontal="center" vertical="center" wrapText="true"/>
    </xf>
    <xf applyAlignment="true" applyBorder="false" applyFill="false" applyFont="true" applyNumberFormat="true" applyProtection="false" borderId="4" fillId="0" fontId="10" numFmtId="174" xfId="0">
      <alignment horizontal="center" vertical="center" wrapText="true"/>
    </xf>
    <xf applyAlignment="true" applyBorder="false" applyFill="false" applyFont="true" applyNumberFormat="true" applyProtection="false" borderId="1" fillId="0" fontId="10" numFmtId="173" xfId="0">
      <alignment horizontal="center" vertical="center"/>
    </xf>
    <xf applyAlignment="true" applyBorder="false" applyFill="true" applyFont="true" applyNumberFormat="true" applyProtection="false" borderId="2" fillId="5" fontId="12" numFmtId="172" xfId="0">
      <alignment horizontal="center" vertical="center"/>
    </xf>
    <xf applyAlignment="true" applyBorder="false" applyFill="true" applyFont="true" applyNumberFormat="false" applyProtection="false" borderId="2" fillId="5" fontId="12" numFmtId="0" xfId="0">
      <alignment horizontal="left" vertical="center" wrapText="true"/>
    </xf>
    <xf applyAlignment="true" applyBorder="false" applyFill="false" applyFont="true" applyNumberFormat="true" applyProtection="false" borderId="4" fillId="0" fontId="10" numFmtId="173" xfId="0">
      <alignment horizontal="center" vertical="center" wrapText="true"/>
    </xf>
    <xf applyAlignment="true" applyBorder="false" applyFill="false" applyFont="true" applyNumberFormat="true" applyProtection="false" borderId="4" fillId="0" fontId="10" numFmtId="174" xfId="0">
      <alignment horizontal="center" vertical="center" wrapText="true"/>
    </xf>
    <xf applyAlignment="true" applyBorder="false" applyFill="false" applyFont="true" applyNumberFormat="true" applyProtection="false" borderId="1" fillId="0" fontId="10" numFmtId="174" xfId="0">
      <alignment horizontal="center" vertical="center"/>
    </xf>
    <xf applyAlignment="true" applyBorder="false" applyFill="true" applyFont="true" applyNumberFormat="true" applyProtection="false" borderId="1" fillId="4" fontId="9" numFmtId="176" xfId="0">
      <alignment horizontal="center" vertical="center"/>
    </xf>
    <xf applyAlignment="true" applyBorder="false" applyFill="false" applyFont="true" applyNumberFormat="true" applyProtection="false" borderId="2" fillId="0" fontId="12" numFmtId="172" xfId="0">
      <alignment horizontal="center" vertical="center"/>
    </xf>
    <xf applyAlignment="true" applyBorder="false" applyFill="false" applyFont="true" applyNumberFormat="false" applyProtection="false" borderId="2" fillId="0" fontId="12" numFmtId="0" xfId="0">
      <alignment horizontal="left" vertical="center"/>
    </xf>
    <xf applyAlignment="true" applyBorder="false" applyFill="false" applyFont="true" applyNumberFormat="true" applyProtection="false" borderId="1" fillId="0" fontId="10" numFmtId="173" xfId="0">
      <alignment horizontal="center" vertical="center"/>
    </xf>
    <xf applyAlignment="true" applyBorder="false" applyFill="false" applyFont="true" applyNumberFormat="true" applyProtection="false" borderId="1" fillId="0" fontId="10" numFmtId="174" xfId="0">
      <alignment horizontal="center" vertical="center"/>
    </xf>
    <xf applyAlignment="true" applyBorder="false" applyFill="true" applyFont="true" applyNumberFormat="true" applyProtection="false" borderId="1" fillId="4" fontId="10" numFmtId="176" xfId="0">
      <alignment horizontal="center" vertical="center"/>
    </xf>
    <xf applyAlignment="true" applyBorder="false" applyFill="false" applyFont="true" applyNumberFormat="true" applyProtection="false" borderId="2" fillId="0" fontId="10" numFmtId="172" xfId="0">
      <alignment horizontal="center" vertical="center"/>
    </xf>
    <xf applyAlignment="true" applyBorder="false" applyFill="false" applyFont="true" applyNumberFormat="false" applyProtection="false" borderId="1" fillId="0" fontId="10" numFmtId="0" xfId="0">
      <alignment horizontal="center" vertical="center"/>
    </xf>
    <xf applyAlignment="true" applyBorder="false" applyFill="false" applyFont="true" applyNumberFormat="false" applyProtection="false" borderId="2" fillId="0" fontId="10" numFmtId="0" xfId="0">
      <alignment horizontal="left" vertical="center"/>
    </xf>
    <xf applyAlignment="true" applyBorder="false" applyFill="false" applyFont="true" applyNumberFormat="true" applyProtection="false" borderId="0" fillId="0" fontId="10" numFmtId="174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true" applyProtection="false" borderId="1" fillId="0" fontId="10" numFmtId="176" xfId="0">
      <alignment horizontal="center" vertical="center"/>
    </xf>
    <xf applyAlignment="true" applyBorder="false" applyFill="false" applyFont="true" applyNumberFormat="true" applyProtection="false" borderId="2" fillId="0" fontId="10" numFmtId="172" xfId="0">
      <alignment horizontal="center" vertical="center" wrapText="true"/>
    </xf>
    <xf applyAlignment="true" applyBorder="false" applyFill="false" applyFont="true" applyNumberFormat="false" applyProtection="false" borderId="2" fillId="0" fontId="10" numFmtId="0" xfId="0">
      <alignment horizontal="center" vertical="center"/>
    </xf>
    <xf applyAlignment="true" applyBorder="false" applyFill="false" applyFont="true" applyNumberFormat="true" applyProtection="false" borderId="2" fillId="0" fontId="10" numFmtId="173" xfId="0">
      <alignment horizontal="center" vertical="center" wrapText="true"/>
    </xf>
    <xf applyAlignment="true" applyBorder="false" applyFill="false" applyFont="true" applyNumberFormat="true" applyProtection="false" borderId="2" fillId="0" fontId="10" numFmtId="174" xfId="0">
      <alignment horizontal="center" vertical="center" wrapText="true"/>
    </xf>
    <xf applyAlignment="true" applyBorder="false" applyFill="false" applyFont="true" applyNumberFormat="true" applyProtection="false" borderId="2" fillId="0" fontId="10" numFmtId="175" xfId="0">
      <alignment horizontal="center" vertical="center" wrapText="true"/>
    </xf>
    <xf applyAlignment="true" applyBorder="false" applyFill="false" applyFont="true" applyNumberFormat="true" applyProtection="false" borderId="2" fillId="0" fontId="10" numFmtId="173" xfId="0">
      <alignment horizontal="center" vertical="center" wrapText="true"/>
    </xf>
    <xf applyAlignment="true" applyBorder="false" applyFill="false" applyFont="true" applyNumberFormat="true" applyProtection="false" borderId="2" fillId="0" fontId="10" numFmtId="172" xfId="0">
      <alignment horizontal="center" vertical="center"/>
    </xf>
    <xf applyAlignment="true" applyBorder="false" applyFill="false" applyFont="true" applyNumberFormat="true" applyProtection="false" borderId="2" fillId="0" fontId="10" numFmtId="173" xfId="0">
      <alignment horizontal="center" vertical="center"/>
    </xf>
    <xf applyAlignment="true" applyBorder="false" applyFill="false" applyFont="true" applyNumberFormat="true" applyProtection="false" borderId="2" fillId="0" fontId="10" numFmtId="174" xfId="0">
      <alignment horizontal="center" vertical="center"/>
    </xf>
    <xf applyAlignment="true" applyBorder="false" applyFill="false" applyFont="true" applyNumberFormat="true" applyProtection="false" borderId="2" fillId="0" fontId="10" numFmtId="175" xfId="0">
      <alignment horizontal="center" vertical="center"/>
    </xf>
    <xf applyAlignment="true" applyBorder="false" applyFill="false" applyFont="true" applyNumberFormat="false" applyProtection="false" borderId="2" fillId="0" fontId="12" numFmtId="0" xfId="0">
      <alignment horizontal="center" vertical="center"/>
    </xf>
    <xf applyAlignment="true" applyBorder="false" applyFill="false" applyFont="true" applyNumberFormat="false" applyProtection="false" borderId="2" fillId="0" fontId="12" numFmtId="0" xfId="0">
      <alignment horizontal="left" vertical="center" wrapText="true"/>
    </xf>
    <xf applyAlignment="true" applyBorder="false" applyFill="false" applyFont="true" applyNumberFormat="true" applyProtection="false" borderId="2" fillId="0" fontId="10" numFmtId="174" xfId="0">
      <alignment horizontal="center" vertical="center"/>
    </xf>
    <xf applyAlignment="true" applyBorder="false" applyFill="false" applyFont="true" applyNumberFormat="true" applyProtection="false" borderId="2" fillId="0" fontId="10" numFmtId="175" xfId="0">
      <alignment horizontal="center" vertical="center"/>
    </xf>
    <xf applyAlignment="true" applyBorder="false" applyFill="false" applyFont="true" applyNumberFormat="true" applyProtection="false" borderId="2" fillId="0" fontId="10" numFmtId="173" xfId="0">
      <alignment horizontal="center" vertical="center"/>
    </xf>
    <xf applyAlignment="true" applyBorder="false" applyFill="false" applyFont="true" applyNumberFormat="true" applyProtection="false" borderId="2" fillId="0" fontId="10" numFmtId="173" xfId="0">
      <alignment horizontal="center" vertical="center"/>
    </xf>
    <xf applyAlignment="true" applyBorder="false" applyFill="false" applyFont="true" applyNumberFormat="true" applyProtection="false" borderId="2" fillId="0" fontId="10" numFmtId="174" xfId="0">
      <alignment horizontal="center" vertical="center"/>
    </xf>
    <xf applyAlignment="true" applyBorder="false" applyFill="false" applyFont="true" applyNumberFormat="true" applyProtection="false" borderId="2" fillId="0" fontId="10" numFmtId="175" xfId="0">
      <alignment horizontal="center" vertical="center"/>
    </xf>
    <xf applyAlignment="true" applyBorder="false" applyFill="false" applyFont="true" applyNumberFormat="true" applyProtection="false" borderId="5" fillId="0" fontId="10" numFmtId="173" xfId="0">
      <alignment horizontal="center" vertical="center"/>
    </xf>
    <xf applyAlignment="true" applyBorder="false" applyFill="false" applyFont="true" applyNumberFormat="true" applyProtection="false" borderId="2" fillId="0" fontId="10" numFmtId="173" xfId="0">
      <alignment horizontal="center" vertical="center"/>
    </xf>
    <xf applyAlignment="true" applyBorder="false" applyFill="true" applyFont="true" applyNumberFormat="false" applyProtection="false" borderId="2" fillId="5" fontId="12" numFmtId="0" xfId="0">
      <alignment horizontal="left" vertical="center"/>
    </xf>
    <xf applyAlignment="true" applyBorder="false" applyFill="true" applyFont="true" applyNumberFormat="true" applyProtection="false" borderId="2" fillId="5" fontId="10" numFmtId="173" xfId="0">
      <alignment horizontal="center" vertical="center"/>
    </xf>
    <xf applyAlignment="true" applyBorder="false" applyFill="true" applyFont="true" applyNumberFormat="true" applyProtection="false" borderId="2" fillId="5" fontId="10" numFmtId="174" xfId="0">
      <alignment horizontal="center" vertical="center"/>
    </xf>
    <xf applyAlignment="true" applyBorder="false" applyFill="true" applyFont="true" applyNumberFormat="false" applyProtection="false" borderId="2" fillId="5" fontId="10" numFmtId="0" xfId="0">
      <alignment horizontal="center" vertical="center"/>
    </xf>
    <xf applyAlignment="true" applyBorder="false" applyFill="true" applyFont="true" applyNumberFormat="true" applyProtection="false" borderId="2" fillId="5" fontId="10" numFmtId="173" xfId="0">
      <alignment horizontal="center" vertical="center"/>
    </xf>
    <xf applyAlignment="true" applyBorder="false" applyFill="true" applyFont="true" applyNumberFormat="true" applyProtection="false" borderId="1" fillId="4" fontId="13" numFmtId="176" xfId="0">
      <alignment horizontal="center" vertical="center"/>
    </xf>
    <xf applyAlignment="true" applyBorder="false" applyFill="false" applyFont="true" applyNumberFormat="true" applyProtection="false" borderId="2" fillId="0" fontId="14" numFmtId="172" xfId="0">
      <alignment horizontal="center" vertical="center"/>
    </xf>
    <xf applyAlignment="true" applyBorder="false" applyFill="false" applyFont="true" applyNumberFormat="false" applyProtection="false" borderId="2" fillId="0" fontId="14" numFmtId="0" xfId="0">
      <alignment horizontal="center" vertical="center"/>
    </xf>
    <xf applyAlignment="true" applyBorder="false" applyFill="false" applyFont="true" applyNumberFormat="false" applyProtection="false" borderId="2" fillId="0" fontId="14" numFmtId="0" xfId="0">
      <alignment horizontal="left" vertical="center"/>
    </xf>
    <xf applyAlignment="true" applyBorder="false" applyFill="false" applyFont="true" applyNumberFormat="true" applyProtection="false" borderId="1" fillId="0" fontId="13" numFmtId="173" xfId="0">
      <alignment horizontal="center" vertical="center"/>
    </xf>
    <xf applyAlignment="true" applyBorder="false" applyFill="false" applyFont="true" applyNumberFormat="true" applyProtection="false" borderId="1" fillId="0" fontId="13" numFmtId="174" xfId="0">
      <alignment horizontal="center" vertical="center"/>
    </xf>
    <xf applyAlignment="true" applyBorder="false" applyFill="false" applyFont="true" applyNumberFormat="true" applyProtection="false" borderId="1" fillId="0" fontId="13" numFmtId="175" xfId="0">
      <alignment horizontal="center" vertical="center"/>
    </xf>
    <xf applyAlignment="true" applyBorder="false" applyFill="false" applyFont="true" applyNumberFormat="true" applyProtection="false" borderId="0" fillId="0" fontId="15" numFmtId="174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true" applyFont="true" applyNumberFormat="true" applyProtection="false" borderId="3" fillId="4" fontId="13" numFmtId="176" xfId="0">
      <alignment horizontal="center" vertical="center"/>
    </xf>
    <xf applyAlignment="true" applyBorder="false" applyFill="false" applyFont="true" applyNumberFormat="true" applyProtection="false" borderId="6" fillId="0" fontId="14" numFmtId="172" xfId="0">
      <alignment horizontal="center" vertical="center"/>
    </xf>
    <xf applyAlignment="true" applyBorder="false" applyFill="false" applyFont="true" applyNumberFormat="false" applyProtection="false" borderId="6" fillId="0" fontId="14" numFmtId="0" xfId="0">
      <alignment horizontal="center" vertical="center"/>
    </xf>
    <xf applyAlignment="true" applyBorder="false" applyFill="false" applyFont="true" applyNumberFormat="false" applyProtection="false" borderId="6" fillId="0" fontId="14" numFmtId="0" xfId="0">
      <alignment horizontal="left" vertical="center"/>
    </xf>
    <xf applyAlignment="true" applyBorder="false" applyFill="false" applyFont="true" applyNumberFormat="true" applyProtection="false" borderId="3" fillId="0" fontId="13" numFmtId="173" xfId="0">
      <alignment horizontal="center" vertical="center"/>
    </xf>
    <xf applyAlignment="true" applyBorder="false" applyFill="false" applyFont="true" applyNumberFormat="true" applyProtection="false" borderId="3" fillId="0" fontId="13" numFmtId="174" xfId="0">
      <alignment horizontal="center" vertical="center"/>
    </xf>
    <xf applyAlignment="true" applyBorder="false" applyFill="false" applyFont="true" applyNumberFormat="true" applyProtection="false" borderId="3" fillId="0" fontId="13" numFmtId="175" xfId="0">
      <alignment horizontal="center" vertical="center"/>
    </xf>
    <xf applyAlignment="true" applyBorder="false" applyFill="false" applyFont="true" applyNumberFormat="true" applyProtection="false" borderId="7" fillId="0" fontId="10" numFmtId="176" xfId="0">
      <alignment horizontal="center" vertical="center"/>
    </xf>
    <xf applyAlignment="true" applyBorder="false" applyFill="false" applyFont="true" applyNumberFormat="false" applyProtection="false" borderId="7" fillId="0" fontId="12" numFmtId="0" xfId="0">
      <alignment horizontal="center" vertical="center"/>
    </xf>
    <xf applyAlignment="true" applyBorder="false" applyFill="false" applyFont="true" applyNumberFormat="true" applyProtection="false" borderId="7" fillId="0" fontId="12" numFmtId="172" xfId="0">
      <alignment horizontal="center" vertical="center"/>
    </xf>
    <xf applyAlignment="true" applyBorder="false" applyFill="false" applyFont="true" applyNumberFormat="false" applyProtection="false" borderId="7" fillId="0" fontId="12" numFmtId="0" xfId="0">
      <alignment horizontal="left" vertical="center"/>
    </xf>
    <xf applyAlignment="true" applyBorder="false" applyFill="false" applyFont="true" applyNumberFormat="true" applyProtection="false" borderId="7" fillId="0" fontId="10" numFmtId="173" xfId="0">
      <alignment horizontal="center" vertical="center"/>
    </xf>
    <xf applyAlignment="true" applyBorder="false" applyFill="false" applyFont="true" applyNumberFormat="true" applyProtection="false" borderId="7" fillId="0" fontId="10" numFmtId="174" xfId="0">
      <alignment horizontal="center" vertical="center"/>
    </xf>
    <xf applyAlignment="true" applyBorder="false" applyFill="false" applyFont="true" applyNumberFormat="true" applyProtection="false" borderId="8" fillId="0" fontId="10" numFmtId="175" xfId="0">
      <alignment horizontal="center" vertical="center"/>
    </xf>
    <xf applyAlignment="true" applyBorder="false" applyFill="false" applyFont="true" applyNumberFormat="true" applyProtection="false" borderId="8" fillId="0" fontId="10" numFmtId="173" xfId="0">
      <alignment horizontal="center" vertical="center"/>
    </xf>
    <xf applyAlignment="true" applyBorder="false" applyFill="false" applyFont="true" applyNumberFormat="true" applyProtection="false" borderId="5" fillId="0" fontId="10" numFmtId="174" xfId="0">
      <alignment horizontal="center" vertical="center"/>
    </xf>
    <xf applyAlignment="true" applyBorder="false" applyFill="false" applyFont="true" applyNumberFormat="true" applyProtection="false" borderId="7" fillId="0" fontId="10" numFmtId="175" xfId="0">
      <alignment horizontal="center" vertical="center"/>
    </xf>
    <xf applyAlignment="true" applyBorder="false" applyFill="false" applyFont="true" applyNumberFormat="true" applyProtection="false" borderId="7" fillId="0" fontId="10" numFmtId="173" xfId="0">
      <alignment horizontal="center" vertical="center"/>
    </xf>
    <xf applyAlignment="true" applyBorder="false" applyFill="true" applyFont="true" applyNumberFormat="true" applyProtection="false" borderId="7" fillId="4" fontId="10" numFmtId="176" xfId="0">
      <alignment horizontal="center" vertical="center"/>
    </xf>
    <xf applyAlignment="true" applyBorder="false" applyFill="false" applyFont="true" applyNumberFormat="true" applyProtection="false" borderId="9" fillId="0" fontId="10" numFmtId="173" xfId="0">
      <alignment horizontal="center" vertical="center"/>
    </xf>
    <xf applyAlignment="true" applyBorder="false" applyFill="true" applyFont="true" applyNumberFormat="false" applyProtection="false" borderId="2" fillId="5" fontId="10" numFmtId="0" xfId="0">
      <alignment horizontal="center" vertical="center"/>
    </xf>
    <xf applyAlignment="true" applyBorder="false" applyFill="false" applyFont="true" applyNumberFormat="true" applyProtection="false" borderId="2" fillId="0" fontId="12" numFmtId="173" xfId="0">
      <alignment horizontal="center" vertical="center"/>
    </xf>
    <xf applyAlignment="true" applyBorder="false" applyFill="false" applyFont="true" applyNumberFormat="true" applyProtection="false" borderId="2" fillId="0" fontId="10" numFmtId="174" xfId="0">
      <alignment horizontal="center" vertical="center"/>
    </xf>
    <xf applyAlignment="true" applyBorder="false" applyFill="false" applyFont="true" applyNumberFormat="true" applyProtection="false" borderId="0" fillId="0" fontId="10" numFmtId="174" xfId="0">
      <alignment horizontal="center" vertical="center"/>
    </xf>
    <xf applyAlignment="true" applyBorder="false" applyFill="false" applyFont="true" applyNumberFormat="true" applyProtection="false" borderId="2" fillId="0" fontId="12" numFmtId="174" xfId="0">
      <alignment horizontal="left" vertical="center"/>
    </xf>
    <xf applyAlignment="true" applyBorder="false" applyFill="false" applyFont="true" applyNumberFormat="true" applyProtection="false" borderId="10" fillId="0" fontId="10" numFmtId="173" xfId="0">
      <alignment horizontal="center" vertical="center"/>
    </xf>
    <xf applyAlignment="true" applyBorder="false" applyFill="true" applyFont="true" applyNumberFormat="true" applyProtection="false" borderId="8" fillId="4" fontId="10" numFmtId="176" xfId="0">
      <alignment horizontal="center" vertical="center"/>
    </xf>
    <xf applyAlignment="true" applyBorder="false" applyFill="false" applyFont="true" applyNumberFormat="true" applyProtection="false" borderId="6" fillId="0" fontId="12" numFmtId="172" xfId="0">
      <alignment horizontal="center" vertical="center"/>
    </xf>
    <xf applyAlignment="true" applyBorder="false" applyFill="false" applyFont="true" applyNumberFormat="false" applyProtection="false" borderId="6" fillId="0" fontId="12" numFmtId="0" xfId="0">
      <alignment horizontal="center" vertical="center"/>
    </xf>
    <xf applyAlignment="true" applyBorder="false" applyFill="false" applyFont="true" applyNumberFormat="false" applyProtection="false" borderId="6" fillId="0" fontId="12" numFmtId="0" xfId="0">
      <alignment horizontal="left" vertical="center"/>
    </xf>
    <xf applyAlignment="true" applyBorder="false" applyFill="false" applyFont="true" applyNumberFormat="true" applyProtection="false" borderId="7" fillId="0" fontId="12" numFmtId="172" xfId="0">
      <alignment horizontal="center" vertical="center"/>
    </xf>
    <xf applyAlignment="true" applyBorder="false" applyFill="false" applyFont="true" applyNumberFormat="false" applyProtection="false" borderId="7" fillId="0" fontId="12" numFmtId="0" xfId="0">
      <alignment horizontal="center" vertical="center"/>
    </xf>
    <xf applyAlignment="true" applyBorder="false" applyFill="false" applyFont="true" applyNumberFormat="false" applyProtection="false" borderId="7" fillId="0" fontId="12" numFmtId="0" xfId="0">
      <alignment horizontal="left" vertical="center"/>
    </xf>
    <xf applyAlignment="true" applyBorder="false" applyFill="false" applyFont="true" applyNumberFormat="true" applyProtection="false" borderId="10" fillId="0" fontId="10" numFmtId="173" xfId="0">
      <alignment horizontal="center" vertical="center"/>
    </xf>
    <xf applyAlignment="true" applyBorder="false" applyFill="false" applyFont="true" applyNumberFormat="true" applyProtection="false" borderId="10" fillId="0" fontId="10" numFmtId="174" xfId="0">
      <alignment horizontal="center" vertical="center"/>
    </xf>
    <xf applyAlignment="true" applyBorder="false" applyFill="false" applyFont="true" applyNumberFormat="true" applyProtection="false" borderId="7" fillId="0" fontId="12" numFmtId="176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true" applyProtection="false" borderId="9" fillId="0" fontId="12" numFmtId="172" xfId="0">
      <alignment horizontal="center" vertical="center"/>
    </xf>
    <xf applyAlignment="true" applyBorder="false" applyFill="false" applyFont="true" applyNumberFormat="false" applyProtection="false" borderId="9" fillId="0" fontId="12" numFmtId="0" xfId="0">
      <alignment horizontal="center" vertical="center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true" applyProtection="false" borderId="2" fillId="0" fontId="12" numFmtId="173" xfId="0">
      <alignment horizontal="left" vertical="center"/>
    </xf>
    <xf applyAlignment="true" applyBorder="false" applyFill="false" applyFont="true" applyNumberFormat="true" applyProtection="false" borderId="2" fillId="0" fontId="12" numFmtId="173" xfId="0">
      <alignment horizontal="center" vertical="center"/>
    </xf>
    <xf applyAlignment="true" applyBorder="false" applyFill="false" applyFont="true" applyNumberFormat="true" applyProtection="false" borderId="1" fillId="0" fontId="10" numFmtId="174" xfId="0">
      <alignment horizontal="center" vertical="center"/>
    </xf>
    <xf applyAlignment="true" applyBorder="false" applyFill="false" applyFont="true" applyNumberFormat="true" applyProtection="false" borderId="2" fillId="0" fontId="12" numFmtId="177" xfId="0">
      <alignment horizontal="left" vertical="center"/>
    </xf>
    <xf applyAlignment="true" applyBorder="false" applyFill="true" applyFont="true" applyNumberFormat="false" applyProtection="false" borderId="2" fillId="5" fontId="12" numFmtId="0" xfId="0">
      <alignment horizontal="center" vertical="center"/>
    </xf>
    <xf applyAlignment="true" applyBorder="false" applyFill="true" applyFont="true" applyNumberFormat="true" applyProtection="false" borderId="2" fillId="5" fontId="12" numFmtId="173" xfId="0">
      <alignment horizontal="center" vertical="center"/>
    </xf>
    <xf applyAlignment="true" applyBorder="false" applyFill="false" applyFont="true" applyNumberFormat="true" applyProtection="false" borderId="0" fillId="0" fontId="12" numFmtId="176" xfId="0">
      <alignment horizontal="center" vertical="center"/>
    </xf>
    <xf applyAlignment="true" applyBorder="false" applyFill="false" applyFont="true" applyNumberFormat="false" applyProtection="false" borderId="7" fillId="0" fontId="9" numFmtId="0" xfId="0">
      <alignment horizontal="center" vertical="center"/>
    </xf>
    <xf applyAlignment="true" applyBorder="false" applyFill="false" applyFont="true" applyNumberFormat="true" applyProtection="false" borderId="11" fillId="0" fontId="10" numFmtId="176" xfId="0">
      <alignment horizontal="center" vertical="center"/>
    </xf>
    <xf applyAlignment="true" applyBorder="false" applyFill="false" applyFont="true" applyNumberFormat="true" applyProtection="false" borderId="12" fillId="0" fontId="12" numFmtId="172" xfId="0">
      <alignment horizontal="center" vertical="center"/>
    </xf>
    <xf applyAlignment="true" applyBorder="false" applyFill="false" applyFont="true" applyNumberFormat="false" applyProtection="false" borderId="7" fillId="0" fontId="12" numFmtId="0" xfId="0">
      <alignment horizontal="left" vertical="center" wrapText="true"/>
    </xf>
    <xf applyAlignment="true" applyBorder="false" applyFill="false" applyFont="true" applyNumberFormat="true" applyProtection="false" borderId="10" fillId="0" fontId="12" numFmtId="173" xfId="0">
      <alignment horizontal="center" vertical="center"/>
    </xf>
    <xf applyAlignment="true" applyBorder="false" applyFill="false" applyFont="true" applyNumberFormat="false" applyProtection="false" borderId="7" fillId="0" fontId="9" numFmtId="0" xfId="0">
      <alignment horizontal="left" vertical="center"/>
    </xf>
    <xf applyAlignment="true" applyBorder="false" applyFill="false" applyFont="true" applyNumberFormat="true" applyProtection="false" borderId="13" fillId="0" fontId="10" numFmtId="176" xfId="0">
      <alignment horizontal="center" vertical="center"/>
    </xf>
    <xf applyAlignment="true" applyBorder="false" applyFill="true" applyFont="true" applyNumberFormat="true" applyProtection="false" borderId="2" fillId="5" fontId="12" numFmtId="173" xfId="0">
      <alignment horizontal="center" vertical="center"/>
    </xf>
    <xf applyAlignment="true" applyBorder="false" applyFill="false" applyFont="true" applyNumberFormat="true" applyProtection="false" borderId="8" fillId="0" fontId="10" numFmtId="176" xfId="0">
      <alignment horizontal="center" vertical="center"/>
    </xf>
    <xf applyAlignment="true" applyBorder="false" applyFill="true" applyFont="true" applyNumberFormat="false" applyProtection="false" borderId="6" fillId="5" fontId="12" numFmtId="0" xfId="0">
      <alignment horizontal="center" vertical="center"/>
    </xf>
    <xf applyAlignment="true" applyBorder="false" applyFill="true" applyFont="true" applyNumberFormat="false" applyProtection="false" borderId="6" fillId="5" fontId="12" numFmtId="0" xfId="0">
      <alignment horizontal="center" vertical="center"/>
    </xf>
    <xf applyAlignment="true" applyBorder="false" applyFill="true" applyFont="true" applyNumberFormat="false" applyProtection="false" borderId="6" fillId="5" fontId="12" numFmtId="0" xfId="0">
      <alignment horizontal="left" vertical="center"/>
    </xf>
    <xf applyAlignment="true" applyBorder="false" applyFill="true" applyFont="true" applyNumberFormat="true" applyProtection="false" borderId="6" fillId="5" fontId="12" numFmtId="173" xfId="0">
      <alignment horizontal="center" vertical="center"/>
    </xf>
    <xf applyAlignment="true" applyBorder="false" applyFill="true" applyFont="true" applyNumberFormat="false" applyProtection="false" borderId="6" fillId="5" fontId="10" numFmtId="0" xfId="0">
      <alignment horizontal="center" vertical="center"/>
    </xf>
    <xf applyAlignment="true" applyBorder="false" applyFill="true" applyFont="true" applyNumberFormat="true" applyProtection="false" borderId="6" fillId="5" fontId="12" numFmtId="173" xfId="0">
      <alignment horizontal="center" vertical="center"/>
    </xf>
    <xf applyAlignment="true" applyBorder="false" applyFill="false" applyFont="true" applyNumberFormat="true" applyProtection="false" borderId="7" fillId="0" fontId="12" numFmtId="173" xfId="0">
      <alignment horizontal="center" vertical="center"/>
    </xf>
    <xf applyAlignment="true" applyBorder="false" applyFill="false" applyFont="true" applyNumberFormat="true" applyProtection="false" borderId="7" fillId="0" fontId="10" numFmtId="174" xfId="0">
      <alignment horizontal="center" vertical="center"/>
    </xf>
    <xf applyAlignment="true" applyBorder="false" applyFill="false" applyFont="true" applyNumberFormat="true" applyProtection="false" borderId="7" fillId="0" fontId="10" numFmtId="173" xfId="0">
      <alignment horizontal="center" vertical="center"/>
    </xf>
    <xf applyAlignment="true" applyBorder="false" applyFill="false" applyFont="true" applyNumberFormat="true" applyProtection="false" borderId="7" fillId="0" fontId="16" numFmtId="174" xfId="0">
      <alignment horizontal="center" vertical="center"/>
    </xf>
    <xf applyAlignment="true" applyBorder="false" applyFill="false" applyFont="true" applyNumberFormat="true" applyProtection="false" borderId="0" fillId="0" fontId="9" numFmtId="174" xfId="0">
      <alignment horizontal="left" vertical="center"/>
    </xf>
    <xf applyAlignment="true" applyBorder="false" applyFill="false" applyFont="true" applyNumberFormat="true" applyProtection="false" borderId="7" fillId="0" fontId="12" numFmtId="174" xfId="0">
      <alignment horizontal="center" vertical="center"/>
    </xf>
    <xf applyAlignment="true" applyBorder="false" applyFill="false" applyFont="true" applyNumberFormat="true" applyProtection="false" borderId="7" fillId="0" fontId="16" numFmtId="174" xfId="0">
      <alignment horizontal="center" vertical="center"/>
    </xf>
    <xf applyAlignment="true" applyBorder="false" applyFill="false" applyFont="true" applyNumberFormat="true" applyProtection="false" borderId="7" fillId="0" fontId="17" numFmtId="174" xfId="0">
      <alignment horizontal="center" vertical="center"/>
    </xf>
    <xf applyAlignment="true" applyBorder="false" applyFill="false" applyFont="true" applyNumberFormat="true" applyProtection="false" borderId="0" fillId="0" fontId="9" numFmtId="173" xfId="0">
      <alignment vertical="center"/>
    </xf>
    <xf applyAlignment="true" applyBorder="false" applyFill="true" applyFont="true" applyNumberFormat="false" applyProtection="false" borderId="7" fillId="5" fontId="12" numFmtId="0" xfId="0">
      <alignment horizontal="center" vertical="center"/>
    </xf>
    <xf applyAlignment="true" applyBorder="false" applyFill="true" applyFont="true" applyNumberFormat="false" applyProtection="false" borderId="7" fillId="5" fontId="12" numFmtId="0" xfId="0">
      <alignment horizontal="left" vertical="center"/>
    </xf>
    <xf applyAlignment="true" applyBorder="false" applyFill="true" applyFont="true" applyNumberFormat="true" applyProtection="false" borderId="7" fillId="5" fontId="12" numFmtId="173" xfId="0">
      <alignment horizontal="center" vertical="center"/>
    </xf>
    <xf applyAlignment="true" applyBorder="false" applyFill="true" applyFont="true" applyNumberFormat="false" applyProtection="false" borderId="7" fillId="5" fontId="10" numFmtId="0" xfId="0">
      <alignment horizontal="center" vertical="center"/>
    </xf>
    <xf applyAlignment="true" applyBorder="false" applyFill="true" applyFont="true" applyNumberFormat="false" applyProtection="false" borderId="7" fillId="5" fontId="12" numFmtId="0" xfId="0">
      <alignment horizontal="center" vertical="center"/>
    </xf>
    <xf applyAlignment="true" applyBorder="false" applyFill="false" applyFont="true" applyNumberFormat="true" applyProtection="false" borderId="2" fillId="0" fontId="12" numFmtId="172" xfId="0">
      <alignment horizontal="center" vertical="center"/>
    </xf>
    <xf applyAlignment="true" applyBorder="false" applyFill="false" applyFont="true" applyNumberFormat="true" applyProtection="false" borderId="2" fillId="0" fontId="12" numFmtId="172" xfId="0">
      <alignment horizontal="left" vertical="center"/>
    </xf>
    <xf applyAlignment="true" applyBorder="false" applyFill="false" applyFont="true" applyNumberFormat="true" applyProtection="false" borderId="2" fillId="0" fontId="12" numFmtId="173" xfId="0">
      <alignment horizontal="center" vertical="center"/>
    </xf>
    <xf applyAlignment="true" applyBorder="false" applyFill="false" applyFont="true" applyNumberFormat="true" applyProtection="false" borderId="2" fillId="0" fontId="12" numFmtId="174" xfId="0">
      <alignment horizontal="center" vertical="center"/>
    </xf>
    <xf applyAlignment="true" applyBorder="false" applyFill="false" applyFont="true" applyNumberFormat="true" applyProtection="false" borderId="1" fillId="0" fontId="10" numFmtId="173" xfId="0">
      <alignment horizontal="center" vertical="center"/>
    </xf>
    <xf applyAlignment="true" applyBorder="false" applyFill="false" applyFont="true" applyNumberFormat="true" applyProtection="false" borderId="2" fillId="0" fontId="16" numFmtId="174" xfId="0">
      <alignment horizontal="center" vertical="center"/>
    </xf>
    <xf applyAlignment="true" applyBorder="false" applyFill="false" applyFont="true" applyNumberFormat="true" applyProtection="false" borderId="1" fillId="0" fontId="16" numFmtId="175" xfId="0">
      <alignment horizontal="center" vertical="center"/>
    </xf>
    <xf applyAlignment="true" applyBorder="false" applyFill="false" applyFont="true" applyNumberFormat="true" applyProtection="false" borderId="2" fillId="0" fontId="12" numFmtId="173" xfId="0">
      <alignment horizontal="left" vertical="center"/>
    </xf>
    <xf applyAlignment="true" applyBorder="false" applyFill="false" applyFont="true" applyNumberFormat="true" applyProtection="false" borderId="2" fillId="0" fontId="12" numFmtId="173" xfId="0">
      <alignment horizontal="center" vertical="center"/>
    </xf>
    <xf applyAlignment="true" applyBorder="false" applyFill="false" applyFont="true" applyNumberFormat="false" applyProtection="false" borderId="2" fillId="0" fontId="12" numFmtId="0" xfId="0">
      <alignment horizontal="center" vertical="center"/>
    </xf>
    <xf applyAlignment="true" applyBorder="false" applyFill="false" applyFont="true" applyNumberFormat="true" applyProtection="false" borderId="1" fillId="0" fontId="10" numFmtId="174" xfId="0">
      <alignment horizontal="center" vertical="center"/>
    </xf>
    <xf applyAlignment="true" applyBorder="false" applyFill="false" applyFont="true" applyNumberFormat="true" applyProtection="false" borderId="2" fillId="0" fontId="12" numFmtId="173" xfId="0">
      <alignment horizontal="center" vertical="center"/>
    </xf>
    <xf applyAlignment="true" applyBorder="false" applyFill="false" applyFont="true" applyNumberFormat="true" applyProtection="false" borderId="1" fillId="0" fontId="9" numFmtId="176" xfId="0">
      <alignment horizontal="center" vertical="center"/>
    </xf>
    <xf applyAlignment="true" applyBorder="false" applyFill="false" applyFont="true" applyNumberFormat="true" applyProtection="false" borderId="1" fillId="0" fontId="10" numFmtId="175" xfId="0">
      <alignment horizontal="center" vertical="center"/>
    </xf>
    <xf applyAlignment="true" applyBorder="false" applyFill="false" applyFont="true" applyNumberFormat="true" applyProtection="false" borderId="0" fillId="0" fontId="9" numFmtId="174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false" applyProtection="false" borderId="7" fillId="6" fontId="12" numFmtId="0" xfId="0">
      <alignment horizontal="center" vertical="center"/>
    </xf>
    <xf applyAlignment="true" applyBorder="false" applyFill="true" applyFont="true" applyNumberFormat="false" applyProtection="false" borderId="2" fillId="6" fontId="12" numFmtId="0" xfId="0">
      <alignment horizontal="center" vertical="center"/>
    </xf>
    <xf applyAlignment="true" applyBorder="false" applyFill="true" applyFont="true" applyNumberFormat="true" applyProtection="false" borderId="2" fillId="6" fontId="12" numFmtId="174" xfId="0">
      <alignment horizontal="left" vertical="center"/>
    </xf>
    <xf applyAlignment="true" applyBorder="false" applyFill="true" applyFont="true" applyNumberFormat="true" applyProtection="false" borderId="2" fillId="6" fontId="12" numFmtId="173" xfId="0">
      <alignment horizontal="center" vertical="center"/>
    </xf>
    <xf applyAlignment="true" applyBorder="false" applyFill="true" applyFont="true" applyNumberFormat="true" applyProtection="false" borderId="2" fillId="6" fontId="10" numFmtId="174" xfId="0">
      <alignment horizontal="center" vertical="center"/>
    </xf>
    <xf applyAlignment="true" applyBorder="false" applyFill="true" applyFont="true" applyNumberFormat="true" applyProtection="false" borderId="1" fillId="6" fontId="10" numFmtId="173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1" fillId="0" fontId="16" numFmtId="174" xfId="0">
      <alignment horizontal="center" vertical="center"/>
    </xf>
    <xf applyAlignment="true" applyBorder="false" applyFill="false" applyFont="true" applyNumberFormat="true" applyProtection="false" borderId="1" fillId="0" fontId="16" numFmtId="175" xfId="0">
      <alignment horizontal="center" vertical="center"/>
    </xf>
    <xf applyAlignment="true" applyBorder="false" applyFill="false" applyFont="true" applyNumberFormat="true" applyProtection="false" borderId="1" fillId="0" fontId="9" numFmtId="176" xfId="0">
      <alignment horizontal="center" vertical="center"/>
    </xf>
    <xf applyAlignment="true" applyBorder="false" applyFill="false" applyFont="true" applyNumberFormat="true" applyProtection="false" borderId="6" fillId="0" fontId="10" numFmtId="174" xfId="0">
      <alignment horizontal="center" vertical="center"/>
    </xf>
    <xf applyAlignment="true" applyBorder="false" applyFill="false" applyFont="true" applyNumberFormat="true" applyProtection="false" borderId="1" fillId="0" fontId="17" numFmtId="175" xfId="0">
      <alignment horizontal="center" vertical="center"/>
    </xf>
    <xf applyAlignment="true" applyBorder="false" applyFill="false" applyFont="true" applyNumberFormat="true" applyProtection="false" borderId="1" fillId="0" fontId="9" numFmtId="176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12" fillId="0" fontId="12" numFmtId="173" xfId="0">
      <alignment horizontal="center" vertical="center"/>
    </xf>
    <xf applyAlignment="true" applyBorder="false" applyFill="false" applyFont="true" applyNumberFormat="true" applyProtection="false" borderId="14" fillId="0" fontId="16" numFmtId="175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left" vertical="center"/>
    </xf>
    <xf applyAlignment="true" applyBorder="false" applyFill="false" applyFont="true" applyNumberFormat="true" applyProtection="false" borderId="15" fillId="0" fontId="10" numFmtId="174" xfId="0">
      <alignment horizontal="center" vertical="center"/>
    </xf>
    <xf applyAlignment="true" applyBorder="false" applyFill="false" applyFont="true" applyNumberFormat="false" applyProtection="false" borderId="2" fillId="0" fontId="12" numFmtId="0" xfId="0">
      <alignment horizontal="left" vertical="center"/>
    </xf>
    <xf applyAlignment="true" applyBorder="false" applyFill="true" applyFont="true" applyNumberFormat="false" applyProtection="false" borderId="2" fillId="6" fontId="12" numFmtId="0" xfId="0">
      <alignment horizontal="center" vertical="center"/>
    </xf>
    <xf applyAlignment="true" applyBorder="false" applyFill="true" applyFont="true" applyNumberFormat="false" applyProtection="false" borderId="2" fillId="6" fontId="12" numFmtId="0" xfId="0">
      <alignment horizontal="left" vertical="center"/>
    </xf>
    <xf applyAlignment="true" applyBorder="false" applyFill="true" applyFont="true" applyNumberFormat="false" applyProtection="false" borderId="6" fillId="6" fontId="12" numFmtId="0" xfId="0">
      <alignment horizontal="center" vertical="center"/>
    </xf>
    <xf applyAlignment="true" applyBorder="false" applyFill="true" applyFont="true" applyNumberFormat="false" applyProtection="false" borderId="6" fillId="6" fontId="12" numFmtId="0" xfId="0">
      <alignment horizontal="center" vertical="center"/>
    </xf>
    <xf applyAlignment="true" applyBorder="false" applyFill="true" applyFont="true" applyNumberFormat="false" applyProtection="false" borderId="6" fillId="6" fontId="12" numFmtId="0" xfId="0">
      <alignment horizontal="left" vertical="center"/>
    </xf>
    <xf applyAlignment="true" applyBorder="false" applyFill="true" applyFont="true" applyNumberFormat="true" applyProtection="false" borderId="6" fillId="6" fontId="12" numFmtId="173" xfId="0">
      <alignment horizontal="center" vertical="center"/>
    </xf>
    <xf applyAlignment="true" applyBorder="false" applyFill="false" applyFont="true" applyNumberFormat="true" applyProtection="false" borderId="2" fillId="0" fontId="12" numFmtId="172" xfId="0">
      <alignment horizontal="left" vertical="center"/>
    </xf>
    <xf applyAlignment="true" applyBorder="false" applyFill="false" applyFont="true" applyNumberFormat="false" applyProtection="false" borderId="2" fillId="0" fontId="12" numFmtId="0" xfId="0">
      <alignment vertical="center"/>
    </xf>
    <xf applyAlignment="true" applyBorder="false" applyFill="false" applyFont="true" applyNumberFormat="true" applyProtection="false" borderId="12" fillId="0" fontId="6" numFmtId="172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vertical="center"/>
    </xf>
    <xf applyAlignment="true" applyBorder="false" applyFill="false" applyFont="true" applyNumberFormat="false" applyProtection="false" borderId="10" fillId="0" fontId="12" numFmtId="0" xfId="0">
      <alignment vertical="center"/>
    </xf>
    <xf applyAlignment="true" applyBorder="false" applyFill="false" applyFont="true" applyNumberFormat="false" applyProtection="false" borderId="2" fillId="0" fontId="18" numFmtId="0" xfId="0">
      <alignment vertical="center"/>
    </xf>
    <xf applyAlignment="true" applyBorder="false" applyFill="false" applyFont="true" applyNumberFormat="false" applyProtection="false" borderId="2" fillId="0" fontId="11" numFmtId="0" xfId="0">
      <alignment vertical="center"/>
    </xf>
    <xf applyAlignment="true" applyBorder="false" applyFill="false" applyFont="true" applyNumberFormat="true" applyProtection="false" borderId="2" fillId="0" fontId="12" numFmtId="174" xfId="0">
      <alignment horizontal="center" vertical="center"/>
    </xf>
    <xf applyAlignment="true" applyBorder="false" applyFill="true" applyFont="true" applyNumberFormat="false" applyProtection="false" borderId="2" fillId="7" fontId="19" numFmtId="0" xfId="0">
      <alignment horizontal="left" vertical="center"/>
    </xf>
    <xf applyAlignment="true" applyBorder="false" applyFill="false" applyFont="true" applyNumberFormat="false" applyProtection="false" borderId="2" fillId="0" fontId="6" numFmtId="0" xfId="0">
      <alignment horizontal="center" vertical="center"/>
    </xf>
    <xf applyAlignment="true" applyBorder="false" applyFill="false" applyFont="true" applyNumberFormat="true" applyProtection="false" borderId="2" fillId="0" fontId="20" numFmtId="173" xfId="0">
      <alignment horizontal="center" vertical="center" wrapText="true"/>
    </xf>
    <xf applyAlignment="true" applyBorder="false" applyFill="false" applyFont="true" applyNumberFormat="true" applyProtection="false" borderId="0" fillId="0" fontId="16" numFmtId="174" xfId="0">
      <alignment horizontal="center" vertical="center"/>
    </xf>
    <xf applyAlignment="true" applyBorder="false" applyFill="false" applyFont="true" applyNumberFormat="true" applyProtection="false" borderId="3" fillId="0" fontId="10" numFmtId="174" xfId="0">
      <alignment horizontal="center" vertical="center"/>
    </xf>
    <xf applyAlignment="true" applyBorder="false" applyFill="false" applyFont="true" applyNumberFormat="true" applyProtection="false" borderId="4" fillId="0" fontId="9" numFmtId="176" xfId="0">
      <alignment horizontal="center" vertical="center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false" applyFont="true" applyNumberFormat="true" applyProtection="false" borderId="16" fillId="0" fontId="21" numFmtId="173" xfId="0">
      <alignment horizontal="center" vertical="center" wrapText="true"/>
    </xf>
    <xf applyAlignment="true" applyBorder="false" applyFill="false" applyFont="true" applyNumberFormat="true" applyProtection="false" borderId="16" fillId="0" fontId="10" numFmtId="173" xfId="0">
      <alignment horizontal="center" vertical="center"/>
    </xf>
    <xf applyAlignment="true" applyBorder="false" applyFill="false" applyFont="true" applyNumberFormat="true" applyProtection="false" borderId="15" fillId="0" fontId="9" numFmtId="172" xfId="0">
      <alignment horizontal="center" vertical="center"/>
    </xf>
    <xf applyAlignment="true" applyBorder="false" applyFill="false" applyFont="true" applyNumberFormat="false" applyProtection="false" borderId="15" fillId="0" fontId="9" numFmtId="0" xfId="0">
      <alignment horizontal="center" vertical="center"/>
    </xf>
    <xf applyAlignment="true" applyBorder="false" applyFill="false" applyFont="true" applyNumberFormat="false" applyProtection="false" borderId="15" fillId="0" fontId="9" numFmtId="0" xfId="0">
      <alignment horizontal="left" vertical="center"/>
    </xf>
    <xf applyAlignment="true" applyBorder="false" applyFill="false" applyFont="true" applyNumberFormat="true" applyProtection="false" borderId="15" fillId="0" fontId="10" numFmtId="173" xfId="0">
      <alignment horizontal="center" vertical="center"/>
    </xf>
    <xf applyAlignment="true" applyBorder="false" applyFill="false" applyFont="true" applyNumberFormat="true" applyProtection="false" borderId="15" fillId="0" fontId="10" numFmtId="174" xfId="0">
      <alignment horizontal="center" vertical="center"/>
    </xf>
    <xf applyAlignment="true" applyBorder="false" applyFill="false" applyFont="true" applyNumberFormat="true" applyProtection="false" borderId="0" fillId="0" fontId="16" numFmtId="174" xfId="0">
      <alignment horizontal="center" vertical="center"/>
    </xf>
    <xf applyAlignment="true" applyBorder="false" applyFill="false" applyFont="true" applyNumberFormat="true" applyProtection="false" borderId="1" fillId="0" fontId="9" numFmtId="175" xfId="0">
      <alignment horizontal="center" vertical="center"/>
    </xf>
    <xf applyAlignment="true" applyBorder="false" applyFill="false" applyFont="true" applyNumberFormat="true" applyProtection="false" borderId="0" fillId="0" fontId="9" numFmtId="176" xfId="0">
      <alignment horizontal="center" vertical="center"/>
    </xf>
    <xf applyAlignment="true" applyBorder="false" applyFill="true" applyFont="true" applyNumberFormat="false" applyProtection="false" borderId="2" fillId="8" fontId="12" numFmtId="0" xfId="0">
      <alignment horizontal="center" vertical="center"/>
    </xf>
    <xf applyAlignment="true" applyBorder="false" applyFill="true" applyFont="true" applyNumberFormat="false" applyProtection="false" borderId="2" fillId="8" fontId="12" numFmtId="0" xfId="0">
      <alignment horizontal="center" vertical="center"/>
    </xf>
    <xf applyAlignment="true" applyBorder="false" applyFill="true" applyFont="true" applyNumberFormat="false" applyProtection="false" borderId="17" fillId="8" fontId="22" numFmtId="0" xfId="0">
      <alignment horizontal="left" vertical="center"/>
    </xf>
    <xf applyAlignment="true" applyBorder="false" applyFill="true" applyFont="true" applyNumberFormat="true" applyProtection="false" borderId="17" fillId="8" fontId="23" numFmtId="173" xfId="0">
      <alignment vertical="center"/>
    </xf>
    <xf applyAlignment="true" applyBorder="false" applyFill="true" applyFont="true" applyNumberFormat="true" applyProtection="false" borderId="17" fillId="8" fontId="22" numFmtId="175" xfId="0">
      <alignment horizontal="center" vertical="center"/>
    </xf>
    <xf applyAlignment="true" applyBorder="false" applyFill="false" applyFont="true" applyNumberFormat="true" applyProtection="false" borderId="17" fillId="0" fontId="22" numFmtId="172" xfId="0">
      <alignment horizontal="left" vertical="center"/>
    </xf>
    <xf applyAlignment="true" applyBorder="false" applyFill="false" applyFont="true" applyNumberFormat="false" applyProtection="false" borderId="17" fillId="0" fontId="22" numFmtId="0" xfId="0">
      <alignment vertical="center"/>
    </xf>
    <xf applyAlignment="true" applyBorder="false" applyFill="false" applyFont="true" applyNumberFormat="true" applyProtection="false" borderId="17" fillId="0" fontId="22" numFmtId="173" xfId="0">
      <alignment horizontal="center" vertical="center"/>
    </xf>
    <xf applyAlignment="true" applyBorder="false" applyFill="false" applyFont="true" applyNumberFormat="true" applyProtection="false" borderId="17" fillId="0" fontId="22" numFmtId="174" xfId="0">
      <alignment horizontal="center" vertical="center"/>
    </xf>
    <xf applyAlignment="true" applyBorder="false" applyFill="false" applyFont="true" applyNumberFormat="false" applyProtection="false" borderId="17" fillId="0" fontId="22" numFmtId="0" xfId="0">
      <alignment horizontal="left" vertical="center"/>
    </xf>
    <xf applyAlignment="true" applyBorder="false" applyFill="true" applyFont="true" applyNumberFormat="true" applyProtection="false" borderId="17" fillId="8" fontId="22" numFmtId="178" xfId="0">
      <alignment horizontal="center" vertical="center"/>
    </xf>
    <xf applyAlignment="true" applyBorder="false" applyFill="true" applyFont="true" applyNumberFormat="false" applyProtection="false" borderId="17" fillId="8" fontId="22" numFmtId="0" xfId="0">
      <alignment horizontal="center" vertical="center"/>
    </xf>
    <xf applyAlignment="true" applyBorder="false" applyFill="true" applyFont="true" applyNumberFormat="false" applyProtection="false" borderId="17" fillId="8" fontId="22" numFmtId="0" xfId="0">
      <alignment horizontal="center" vertical="center"/>
    </xf>
    <xf applyAlignment="true" applyBorder="false" applyFill="false" applyFont="true" applyNumberFormat="true" applyProtection="false" borderId="1" fillId="0" fontId="9" numFmtId="179" xfId="0">
      <alignment horizontal="center" vertical="center"/>
    </xf>
    <xf applyAlignment="true" applyBorder="false" applyFill="false" applyFont="true" applyNumberFormat="true" applyProtection="false" borderId="1" fillId="0" fontId="10" numFmtId="174" xfId="0">
      <alignment horizontal="center" vertical="center"/>
    </xf>
    <xf applyAlignment="true" applyBorder="false" applyFill="false" applyFont="true" applyNumberFormat="true" applyProtection="false" borderId="1" fillId="0" fontId="9" numFmtId="179" xfId="0">
      <alignment horizontal="center" vertical="center"/>
    </xf>
    <xf applyAlignment="true" applyBorder="false" applyFill="false" applyFont="true" applyNumberFormat="false" applyProtection="false" borderId="18" fillId="0" fontId="24" numFmtId="0" xfId="0">
      <alignment horizontal="center" vertical="center"/>
    </xf>
    <xf applyAlignment="true" applyBorder="false" applyFill="false" applyFont="true" applyNumberFormat="false" applyProtection="false" borderId="18" fillId="0" fontId="24" numFmtId="0" xfId="0">
      <alignment horizontal="center" vertical="center"/>
    </xf>
    <xf applyAlignment="true" applyBorder="false" applyFill="false" applyFont="true" applyNumberFormat="false" applyProtection="false" borderId="18" fillId="0" fontId="24" numFmtId="0" xfId="0">
      <alignment horizontal="center" vertical="center" wrapText="true"/>
    </xf>
    <xf applyAlignment="true" applyBorder="false" applyFill="false" applyFont="true" applyNumberFormat="true" applyProtection="false" borderId="18" fillId="0" fontId="24" numFmtId="180" xfId="0">
      <alignment horizontal="center" vertical="center"/>
    </xf>
    <xf applyAlignment="true" applyBorder="false" applyFill="false" applyFont="true" applyNumberFormat="false" applyProtection="false" borderId="19" fillId="0" fontId="25" numFmtId="0" xfId="0">
      <alignment horizontal="center" vertical="center"/>
    </xf>
    <xf applyAlignment="true" applyBorder="false" applyFill="false" applyFont="true" applyNumberFormat="false" applyProtection="false" borderId="19" fillId="0" fontId="25" numFmtId="0" xfId="0">
      <alignment horizontal="center" vertical="center"/>
    </xf>
    <xf applyAlignment="true" applyBorder="false" applyFill="false" applyFont="true" applyNumberFormat="true" applyProtection="false" borderId="19" fillId="0" fontId="24" numFmtId="180" xfId="0">
      <alignment horizontal="center" vertical="center"/>
    </xf>
    <xf applyAlignment="true" applyBorder="false" applyFill="false" applyFont="true" applyNumberFormat="true" applyProtection="false" borderId="18" fillId="0" fontId="24" numFmtId="181" xfId="0">
      <alignment horizontal="center" vertical="center"/>
    </xf>
    <xf applyAlignment="true" applyBorder="false" applyFill="false" applyFont="true" applyNumberFormat="true" applyProtection="false" borderId="20" fillId="0" fontId="24" numFmtId="181" xfId="0">
      <alignment horizontal="center" vertical="center"/>
    </xf>
    <xf applyAlignment="true" applyBorder="false" applyFill="false" applyFont="true" applyNumberFormat="false" applyProtection="false" borderId="20" fillId="0" fontId="24" numFmtId="0" xfId="0">
      <alignment horizontal="center" vertical="center"/>
    </xf>
    <xf applyAlignment="true" applyBorder="false" applyFill="false" applyFont="true" applyNumberFormat="true" applyProtection="false" borderId="21" fillId="0" fontId="24" numFmtId="180" xfId="0">
      <alignment horizontal="center" vertical="center"/>
    </xf>
    <xf applyAlignment="true" applyBorder="false" applyFill="false" applyFont="true" applyNumberFormat="true" applyProtection="false" borderId="22" fillId="0" fontId="24" numFmtId="181" xfId="0">
      <alignment horizontal="center" vertical="center"/>
    </xf>
    <xf applyAlignment="true" applyBorder="false" applyFill="false" applyFont="true" applyNumberFormat="true" applyProtection="false" borderId="22" fillId="0" fontId="24" numFmtId="180" xfId="0">
      <alignment horizontal="center" vertical="center"/>
    </xf>
    <xf applyAlignment="true" applyBorder="false" applyFill="false" applyFont="true" applyNumberFormat="false" applyProtection="false" borderId="22" fillId="0" fontId="24" numFmtId="0" xfId="0">
      <alignment horizontal="center" vertical="center"/>
    </xf>
    <xf applyAlignment="true" applyBorder="false" applyFill="false" applyFont="true" applyNumberFormat="true" applyProtection="false" borderId="22" fillId="0" fontId="24" numFmtId="180" xfId="0">
      <alignment horizontal="center" vertical="center"/>
    </xf>
    <xf applyAlignment="true" applyBorder="false" applyFill="false" applyFont="true" applyNumberFormat="true" applyProtection="false" borderId="22" fillId="0" fontId="24" numFmtId="182" xfId="0">
      <alignment horizontal="center" vertical="center"/>
    </xf>
    <xf applyAlignment="true" applyBorder="false" applyFill="false" applyFont="true" applyNumberFormat="true" applyProtection="false" borderId="22" fillId="0" fontId="24" numFmtId="181" xfId="0">
      <alignment horizontal="center" vertical="center"/>
    </xf>
    <xf applyAlignment="true" applyBorder="false" applyFill="false" applyFont="true" applyNumberFormat="true" applyProtection="false" borderId="23" fillId="0" fontId="24" numFmtId="181" xfId="0">
      <alignment horizontal="center" vertical="center"/>
    </xf>
    <xf applyAlignment="true" applyBorder="false" applyFill="false" applyFont="true" applyNumberFormat="true" applyProtection="false" borderId="22" fillId="0" fontId="24" numFmtId="183" xfId="0">
      <alignment horizontal="center" vertical="center"/>
    </xf>
    <xf applyAlignment="true" applyBorder="false" applyFill="false" applyFont="true" applyNumberFormat="true" applyProtection="false" borderId="24" fillId="0" fontId="24" numFmtId="181" xfId="0">
      <alignment horizontal="center" vertical="center" wrapText="true"/>
    </xf>
    <xf applyAlignment="true" applyBorder="false" applyFill="false" applyFont="true" applyNumberFormat="true" applyProtection="false" borderId="18" fillId="0" fontId="24" numFmtId="181" xfId="0">
      <alignment horizontal="center" vertical="center" wrapText="true"/>
    </xf>
    <xf applyAlignment="true" applyBorder="false" applyFill="false" applyFont="true" applyNumberFormat="false" applyProtection="false" borderId="20" fillId="0" fontId="25" numFmtId="0" xfId="0">
      <alignment horizontal="center" vertical="center"/>
    </xf>
    <xf applyAlignment="true" applyBorder="false" applyFill="false" applyFont="true" applyNumberFormat="true" applyProtection="false" borderId="25" fillId="0" fontId="24" numFmtId="180" xfId="0">
      <alignment horizontal="center" vertical="center"/>
    </xf>
    <xf applyAlignment="true" applyBorder="false" applyFill="false" applyFont="true" applyNumberFormat="false" applyProtection="false" borderId="22" fillId="0" fontId="24" numFmtId="0" xfId="0">
      <alignment horizontal="center" vertical="center"/>
    </xf>
    <xf applyAlignment="true" applyBorder="false" applyFill="false" applyFont="true" applyNumberFormat="false" applyProtection="false" borderId="26" fillId="0" fontId="24" numFmtId="0" xfId="0">
      <alignment horizontal="center" vertical="center"/>
    </xf>
    <xf applyAlignment="true" applyBorder="false" applyFill="false" applyFont="true" applyNumberFormat="true" applyProtection="false" borderId="26" fillId="0" fontId="24" numFmtId="182" xfId="0">
      <alignment horizontal="center" vertical="center"/>
    </xf>
    <xf applyAlignment="true" applyBorder="false" applyFill="false" applyFont="true" applyNumberFormat="true" applyProtection="false" borderId="26" fillId="0" fontId="24" numFmtId="181" xfId="0">
      <alignment horizontal="center" vertical="center"/>
    </xf>
    <xf applyAlignment="true" applyBorder="false" applyFill="false" applyFont="true" applyNumberFormat="true" applyProtection="false" borderId="26" fillId="0" fontId="24" numFmtId="180" xfId="0">
      <alignment horizontal="center" vertical="center"/>
    </xf>
    <xf applyAlignment="true" applyBorder="false" applyFill="false" applyFont="true" applyNumberFormat="true" applyProtection="false" borderId="27" fillId="0" fontId="24" numFmtId="180" xfId="0">
      <alignment horizontal="center" vertical="center"/>
    </xf>
    <xf applyAlignment="true" applyBorder="false" applyFill="false" applyFont="true" applyNumberFormat="true" applyProtection="false" borderId="27" fillId="0" fontId="24" numFmtId="183" xfId="0">
      <alignment horizontal="center" vertical="center"/>
    </xf>
    <xf applyAlignment="true" applyBorder="false" applyFill="false" applyFont="true" applyNumberFormat="true" applyProtection="false" borderId="24" fillId="0" fontId="24" numFmtId="181" xfId="0">
      <alignment horizontal="center" vertical="center" wrapText="true"/>
    </xf>
    <xf applyAlignment="true" applyBorder="false" applyFill="false" applyFont="true" applyNumberFormat="false" applyProtection="false" borderId="18" fillId="0" fontId="26" numFmtId="0" xfId="0">
      <alignment horizontal="center" vertical="center"/>
    </xf>
    <xf applyAlignment="true" applyBorder="false" applyFill="false" applyFont="true" applyNumberFormat="false" applyProtection="false" borderId="18" fillId="0" fontId="26" numFmtId="0" xfId="0">
      <alignment horizontal="center" vertical="center"/>
    </xf>
    <xf applyAlignment="true" applyBorder="false" applyFill="false" applyFont="true" applyNumberFormat="true" applyProtection="false" borderId="18" fillId="0" fontId="26" numFmtId="184" xfId="0">
      <alignment horizontal="center" vertical="center"/>
    </xf>
    <xf applyAlignment="true" applyBorder="false" applyFill="false" applyFont="true" applyNumberFormat="false" applyProtection="false" borderId="18" fillId="0" fontId="26" numFmtId="0" xfId="0">
      <alignment horizontal="right" vertical="center" wrapText="true"/>
    </xf>
    <xf applyAlignment="true" applyBorder="false" applyFill="false" applyFont="true" applyNumberFormat="true" applyProtection="false" borderId="18" fillId="0" fontId="26" numFmtId="180" xfId="0">
      <alignment horizontal="center" vertical="center"/>
    </xf>
    <xf applyAlignment="true" applyBorder="false" applyFill="false" applyFont="true" applyNumberFormat="true" applyProtection="false" borderId="18" fillId="0" fontId="26" numFmtId="180" xfId="0">
      <alignment horizontal="center" vertical="center"/>
    </xf>
    <xf applyAlignment="true" applyBorder="false" applyFill="false" applyFont="true" applyNumberFormat="true" applyProtection="false" borderId="20" fillId="0" fontId="25" numFmtId="181" xfId="0">
      <alignment horizontal="center" vertical="center"/>
    </xf>
    <xf applyAlignment="true" applyBorder="false" applyFill="false" applyFont="true" applyNumberFormat="true" applyProtection="false" borderId="20" fillId="0" fontId="25" numFmtId="181" xfId="0">
      <alignment horizontal="center" vertical="center"/>
    </xf>
    <xf applyAlignment="true" applyBorder="false" applyFill="false" applyFont="true" applyNumberFormat="true" applyProtection="false" borderId="25" fillId="0" fontId="26" numFmtId="180" xfId="0">
      <alignment horizontal="center" vertical="center"/>
    </xf>
    <xf applyAlignment="true" applyBorder="false" applyFill="false" applyFont="true" applyNumberFormat="true" applyProtection="false" borderId="18" fillId="0" fontId="26" numFmtId="181" xfId="0">
      <alignment horizontal="center" vertical="center"/>
    </xf>
    <xf applyAlignment="true" applyBorder="false" applyFill="false" applyFont="true" applyNumberFormat="true" applyProtection="false" borderId="18" fillId="0" fontId="26" numFmtId="181" xfId="0">
      <alignment horizontal="center" vertical="center"/>
    </xf>
    <xf applyAlignment="true" applyBorder="false" applyFill="false" applyFont="true" applyNumberFormat="true" applyProtection="false" borderId="18" fillId="0" fontId="26" numFmtId="181" xfId="0">
      <alignment horizontal="center" vertical="center"/>
    </xf>
    <xf applyAlignment="true" applyBorder="false" applyFill="false" applyFont="true" applyNumberFormat="true" applyProtection="false" borderId="20" fillId="0" fontId="26" numFmtId="181" xfId="0">
      <alignment horizontal="center" vertical="center"/>
    </xf>
    <xf applyAlignment="true" applyBorder="false" applyFill="false" applyFont="true" applyNumberFormat="true" applyProtection="false" borderId="18" fillId="0" fontId="26" numFmtId="185" xfId="0">
      <alignment horizontal="center" vertical="center"/>
    </xf>
    <xf applyAlignment="true" applyBorder="false" applyFill="false" applyFont="true" applyNumberFormat="true" applyProtection="false" borderId="18" fillId="0" fontId="26" numFmtId="180" xfId="0">
      <alignment horizontal="center" vertical="center"/>
    </xf>
    <xf applyAlignment="true" applyBorder="false" applyFill="false" applyFont="true" applyNumberFormat="true" applyProtection="false" borderId="28" fillId="0" fontId="26" numFmtId="181" xfId="0">
      <alignment horizontal="center" vertical="center"/>
    </xf>
    <xf applyAlignment="true" applyBorder="false" applyFill="false" applyFont="true" applyNumberFormat="true" applyProtection="false" borderId="28" fillId="0" fontId="26" numFmtId="180" xfId="0">
      <alignment horizontal="center" vertical="center"/>
    </xf>
    <xf applyAlignment="true" applyBorder="false" applyFill="false" applyFont="true" applyNumberFormat="false" applyProtection="false" borderId="29" fillId="0" fontId="26" numFmtId="0" xfId="0">
      <alignment horizontal="center" vertical="center"/>
    </xf>
    <xf applyAlignment="true" applyBorder="false" applyFill="false" applyFont="true" applyNumberFormat="true" applyProtection="false" borderId="29" fillId="0" fontId="26" numFmtId="180" xfId="0">
      <alignment horizontal="center" vertical="center"/>
    </xf>
    <xf applyAlignment="true" applyBorder="false" applyFill="false" applyFont="true" applyNumberFormat="true" applyProtection="false" borderId="30" fillId="0" fontId="26" numFmtId="180" xfId="0">
      <alignment horizontal="center" vertical="center"/>
    </xf>
    <xf applyAlignment="true" applyBorder="false" applyFill="false" applyFont="true" applyNumberFormat="false" applyProtection="false" borderId="22" fillId="0" fontId="26" numFmtId="0" xfId="0">
      <alignment horizontal="center" vertical="center"/>
    </xf>
    <xf applyAlignment="true" applyBorder="false" applyFill="false" applyFont="true" applyNumberFormat="true" applyProtection="false" borderId="22" fillId="0" fontId="26" numFmtId="180" xfId="0">
      <alignment horizontal="center" vertical="center"/>
    </xf>
    <xf applyAlignment="true" applyBorder="false" applyFill="false" applyFont="true" applyNumberFormat="true" applyProtection="false" borderId="23" fillId="0" fontId="26" numFmtId="182" xfId="0">
      <alignment horizontal="center" vertical="center"/>
    </xf>
    <xf applyAlignment="true" applyBorder="false" applyFill="false" applyFont="true" applyNumberFormat="true" applyProtection="false" borderId="23" fillId="0" fontId="26" numFmtId="180" xfId="0">
      <alignment horizontal="center" vertical="center"/>
    </xf>
    <xf applyAlignment="true" applyBorder="false" applyFill="false" applyFont="true" applyNumberFormat="true" applyProtection="false" borderId="22" fillId="0" fontId="26" numFmtId="181" xfId="0">
      <alignment horizontal="center" vertical="center"/>
    </xf>
    <xf applyAlignment="true" applyBorder="false" applyFill="false" applyFont="true" applyNumberFormat="true" applyProtection="false" borderId="31" fillId="0" fontId="27" numFmtId="181" xfId="0">
      <alignment horizontal="center" vertical="center"/>
    </xf>
    <xf applyAlignment="true" applyBorder="false" applyFill="false" applyFont="true" applyNumberFormat="true" applyProtection="false" borderId="31" fillId="0" fontId="27" numFmtId="183" xfId="0">
      <alignment horizontal="center" vertical="center"/>
    </xf>
    <xf applyAlignment="true" applyBorder="false" applyFill="false" applyFont="true" applyNumberFormat="true" applyProtection="false" borderId="31" fillId="0" fontId="27" numFmtId="187" xfId="0">
      <alignment horizontal="center" vertical="center"/>
    </xf>
    <xf applyAlignment="true" applyBorder="false" applyFill="false" applyFont="true" applyNumberFormat="true" applyProtection="false" borderId="24" fillId="0" fontId="26" numFmtId="181" xfId="0">
      <alignment horizontal="center" vertical="center"/>
    </xf>
    <xf applyAlignment="true" applyBorder="false" applyFill="false" applyFont="true" applyNumberFormat="true" applyProtection="false" borderId="20" fillId="0" fontId="26" numFmtId="181" xfId="0">
      <alignment horizontal="center" vertical="center"/>
    </xf>
    <xf applyAlignment="true" applyBorder="false" applyFill="false" applyFont="true" applyNumberFormat="true" applyProtection="false" borderId="18" fillId="0" fontId="28" numFmtId="181" xfId="0">
      <alignment horizontal="center" vertical="center"/>
    </xf>
    <xf applyAlignment="true" applyBorder="false" applyFill="false" applyFont="true" applyNumberFormat="false" applyProtection="false" borderId="18" fillId="0" fontId="29" numFmtId="0" xfId="0">
      <alignment horizontal="center" vertical="center"/>
    </xf>
    <xf applyAlignment="true" applyBorder="false" applyFill="false" applyFont="true" applyNumberFormat="true" applyProtection="false" borderId="18" fillId="0" fontId="29" numFmtId="184" xfId="0">
      <alignment horizontal="center" vertical="center"/>
    </xf>
    <xf applyAlignment="true" applyBorder="false" applyFill="false" applyFont="true" applyNumberFormat="true" applyProtection="false" borderId="18" fillId="0" fontId="29" numFmtId="181" xfId="0">
      <alignment horizontal="right" vertical="center" wrapText="true"/>
    </xf>
    <xf applyAlignment="true" applyBorder="false" applyFill="false" applyFont="true" applyNumberFormat="true" applyProtection="false" borderId="18" fillId="0" fontId="29" numFmtId="180" xfId="0">
      <alignment horizontal="center" vertical="center"/>
    </xf>
    <xf applyAlignment="true" applyBorder="false" applyFill="false" applyFont="true" applyNumberFormat="true" applyProtection="false" borderId="18" fillId="0" fontId="29" numFmtId="180" xfId="0">
      <alignment horizontal="center" vertical="center"/>
    </xf>
    <xf applyAlignment="true" applyBorder="false" applyFill="false" applyFont="true" applyNumberFormat="false" applyProtection="false" borderId="20" fillId="0" fontId="30" numFmtId="0" xfId="0">
      <alignment horizontal="center" vertical="center"/>
    </xf>
    <xf applyAlignment="true" applyBorder="false" applyFill="false" applyFont="true" applyNumberFormat="true" applyProtection="false" borderId="20" fillId="0" fontId="30" numFmtId="181" xfId="0">
      <alignment horizontal="center" vertical="center"/>
    </xf>
    <xf applyAlignment="true" applyBorder="false" applyFill="false" applyFont="true" applyNumberFormat="true" applyProtection="false" borderId="25" fillId="0" fontId="29" numFmtId="180" xfId="0">
      <alignment horizontal="center" vertical="center"/>
    </xf>
    <xf applyAlignment="true" applyBorder="false" applyFill="false" applyFont="true" applyNumberFormat="true" applyProtection="false" borderId="18" fillId="0" fontId="29" numFmtId="181" xfId="0">
      <alignment horizontal="center" vertical="center"/>
    </xf>
    <xf applyAlignment="true" applyBorder="false" applyFill="false" applyFont="true" applyNumberFormat="true" applyProtection="false" borderId="18" fillId="0" fontId="29" numFmtId="185" xfId="0">
      <alignment horizontal="center" vertical="center"/>
    </xf>
    <xf applyAlignment="true" applyBorder="false" applyFill="false" applyFont="true" applyNumberFormat="true" applyProtection="false" borderId="18" fillId="0" fontId="29" numFmtId="181" xfId="0">
      <alignment horizontal="center" vertical="center"/>
    </xf>
    <xf applyAlignment="true" applyBorder="false" applyFill="false" applyFont="true" applyNumberFormat="true" applyProtection="false" borderId="20" fillId="0" fontId="29" numFmtId="181" xfId="0">
      <alignment horizontal="center" vertical="center"/>
    </xf>
    <xf applyAlignment="true" applyBorder="false" applyFill="false" applyFont="true" applyNumberFormat="true" applyProtection="false" borderId="20" fillId="0" fontId="29" numFmtId="181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true" applyProtection="false" borderId="29" fillId="0" fontId="29" numFmtId="180" xfId="0">
      <alignment horizontal="center" vertical="center"/>
    </xf>
    <xf applyAlignment="true" applyBorder="false" applyFill="false" applyFont="true" applyNumberFormat="true" applyProtection="false" borderId="30" fillId="0" fontId="29" numFmtId="180" xfId="0">
      <alignment horizontal="center" vertical="center"/>
    </xf>
    <xf applyAlignment="true" applyBorder="false" applyFill="false" applyFont="true" applyNumberFormat="false" applyProtection="false" borderId="22" fillId="0" fontId="29" numFmtId="0" xfId="0">
      <alignment horizontal="center" vertical="center"/>
    </xf>
    <xf applyAlignment="true" applyBorder="false" applyFill="false" applyFont="true" applyNumberFormat="true" applyProtection="false" borderId="22" fillId="0" fontId="29" numFmtId="180" xfId="0">
      <alignment horizontal="center" vertical="center"/>
    </xf>
    <xf applyAlignment="true" applyBorder="false" applyFill="false" applyFont="true" applyNumberFormat="true" applyProtection="false" borderId="23" fillId="0" fontId="29" numFmtId="182" xfId="0">
      <alignment horizontal="center" vertical="center"/>
    </xf>
    <xf applyAlignment="true" applyBorder="false" applyFill="false" applyFont="true" applyNumberFormat="true" applyProtection="false" borderId="23" fillId="0" fontId="29" numFmtId="180" xfId="0">
      <alignment horizontal="center" vertical="center"/>
    </xf>
    <xf applyAlignment="true" applyBorder="false" applyFill="false" applyFont="true" applyNumberFormat="true" applyProtection="false" borderId="22" fillId="0" fontId="29" numFmtId="181" xfId="0">
      <alignment horizontal="center" vertical="center"/>
    </xf>
    <xf applyAlignment="true" applyBorder="false" applyFill="false" applyFont="true" applyNumberFormat="true" applyProtection="false" borderId="22" fillId="0" fontId="29" numFmtId="183" xfId="0">
      <alignment horizontal="center" vertical="center"/>
    </xf>
    <xf applyAlignment="true" applyBorder="false" applyFill="false" applyFont="true" applyNumberFormat="true" applyProtection="false" borderId="22" fillId="0" fontId="29" numFmtId="187" xfId="0">
      <alignment horizontal="center" vertical="center"/>
    </xf>
    <xf applyAlignment="true" applyBorder="false" applyFill="false" applyFont="true" applyNumberFormat="true" applyProtection="false" borderId="24" fillId="0" fontId="29" numFmtId="181" xfId="0">
      <alignment horizontal="center" vertical="center"/>
    </xf>
    <xf applyAlignment="true" applyBorder="false" applyFill="false" applyFont="true" applyNumberFormat="true" applyProtection="false" borderId="18" fillId="0" fontId="30" numFmtId="181" xfId="0">
      <alignment horizontal="center" vertical="center"/>
    </xf>
    <xf applyAlignment="true" applyBorder="false" applyFill="false" applyFont="true" applyNumberFormat="false" applyProtection="false" borderId="18" fillId="0" fontId="29" numFmtId="0" xfId="0">
      <alignment horizontal="right" vertical="center" wrapText="true"/>
    </xf>
    <xf applyAlignment="true" applyBorder="false" applyFill="false" applyFont="true" applyNumberFormat="true" applyProtection="false" borderId="18" fillId="0" fontId="29" numFmtId="180" xfId="0">
      <alignment horizontal="center" vertical="center"/>
    </xf>
    <xf applyAlignment="true" applyBorder="false" applyFill="false" applyFont="true" applyNumberFormat="true" applyProtection="false" borderId="18" fillId="0" fontId="29" numFmtId="181" xfId="0">
      <alignment horizontal="center" vertical="center"/>
    </xf>
    <xf applyAlignment="true" applyBorder="false" applyFill="false" applyFont="true" applyNumberFormat="true" applyProtection="false" borderId="18" fillId="0" fontId="29" numFmtId="180" xfId="0">
      <alignment horizontal="center" vertical="center"/>
    </xf>
    <xf applyAlignment="true" applyBorder="false" applyFill="false" applyFont="true" applyNumberFormat="true" applyProtection="false" borderId="22" fillId="0" fontId="29" numFmtId="182" xfId="0">
      <alignment horizontal="center" vertical="center"/>
    </xf>
    <xf applyAlignment="true" applyBorder="false" applyFill="false" applyFont="true" applyNumberFormat="true" applyProtection="false" borderId="18" fillId="0" fontId="26" numFmtId="181" xfId="0">
      <alignment horizontal="center" vertical="center"/>
    </xf>
    <xf applyAlignment="true" applyBorder="false" applyFill="false" applyFont="true" applyNumberFormat="true" applyProtection="false" borderId="18" fillId="0" fontId="26" numFmtId="180" xfId="0">
      <alignment horizontal="center" vertical="center"/>
    </xf>
    <xf applyAlignment="true" applyBorder="false" applyFill="false" applyFont="true" applyNumberFormat="true" applyProtection="false" borderId="23" fillId="0" fontId="26" numFmtId="182" xfId="0">
      <alignment horizontal="center" vertical="center"/>
    </xf>
    <xf applyAlignment="true" applyBorder="false" applyFill="false" applyFont="true" applyNumberFormat="true" applyProtection="false" borderId="18" fillId="0" fontId="26" numFmtId="181" xfId="0">
      <alignment horizontal="center" vertical="center" wrapText="true"/>
    </xf>
    <xf applyAlignment="true" applyBorder="false" applyFill="false" applyFont="true" applyNumberFormat="true" applyProtection="false" borderId="22" fillId="0" fontId="26" numFmtId="183" xfId="0">
      <alignment horizontal="center" vertical="center"/>
    </xf>
    <xf applyAlignment="true" applyBorder="false" applyFill="false" applyFont="true" applyNumberFormat="true" applyProtection="false" borderId="22" fillId="0" fontId="26" numFmtId="187" xfId="0">
      <alignment horizontal="center" vertical="center"/>
    </xf>
    <xf applyAlignment="true" applyBorder="false" applyFill="false" applyFont="true" applyNumberFormat="true" applyProtection="false" borderId="24" fillId="0" fontId="26" numFmtId="181" xfId="0">
      <alignment horizontal="center" vertical="center"/>
    </xf>
    <xf applyAlignment="true" applyBorder="false" applyFill="false" applyFont="true" applyNumberFormat="true" applyProtection="false" borderId="26" fillId="0" fontId="26" numFmtId="180" xfId="0">
      <alignment horizontal="center" vertical="center"/>
    </xf>
    <xf applyAlignment="true" applyBorder="false" applyFill="false" applyFont="true" applyNumberFormat="true" applyProtection="false" borderId="31" fillId="0" fontId="27" numFmtId="180" xfId="0">
      <alignment horizontal="center" vertical="center"/>
    </xf>
    <xf applyAlignment="true" applyBorder="false" applyFill="false" applyFont="true" applyNumberFormat="true" applyProtection="false" borderId="24" fillId="0" fontId="26" numFmtId="181" xfId="0">
      <alignment horizontal="center" vertical="center"/>
    </xf>
    <xf applyAlignment="true" applyBorder="false" applyFill="false" applyFont="true" applyNumberFormat="true" applyProtection="false" borderId="32" fillId="0" fontId="26" numFmtId="181" xfId="0">
      <alignment horizontal="center" vertical="center"/>
    </xf>
    <xf applyAlignment="true" applyBorder="false" applyFill="false" applyFont="true" applyNumberFormat="true" applyProtection="false" borderId="18" fillId="0" fontId="28" numFmtId="181" xfId="0">
      <alignment horizontal="center" vertical="center"/>
    </xf>
    <xf applyAlignment="true" applyBorder="false" applyFill="false" applyFont="true" applyNumberFormat="true" applyProtection="false" borderId="29" fillId="0" fontId="29" numFmtId="181" xfId="0">
      <alignment horizontal="center" vertical="center"/>
    </xf>
    <xf applyAlignment="true" applyBorder="false" applyFill="false" applyFont="true" applyNumberFormat="true" applyProtection="false" borderId="23" fillId="0" fontId="29" numFmtId="180" xfId="0">
      <alignment horizontal="center" vertical="center"/>
    </xf>
    <xf applyAlignment="true" applyBorder="false" applyFill="false" applyFont="true" applyNumberFormat="false" applyProtection="false" borderId="23" fillId="0" fontId="29" numFmtId="0" xfId="0">
      <alignment horizontal="center" vertical="center"/>
    </xf>
    <xf applyAlignment="true" applyBorder="false" applyFill="false" applyFont="true" applyNumberFormat="false" applyProtection="false" borderId="33" fillId="0" fontId="29" numFmtId="0" xfId="0">
      <alignment horizontal="center" vertical="center"/>
    </xf>
    <xf applyAlignment="true" applyBorder="false" applyFill="false" applyFont="true" applyNumberFormat="true" applyProtection="false" borderId="34" fillId="0" fontId="29" numFmtId="180" xfId="0">
      <alignment horizontal="center" vertical="center"/>
    </xf>
    <xf applyAlignment="true" applyBorder="false" applyFill="false" applyFont="true" applyNumberFormat="true" applyProtection="false" borderId="24" fillId="0" fontId="29" numFmtId="181" xfId="0">
      <alignment horizontal="center" vertical="center"/>
    </xf>
    <xf applyAlignment="true" applyBorder="false" applyFill="false" applyFont="true" applyNumberFormat="true" applyProtection="false" borderId="35" fillId="0" fontId="29" numFmtId="181" xfId="0">
      <alignment horizontal="center" vertical="center"/>
    </xf>
    <xf applyAlignment="true" applyBorder="false" applyFill="false" applyFont="true" applyNumberFormat="true" applyProtection="false" borderId="20" fillId="0" fontId="30" numFmtId="181" xfId="0">
      <alignment horizontal="center" vertical="center"/>
    </xf>
    <xf applyAlignment="true" applyBorder="false" applyFill="false" applyFont="true" applyNumberFormat="true" applyProtection="false" borderId="26" fillId="0" fontId="29" numFmtId="180" xfId="0">
      <alignment horizontal="center" vertical="center"/>
    </xf>
    <xf applyAlignment="true" applyBorder="false" applyFill="false" applyFont="true" applyNumberFormat="true" applyProtection="false" borderId="23" fillId="0" fontId="29" numFmtId="182" xfId="0">
      <alignment horizontal="center" vertical="center"/>
    </xf>
    <xf applyAlignment="true" applyBorder="false" applyFill="false" applyFont="true" applyNumberFormat="false" applyProtection="false" borderId="26" fillId="0" fontId="29" numFmtId="0" xfId="0">
      <alignment horizontal="center" vertical="center"/>
    </xf>
    <xf applyAlignment="true" applyBorder="false" applyFill="false" applyFont="true" applyNumberFormat="true" applyProtection="false" borderId="27" fillId="0" fontId="29" numFmtId="180" xfId="0">
      <alignment horizontal="center" vertical="center"/>
    </xf>
    <xf applyAlignment="true" applyBorder="false" applyFill="false" applyFont="true" applyNumberFormat="true" applyProtection="false" borderId="18" fillId="0" fontId="29" numFmtId="184" xfId="0">
      <alignment horizontal="center" vertical="center"/>
    </xf>
    <xf applyAlignment="true" applyBorder="false" applyFill="false" applyFont="true" applyNumberFormat="true" applyProtection="false" borderId="19" fillId="0" fontId="29" numFmtId="180" xfId="0">
      <alignment horizontal="center" vertical="center"/>
    </xf>
    <xf applyAlignment="true" applyBorder="false" applyFill="false" applyFont="true" applyNumberFormat="true" applyProtection="false" borderId="36" fillId="0" fontId="29" numFmtId="181" xfId="0">
      <alignment horizontal="center" vertical="center"/>
    </xf>
    <xf applyAlignment="true" applyBorder="false" applyFill="false" applyFont="true" applyNumberFormat="true" applyProtection="false" borderId="32" fillId="0" fontId="30" numFmtId="181" xfId="0">
      <alignment horizontal="center" vertical="center"/>
    </xf>
    <xf applyAlignment="true" applyBorder="false" applyFill="false" applyFont="true" applyNumberFormat="false" applyProtection="false" borderId="18" fillId="0" fontId="31" numFmtId="0" xfId="0">
      <alignment horizontal="right" vertical="center" wrapText="true"/>
    </xf>
    <xf applyAlignment="true" applyBorder="false" applyFill="false" applyFont="true" applyNumberFormat="true" applyProtection="false" borderId="30" fillId="0" fontId="26" numFmtId="180" xfId="0">
      <alignment horizontal="center" vertical="center"/>
    </xf>
    <xf applyAlignment="true" applyBorder="false" applyFill="false" applyFont="true" applyNumberFormat="true" applyProtection="false" borderId="29" fillId="0" fontId="26" numFmtId="181" xfId="0">
      <alignment horizontal="center" vertical="center"/>
    </xf>
    <xf applyAlignment="true" applyBorder="false" applyFill="false" applyFont="true" applyNumberFormat="true" applyProtection="false" borderId="19" fillId="0" fontId="26" numFmtId="180" xfId="0">
      <alignment horizontal="center" vertical="center"/>
    </xf>
    <xf applyAlignment="true" applyBorder="false" applyFill="false" applyFont="true" applyNumberFormat="true" applyProtection="false" borderId="22" fillId="0" fontId="26" numFmtId="182" xfId="0">
      <alignment horizontal="center" vertical="center"/>
    </xf>
    <xf applyAlignment="true" applyBorder="false" applyFill="false" applyFont="true" applyNumberFormat="true" applyProtection="false" borderId="24" fillId="0" fontId="31" numFmtId="181" xfId="0">
      <alignment horizontal="center" vertical="center"/>
    </xf>
    <xf applyAlignment="true" applyBorder="false" applyFill="false" applyFont="true" applyNumberFormat="true" applyProtection="false" borderId="36" fillId="0" fontId="31" numFmtId="181" xfId="0">
      <alignment horizontal="center" vertical="center"/>
    </xf>
    <xf applyAlignment="true" applyBorder="false" applyFill="false" applyFont="true" applyNumberFormat="true" applyProtection="false" borderId="32" fillId="0" fontId="28" numFmtId="181" xfId="0">
      <alignment horizontal="center" vertical="center"/>
    </xf>
    <xf applyAlignment="true" applyBorder="false" applyFill="false" applyFont="true" applyNumberFormat="true" applyProtection="false" borderId="18" fillId="0" fontId="26" numFmtId="188" xfId="0">
      <alignment horizontal="center" vertical="center"/>
    </xf>
    <xf applyAlignment="true" applyBorder="false" applyFill="false" applyFont="true" applyNumberFormat="true" applyProtection="false" borderId="18" fillId="0" fontId="26" numFmtId="180" xfId="0">
      <alignment horizontal="center" vertical="center"/>
    </xf>
    <xf applyAlignment="true" applyBorder="false" applyFill="false" applyFont="true" applyNumberFormat="true" applyProtection="false" borderId="22" fillId="0" fontId="31" numFmtId="181" xfId="0">
      <alignment horizontal="center" vertical="center"/>
    </xf>
    <xf applyAlignment="true" applyBorder="false" applyFill="false" applyFont="true" applyNumberFormat="true" applyProtection="false" borderId="23" fillId="0" fontId="31" numFmtId="180" xfId="0">
      <alignment horizontal="center" vertical="center"/>
    </xf>
    <xf applyAlignment="true" applyBorder="false" applyFill="false" applyFont="true" applyNumberFormat="true" applyProtection="false" borderId="22" fillId="0" fontId="31" numFmtId="180" xfId="0">
      <alignment horizontal="center" vertical="center"/>
    </xf>
    <xf applyAlignment="true" applyBorder="false" applyFill="false" applyFont="true" applyNumberFormat="true" applyProtection="false" borderId="18" fillId="0" fontId="26" numFmtId="184" xfId="0">
      <alignment horizontal="center" vertical="center"/>
    </xf>
    <xf applyAlignment="true" applyBorder="false" applyFill="false" applyFont="true" applyNumberFormat="false" applyProtection="false" borderId="20" fillId="0" fontId="25" numFmtId="0" xfId="0">
      <alignment horizontal="center" vertical="center"/>
    </xf>
    <xf applyAlignment="true" applyBorder="false" applyFill="false" applyFont="true" applyNumberFormat="false" applyProtection="false" borderId="23" fillId="0" fontId="26" numFmtId="0" xfId="0">
      <alignment horizontal="center" vertical="center"/>
    </xf>
    <xf applyAlignment="true" applyBorder="false" applyFill="false" applyFont="true" applyNumberFormat="true" applyProtection="false" borderId="31" fillId="0" fontId="27" numFmtId="180" xfId="0">
      <alignment horizontal="center" vertical="center"/>
    </xf>
    <xf applyAlignment="true" applyBorder="false" applyFill="false" applyFont="true" applyNumberFormat="true" applyProtection="false" borderId="34" fillId="0" fontId="26" numFmtId="181" xfId="0">
      <alignment horizontal="center" vertical="center"/>
    </xf>
    <xf applyAlignment="true" applyBorder="false" applyFill="false" applyFont="true" applyNumberFormat="true" applyProtection="false" borderId="34" fillId="0" fontId="26" numFmtId="180" xfId="0">
      <alignment horizontal="center" vertical="center"/>
    </xf>
    <xf applyAlignment="true" applyBorder="false" applyFill="false" applyFont="true" applyNumberFormat="true" applyProtection="false" borderId="34" fillId="0" fontId="26" numFmtId="183" xfId="0">
      <alignment horizontal="center" vertical="center"/>
    </xf>
    <xf applyAlignment="true" applyBorder="false" applyFill="false" applyFont="true" applyNumberFormat="true" applyProtection="false" borderId="34" fillId="0" fontId="26" numFmtId="187" xfId="0">
      <alignment horizontal="center" vertical="center"/>
    </xf>
    <xf applyAlignment="true" applyBorder="false" applyFill="false" applyFont="true" applyNumberFormat="true" applyProtection="false" borderId="37" fillId="0" fontId="31" numFmtId="181" xfId="0">
      <alignment horizontal="center" vertical="center"/>
    </xf>
    <xf applyAlignment="true" applyBorder="false" applyFill="false" applyFont="true" applyNumberFormat="false" applyProtection="false" borderId="29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32" numFmtId="0" xfId="0">
      <alignment horizontal="center" vertical="center"/>
    </xf>
    <xf applyAlignment="true" applyBorder="false" applyFill="false" applyFont="true" applyNumberFormat="true" applyProtection="false" borderId="29" fillId="0" fontId="32" numFmtId="181" xfId="0">
      <alignment horizontal="right" vertical="center" wrapText="true"/>
    </xf>
    <xf applyAlignment="true" applyBorder="false" applyFill="false" applyFont="true" applyNumberFormat="true" applyProtection="false" borderId="29" fillId="0" fontId="32" numFmtId="180" xfId="0">
      <alignment horizontal="center" vertical="center"/>
    </xf>
    <xf applyAlignment="true" applyBorder="false" applyFill="false" applyFont="true" applyNumberFormat="true" applyProtection="false" borderId="19" fillId="0" fontId="25" numFmtId="181" xfId="0">
      <alignment horizontal="center" vertical="center"/>
    </xf>
    <xf applyAlignment="true" applyBorder="false" applyFill="false" applyFont="true" applyNumberFormat="false" applyProtection="false" borderId="22" fillId="0" fontId="25" numFmtId="0" xfId="0">
      <alignment horizontal="center" vertical="center"/>
    </xf>
    <xf applyAlignment="true" applyBorder="false" applyFill="false" applyFont="true" applyNumberFormat="true" applyProtection="false" borderId="22" fillId="0" fontId="25" numFmtId="180" xfId="0">
      <alignment horizontal="center" vertical="center"/>
    </xf>
    <xf applyAlignment="true" applyBorder="false" applyFill="false" applyFont="true" applyNumberFormat="true" applyProtection="false" borderId="22" fillId="0" fontId="25" numFmtId="181" xfId="0">
      <alignment horizontal="center" vertical="center"/>
    </xf>
    <xf applyAlignment="true" applyBorder="false" applyFill="false" applyFont="true" applyNumberFormat="true" applyProtection="false" borderId="22" fillId="0" fontId="25" numFmtId="183" xfId="0">
      <alignment horizontal="center" vertical="center"/>
    </xf>
    <xf applyAlignment="true" applyBorder="false" applyFill="false" applyFont="true" applyNumberFormat="false" applyProtection="false" borderId="18" fillId="0" fontId="26" numFmtId="0" xfId="0">
      <alignment horizontal="right" vertical="center" wrapText="true"/>
    </xf>
    <xf applyAlignment="true" applyBorder="false" applyFill="false" applyFont="true" applyNumberFormat="false" applyProtection="false" borderId="18" fillId="0" fontId="25" numFmtId="0" xfId="0">
      <alignment horizontal="center" vertical="center"/>
    </xf>
    <xf applyAlignment="true" applyBorder="false" applyFill="false" applyFont="true" applyNumberFormat="false" applyProtection="false" borderId="28" fillId="0" fontId="25" numFmtId="0" xfId="0">
      <alignment horizontal="center" vertical="center"/>
    </xf>
    <xf applyAlignment="true" applyBorder="false" applyFill="false" applyFont="true" applyNumberFormat="true" applyProtection="false" borderId="38" fillId="0" fontId="26" numFmtId="180" xfId="0">
      <alignment horizontal="center" vertical="center"/>
    </xf>
    <xf applyAlignment="true" applyBorder="false" applyFill="false" applyFont="true" applyNumberFormat="true" applyProtection="false" borderId="28" fillId="0" fontId="26" numFmtId="181" xfId="0">
      <alignment horizontal="center" vertical="center" wrapText="true"/>
    </xf>
    <xf applyAlignment="true" applyBorder="false" applyFill="false" applyFont="true" applyNumberFormat="false" applyProtection="false" borderId="28" fillId="0" fontId="26" numFmtId="0" xfId="0">
      <alignment horizontal="center" vertical="center" wrapText="true"/>
    </xf>
    <xf applyAlignment="true" applyBorder="false" applyFill="false" applyFont="true" applyNumberFormat="true" applyProtection="false" borderId="39" fillId="0" fontId="26" numFmtId="181" xfId="0">
      <alignment horizontal="center" vertical="center" wrapText="true"/>
    </xf>
    <xf applyAlignment="true" applyBorder="false" applyFill="false" applyFont="true" applyNumberFormat="false" applyProtection="false" borderId="39" fillId="0" fontId="26" numFmtId="0" xfId="0">
      <alignment horizontal="center" vertical="center" wrapText="true"/>
    </xf>
    <xf applyAlignment="true" applyBorder="false" applyFill="false" applyFont="true" applyNumberFormat="true" applyProtection="false" borderId="40" fillId="0" fontId="26" numFmtId="180" xfId="0">
      <alignment horizontal="center" vertical="center" wrapText="true"/>
    </xf>
    <xf applyAlignment="true" applyBorder="false" applyFill="false" applyFont="true" applyNumberFormat="true" applyProtection="false" borderId="22" fillId="0" fontId="26" numFmtId="181" xfId="0">
      <alignment horizontal="center" vertical="center" wrapText="true"/>
    </xf>
    <xf applyAlignment="true" applyBorder="false" applyFill="false" applyFont="true" applyNumberFormat="true" applyProtection="false" borderId="22" fillId="0" fontId="26" numFmtId="180" xfId="0">
      <alignment horizontal="center" vertical="center" wrapText="true"/>
    </xf>
    <xf applyAlignment="true" applyBorder="false" applyFill="false" applyFont="true" applyNumberFormat="false" applyProtection="false" borderId="22" fillId="0" fontId="26" numFmtId="0" xfId="0">
      <alignment horizontal="center" vertical="center" wrapText="true"/>
    </xf>
    <xf applyAlignment="true" applyBorder="false" applyFill="false" applyFont="true" applyNumberFormat="false" applyProtection="false" borderId="34" fillId="0" fontId="26" numFmtId="0" xfId="0">
      <alignment horizontal="center" vertical="center" wrapText="true"/>
    </xf>
    <xf applyAlignment="true" applyBorder="false" applyFill="false" applyFont="true" applyNumberFormat="true" applyProtection="false" borderId="34" fillId="0" fontId="26" numFmtId="180" xfId="0">
      <alignment horizontal="center" vertical="center" wrapText="true"/>
    </xf>
    <xf applyAlignment="true" applyBorder="false" applyFill="false" applyFont="true" applyNumberFormat="true" applyProtection="false" borderId="34" fillId="0" fontId="26" numFmtId="181" xfId="0">
      <alignment horizontal="center" vertical="center" wrapText="true"/>
    </xf>
    <xf applyAlignment="true" applyBorder="false" applyFill="false" applyFont="true" applyNumberFormat="true" applyProtection="false" borderId="0" fillId="0" fontId="33" numFmtId="181" xfId="0">
      <alignment vertical="center" wrapText="true"/>
    </xf>
    <xf applyAlignment="true" applyBorder="false" applyFill="false" applyFont="true" applyNumberFormat="true" applyProtection="false" borderId="33" fillId="0" fontId="26" numFmtId="182" xfId="0">
      <alignment horizontal="center" vertical="center" wrapText="true"/>
    </xf>
    <xf applyAlignment="true" applyBorder="false" applyFill="false" applyFont="true" applyNumberFormat="true" applyProtection="false" borderId="33" fillId="0" fontId="26" numFmtId="181" xfId="0">
      <alignment horizontal="center" vertical="center" wrapText="true"/>
    </xf>
    <xf applyAlignment="true" applyBorder="false" applyFill="false" applyFont="true" applyNumberFormat="true" applyProtection="false" borderId="33" fillId="0" fontId="26" numFmtId="181" xfId="0">
      <alignment horizontal="center" vertical="center" wrapText="true"/>
    </xf>
    <xf applyAlignment="true" applyBorder="false" applyFill="false" applyFont="true" applyNumberFormat="true" applyProtection="false" borderId="22" fillId="0" fontId="26" numFmtId="181" xfId="0">
      <alignment horizontal="center" vertical="center" wrapText="true"/>
    </xf>
    <xf applyAlignment="true" applyBorder="false" applyFill="false" applyFont="true" applyNumberFormat="true" applyProtection="false" borderId="34" fillId="0" fontId="26" numFmtId="181" xfId="0">
      <alignment horizontal="center" vertical="center" wrapText="true"/>
    </xf>
    <xf applyAlignment="true" applyBorder="false" applyFill="false" applyFont="true" applyNumberFormat="true" applyProtection="false" borderId="34" fillId="0" fontId="26" numFmtId="183" xfId="0">
      <alignment horizontal="center" vertical="center" wrapText="true"/>
    </xf>
    <xf applyAlignment="true" applyBorder="false" applyFill="false" applyFont="true" applyNumberFormat="true" applyProtection="false" borderId="34" fillId="0" fontId="26" numFmtId="181" xfId="0">
      <alignment horizontal="center" vertical="center" wrapText="true"/>
    </xf>
    <xf applyAlignment="true" applyBorder="false" applyFill="false" applyFont="true" applyNumberFormat="true" applyProtection="false" borderId="35" fillId="0" fontId="26" numFmtId="181" xfId="0">
      <alignment horizontal="center" vertical="center" wrapText="true"/>
    </xf>
    <xf applyAlignment="true" applyBorder="false" applyFill="false" applyFont="true" applyNumberFormat="true" applyProtection="false" borderId="22" fillId="0" fontId="26" numFmtId="181" xfId="0">
      <alignment horizontal="center" vertical="center"/>
    </xf>
    <xf applyAlignment="true" applyBorder="false" applyFill="false" applyFont="true" applyNumberFormat="false" applyProtection="false" borderId="0" fillId="0" fontId="27" numFmtId="0" xfId="0">
      <alignment horizontal="center" vertical="center"/>
    </xf>
    <xf applyAlignment="true" applyBorder="false" applyFill="false" applyFont="true" applyNumberFormat="false" applyProtection="false" borderId="0" fillId="0" fontId="27" numFmtId="0" xfId="0">
      <alignment horizontal="right" vertical="center" wrapText="true"/>
    </xf>
    <xf applyAlignment="true" applyBorder="false" applyFill="false" applyFont="true" applyNumberFormat="true" applyProtection="false" borderId="0" fillId="0" fontId="27" numFmtId="180" xfId="0">
      <alignment horizontal="center" vertical="center"/>
    </xf>
    <xf applyAlignment="true" applyBorder="false" applyFill="false" applyFont="true" applyNumberFormat="false" applyProtection="false" borderId="0" fillId="0" fontId="25" numFmtId="0" xfId="0">
      <alignment horizontal="center" vertical="center"/>
    </xf>
    <xf applyAlignment="true" applyBorder="false" applyFill="false" applyFont="true" applyNumberFormat="true" applyProtection="false" borderId="0" fillId="0" fontId="27" numFmtId="181" xfId="0">
      <alignment horizontal="center" vertical="center"/>
    </xf>
    <xf applyAlignment="true" applyBorder="false" applyFill="false" applyFont="true" applyNumberFormat="true" applyProtection="false" borderId="0" fillId="0" fontId="27" numFmtId="182" xfId="0">
      <alignment horizontal="center" vertical="center"/>
    </xf>
    <xf applyAlignment="true" applyBorder="false" applyFill="false" applyFont="true" applyNumberFormat="true" applyProtection="false" borderId="0" fillId="0" fontId="27" numFmtId="183" xfId="0">
      <alignment horizontal="center" vertical="center"/>
    </xf>
    <xf applyAlignment="true" applyBorder="false" applyFill="false" applyFont="true" applyNumberFormat="true" applyProtection="false" borderId="0" fillId="0" fontId="27" numFmtId="187" xfId="0">
      <alignment horizontal="center" vertical="center"/>
    </xf>
    <xf applyAlignment="true" applyBorder="false" applyFill="false" applyFont="true" applyNumberFormat="true" applyProtection="false" borderId="0" fillId="0" fontId="27" numFmtId="181" xfId="0">
      <alignment horizontal="center" vertical="center"/>
    </xf>
    <xf applyAlignment="true" applyBorder="false" applyFill="false" applyFont="true" applyNumberFormat="false" applyProtection="false" borderId="41" fillId="0" fontId="24" numFmtId="0" xfId="0">
      <alignment horizontal="center" vertical="center"/>
    </xf>
    <xf applyAlignment="true" applyBorder="false" applyFill="false" applyFont="true" applyNumberFormat="false" applyProtection="false" borderId="41" fillId="0" fontId="24" numFmtId="0" xfId="0">
      <alignment horizontal="center" vertical="center"/>
    </xf>
    <xf applyAlignment="true" applyBorder="false" applyFill="false" applyFont="true" applyNumberFormat="false" applyProtection="false" borderId="41" fillId="0" fontId="24" numFmtId="0" xfId="0">
      <alignment horizontal="center" vertical="center" wrapText="true"/>
    </xf>
    <xf applyAlignment="true" applyBorder="false" applyFill="false" applyFont="true" applyNumberFormat="true" applyProtection="false" borderId="42" fillId="0" fontId="24" numFmtId="189" xfId="0">
      <alignment horizontal="center" vertical="center"/>
    </xf>
    <xf applyAlignment="true" applyBorder="false" applyFill="false" applyFont="true" applyNumberFormat="false" applyProtection="false" borderId="43" fillId="0" fontId="25" numFmtId="0" xfId="0">
      <alignment horizontal="center" vertical="center"/>
    </xf>
    <xf applyAlignment="true" applyBorder="false" applyFill="false" applyFont="true" applyNumberFormat="false" applyProtection="false" borderId="44" fillId="0" fontId="25" numFmtId="0" xfId="0">
      <alignment horizontal="center" vertical="center"/>
    </xf>
    <xf applyAlignment="true" applyBorder="false" applyFill="false" applyFont="true" applyNumberFormat="true" applyProtection="false" borderId="43" fillId="0" fontId="24" numFmtId="190" xfId="0">
      <alignment horizontal="center" vertical="center"/>
    </xf>
    <xf applyAlignment="true" applyBorder="false" applyFill="false" applyFont="true" applyNumberFormat="true" applyProtection="false" borderId="43" fillId="0" fontId="24" numFmtId="189" xfId="0">
      <alignment horizontal="center" vertical="center"/>
    </xf>
    <xf applyAlignment="true" applyBorder="false" applyFill="false" applyFont="true" applyNumberFormat="true" applyProtection="false" borderId="44" fillId="0" fontId="24" numFmtId="189" xfId="0">
      <alignment horizontal="center" vertical="center"/>
    </xf>
    <xf applyAlignment="true" applyBorder="false" applyFill="false" applyFont="true" applyNumberFormat="true" applyProtection="false" borderId="43" fillId="0" fontId="24" numFmtId="190" xfId="0">
      <alignment horizontal="center" vertical="center"/>
    </xf>
    <xf applyAlignment="true" applyBorder="false" applyFill="false" applyFont="true" applyNumberFormat="true" applyProtection="false" borderId="45" fillId="0" fontId="24" numFmtId="190" xfId="0">
      <alignment horizontal="center" vertical="center" wrapText="true"/>
    </xf>
    <xf applyAlignment="true" applyBorder="false" applyFill="false" applyFont="true" applyNumberFormat="true" applyProtection="false" borderId="46" fillId="0" fontId="24" numFmtId="190" xfId="0">
      <alignment horizontal="center" vertical="center"/>
    </xf>
    <xf applyAlignment="true" applyBorder="false" applyFill="false" applyFont="true" applyNumberFormat="true" applyProtection="false" borderId="46" fillId="0" fontId="24" numFmtId="19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47" fillId="0" fontId="9" numFmtId="191" xfId="0">
      <alignment horizontal="center" vertical="center" wrapText="true"/>
    </xf>
    <xf applyAlignment="true" applyBorder="false" applyFill="false" applyFont="true" applyNumberFormat="false" applyProtection="false" borderId="41" fillId="0" fontId="12" numFmtId="0" xfId="0">
      <alignment horizontal="center" vertical="center"/>
    </xf>
    <xf applyAlignment="true" applyBorder="false" applyFill="false" applyFont="true" applyNumberFormat="false" applyProtection="false" borderId="41" fillId="0" fontId="12" numFmtId="0" xfId="0">
      <alignment horizontal="left" vertical="center"/>
    </xf>
    <xf applyAlignment="true" applyBorder="false" applyFill="false" applyFont="true" applyNumberFormat="true" applyProtection="false" borderId="42" fillId="0" fontId="12" numFmtId="189" xfId="0">
      <alignment horizontal="center" vertical="center"/>
    </xf>
    <xf applyAlignment="true" applyBorder="false" applyFill="false" applyFont="true" applyNumberFormat="true" applyProtection="false" borderId="43" fillId="0" fontId="25" numFmtId="190" xfId="0">
      <alignment horizontal="center" vertical="center"/>
    </xf>
    <xf applyAlignment="true" applyBorder="false" applyFill="false" applyFont="true" applyNumberFormat="true" applyProtection="false" borderId="44" fillId="0" fontId="27" numFmtId="189" xfId="0">
      <alignment horizontal="center" vertical="center"/>
    </xf>
    <xf applyAlignment="true" applyBorder="false" applyFill="false" applyFont="true" applyNumberFormat="false" applyProtection="false" borderId="43" fillId="0" fontId="27" numFmtId="0" xfId="0">
      <alignment horizontal="center" vertical="center"/>
    </xf>
    <xf applyAlignment="true" applyBorder="false" applyFill="false" applyFont="true" applyNumberFormat="true" applyProtection="false" borderId="43" fillId="0" fontId="27" numFmtId="189" xfId="0">
      <alignment horizontal="center" vertical="center"/>
    </xf>
    <xf applyAlignment="true" applyBorder="false" applyFill="false" applyFont="true" applyNumberFormat="true" applyProtection="false" borderId="45" fillId="0" fontId="27" numFmtId="190" xfId="0">
      <alignment horizontal="center" vertical="center"/>
    </xf>
    <xf applyAlignment="true" applyBorder="false" applyFill="false" applyFont="true" applyNumberFormat="true" applyProtection="false" borderId="46" fillId="0" fontId="27" numFmtId="190" xfId="0">
      <alignment horizontal="center" vertical="center"/>
    </xf>
    <xf applyAlignment="true" applyBorder="false" applyFill="false" applyFont="true" applyNumberFormat="true" applyProtection="false" borderId="46" fillId="0" fontId="27" numFmtId="19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41" fillId="0" fontId="12" numFmtId="192" xfId="0">
      <alignment horizontal="center" vertical="center"/>
    </xf>
    <xf applyAlignment="true" applyBorder="false" applyFill="false" applyFont="true" applyNumberFormat="false" applyProtection="false" borderId="43" fillId="0" fontId="3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5" numFmtId="0" xfId="0">
      <alignment horizontal="center" vertical="center"/>
    </xf>
    <xf applyAlignment="true" applyBorder="false" applyFill="false" applyFont="true" applyNumberFormat="true" applyProtection="false" borderId="47" fillId="0" fontId="15" numFmtId="191" xfId="0">
      <alignment horizontal="center" vertical="center" wrapText="true"/>
    </xf>
    <xf applyAlignment="true" applyBorder="false" applyFill="false" applyFont="true" applyNumberFormat="true" applyProtection="false" borderId="41" fillId="0" fontId="14" numFmtId="192" xfId="0">
      <alignment horizontal="center" vertical="center"/>
    </xf>
    <xf applyAlignment="true" applyBorder="false" applyFill="false" applyFont="true" applyNumberFormat="false" applyProtection="false" borderId="41" fillId="0" fontId="14" numFmtId="0" xfId="0">
      <alignment horizontal="left" vertical="center" wrapText="true"/>
    </xf>
    <xf applyAlignment="true" applyBorder="false" applyFill="false" applyFont="true" applyNumberFormat="true" applyProtection="false" borderId="42" fillId="0" fontId="14" numFmtId="189" xfId="0">
      <alignment horizontal="center" vertical="center"/>
    </xf>
    <xf applyAlignment="true" applyBorder="false" applyFill="false" applyFont="true" applyNumberFormat="true" applyProtection="false" borderId="43" fillId="0" fontId="36" numFmtId="190" xfId="0">
      <alignment horizontal="center" vertical="center"/>
    </xf>
    <xf applyAlignment="true" applyBorder="false" applyFill="false" applyFont="true" applyNumberFormat="true" applyProtection="false" borderId="44" fillId="0" fontId="34" numFmtId="189" xfId="0">
      <alignment horizontal="center" vertical="center"/>
    </xf>
    <xf applyAlignment="true" applyBorder="false" applyFill="false" applyFont="true" applyNumberFormat="true" applyProtection="false" borderId="43" fillId="0" fontId="34" numFmtId="189" xfId="0">
      <alignment horizontal="center" vertical="center"/>
    </xf>
    <xf applyAlignment="true" applyBorder="false" applyFill="false" applyFont="true" applyNumberFormat="true" applyProtection="false" borderId="46" fillId="0" fontId="34" numFmtId="190" xfId="0">
      <alignment horizontal="center" vertical="center"/>
    </xf>
    <xf applyAlignment="true" applyBorder="false" applyFill="false" applyFont="true" applyNumberFormat="false" applyProtection="false" borderId="0" fillId="0" fontId="37" numFmtId="0" xfId="0">
      <alignment vertical="center"/>
    </xf>
    <xf applyAlignment="true" applyBorder="false" applyFill="false" applyFont="true" applyNumberFormat="false" applyProtection="false" borderId="0" fillId="0" fontId="35" numFmtId="0" xfId="0">
      <alignment vertical="center"/>
    </xf>
    <xf applyAlignment="true" applyBorder="false" applyFill="false" applyFont="true" applyNumberFormat="false" applyProtection="false" borderId="41" fillId="0" fontId="26" numFmtId="0" xfId="0">
      <alignment horizontal="center" vertical="center" wrapText="true"/>
    </xf>
    <xf applyAlignment="true" applyBorder="false" applyFill="false" applyFont="true" applyNumberFormat="true" applyProtection="false" borderId="43" fillId="0" fontId="25" numFmtId="190" xfId="0">
      <alignment horizontal="center" vertical="center"/>
    </xf>
    <xf applyAlignment="true" applyBorder="false" applyFill="false" applyFont="true" applyNumberFormat="false" applyProtection="false" borderId="48" fillId="0" fontId="16" numFmtId="0" xfId="0">
      <alignment horizontal="center" vertical="center"/>
    </xf>
    <xf applyAlignment="true" applyBorder="false" applyFill="false" applyFont="true" applyNumberFormat="true" applyProtection="false" borderId="49" fillId="0" fontId="16" numFmtId="190" xfId="0">
      <alignment horizontal="center" vertical="center" wrapText="true"/>
    </xf>
    <xf applyAlignment="true" applyBorder="false" applyFill="false" applyFont="true" applyNumberFormat="false" applyProtection="false" borderId="43" fillId="0" fontId="16" numFmtId="0" xfId="0">
      <alignment horizontal="center" vertical="center"/>
    </xf>
    <xf applyAlignment="true" applyBorder="false" applyFill="false" applyFont="true" applyNumberFormat="true" applyProtection="false" borderId="44" fillId="0" fontId="16" numFmtId="189" xfId="0">
      <alignment horizontal="center" vertical="center"/>
    </xf>
    <xf applyAlignment="true" applyBorder="false" applyFill="false" applyFont="true" applyNumberFormat="true" applyProtection="false" borderId="44" fillId="0" fontId="16" numFmtId="193" xfId="0">
      <alignment horizontal="center" vertical="center"/>
    </xf>
    <xf applyAlignment="true" applyBorder="false" applyFill="false" applyFont="true" applyNumberFormat="true" applyProtection="false" borderId="45" fillId="0" fontId="16" numFmtId="190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41" fillId="0" fontId="26" numFmtId="0" xfId="0">
      <alignment horizontal="center" vertical="center"/>
    </xf>
    <xf applyAlignment="true" applyBorder="false" applyFill="false" applyFont="true" applyNumberFormat="false" applyProtection="false" borderId="42" fillId="0" fontId="26" numFmtId="0" xfId="0">
      <alignment horizontal="center" vertical="center" wrapText="true"/>
    </xf>
    <xf applyAlignment="true" applyBorder="false" applyFill="false" applyFont="true" applyNumberFormat="false" applyProtection="false" borderId="44" fillId="0" fontId="4" numFmtId="0" xfId="0">
      <alignment horizontal="center" vertical="center"/>
    </xf>
    <xf applyAlignment="true" applyBorder="false" applyFill="false" applyFont="true" applyNumberFormat="false" applyProtection="false" borderId="43" fillId="0" fontId="4" numFmtId="0" xfId="0">
      <alignment horizontal="center" vertical="center" wrapText="true"/>
    </xf>
    <xf applyAlignment="true" applyBorder="false" applyFill="false" applyFont="true" applyNumberFormat="false" applyProtection="false" borderId="43" fillId="0" fontId="4" numFmtId="0" xfId="0">
      <alignment horizontal="center" vertical="center" wrapText="true"/>
    </xf>
    <xf applyAlignment="true" applyBorder="false" applyFill="false" applyFont="true" applyNumberFormat="false" applyProtection="false" borderId="44" fillId="0" fontId="4" numFmtId="0" xfId="0">
      <alignment horizontal="center" vertical="center" wrapText="true"/>
    </xf>
    <xf applyAlignment="true" applyBorder="false" applyFill="false" applyFont="true" applyNumberFormat="false" applyProtection="false" borderId="43" fillId="0" fontId="4" numFmtId="0" xfId="0">
      <alignment horizontal="center" vertical="center" wrapText="true"/>
    </xf>
    <xf applyAlignment="true" applyBorder="false" applyFill="false" applyFont="true" applyNumberFormat="true" applyProtection="false" borderId="50" fillId="0" fontId="4" numFmtId="190" xfId="0">
      <alignment horizontal="center" vertical="center"/>
    </xf>
    <xf applyAlignment="true" applyBorder="false" applyFill="false" applyFont="true" applyNumberFormat="true" applyProtection="false" borderId="51" fillId="0" fontId="4" numFmtId="190" xfId="0">
      <alignment horizontal="center" vertical="center"/>
    </xf>
    <xf applyAlignment="true" applyBorder="false" applyFill="false" applyFont="true" applyNumberFormat="true" applyProtection="false" borderId="0" fillId="0" fontId="4" numFmtId="189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89" xfId="0">
      <alignment vertical="center"/>
    </xf>
    <xf applyAlignment="true" applyBorder="false" applyFill="false" applyFont="true" applyNumberFormat="true" applyProtection="false" borderId="0" fillId="0" fontId="4" numFmtId="190" xfId="0">
      <alignment horizontal="center" vertical="center"/>
    </xf>
    <xf applyAlignment="true" applyBorder="false" applyFill="false" applyFont="true" applyNumberFormat="false" applyProtection="false" borderId="52" fillId="0" fontId="24" numFmtId="0" xfId="0">
      <alignment horizontal="center" vertical="center"/>
    </xf>
    <xf applyAlignment="true" applyBorder="false" applyFill="false" applyFont="true" applyNumberFormat="false" applyProtection="false" borderId="52" fillId="0" fontId="24" numFmtId="0" xfId="0">
      <alignment horizontal="center" vertical="center"/>
    </xf>
    <xf applyAlignment="true" applyBorder="false" applyFill="false" applyFont="true" applyNumberFormat="true" applyProtection="false" borderId="52" fillId="0" fontId="25" numFmtId="194" xfId="0">
      <alignment horizontal="center" vertical="center"/>
    </xf>
    <xf applyAlignment="true" applyBorder="false" applyFill="false" applyFont="true" applyNumberFormat="false" applyProtection="false" borderId="52" fillId="0" fontId="25" numFmtId="0" xfId="0">
      <alignment horizontal="center" vertical="center"/>
    </xf>
    <xf applyAlignment="true" applyBorder="false" applyFill="false" applyFont="true" applyNumberFormat="false" applyProtection="false" borderId="52" fillId="0" fontId="25" numFmtId="0" xfId="0">
      <alignment horizontal="center" vertical="center"/>
    </xf>
    <xf applyAlignment="true" applyBorder="false" applyFill="false" applyFont="true" applyNumberFormat="true" applyProtection="false" borderId="53" fillId="0" fontId="24" numFmtId="195" xfId="0">
      <alignment horizontal="center" vertical="center"/>
    </xf>
    <xf applyAlignment="true" applyBorder="false" applyFill="false" applyFont="true" applyNumberFormat="true" applyProtection="false" borderId="53" fillId="0" fontId="24" numFmtId="194" xfId="0">
      <alignment horizontal="center" vertical="center"/>
    </xf>
    <xf applyAlignment="true" applyBorder="false" applyFill="false" applyFont="true" applyNumberFormat="true" applyProtection="false" borderId="53" fillId="0" fontId="24" numFmtId="195" xfId="0">
      <alignment horizontal="center" vertical="center"/>
    </xf>
    <xf applyAlignment="true" applyBorder="false" applyFill="false" applyFont="true" applyNumberFormat="true" applyProtection="false" borderId="54" fillId="0" fontId="24" numFmtId="195" xfId="0">
      <alignment horizontal="center" vertical="center"/>
    </xf>
    <xf applyAlignment="true" applyBorder="false" applyFill="false" applyFont="true" applyNumberFormat="true" applyProtection="false" borderId="55" fillId="0" fontId="24" numFmtId="195" xfId="0">
      <alignment horizontal="center" vertical="center" wrapText="true"/>
    </xf>
    <xf applyAlignment="true" applyBorder="false" applyFill="false" applyFont="true" applyNumberFormat="true" applyProtection="false" borderId="52" fillId="0" fontId="24" numFmtId="195" xfId="0">
      <alignment horizontal="center" vertical="center"/>
    </xf>
    <xf applyAlignment="true" applyBorder="false" applyFill="false" applyFont="true" applyNumberFormat="true" applyProtection="false" borderId="52" fillId="0" fontId="24" numFmtId="195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52" fillId="0" fontId="24" numFmtId="194" xfId="0">
      <alignment horizontal="center" vertical="center"/>
    </xf>
    <xf applyAlignment="true" applyBorder="false" applyFill="false" applyFont="true" applyNumberFormat="true" applyProtection="false" borderId="56" fillId="0" fontId="24" numFmtId="195" xfId="0">
      <alignment horizontal="center" vertical="center"/>
    </xf>
    <xf applyAlignment="true" applyBorder="false" applyFill="false" applyFont="true" applyNumberFormat="true" applyProtection="false" borderId="56" fillId="0" fontId="24" numFmtId="194" xfId="0">
      <alignment horizontal="center" vertical="center"/>
    </xf>
    <xf applyAlignment="true" applyBorder="false" applyFill="false" applyFont="true" applyNumberFormat="true" applyProtection="false" borderId="57" fillId="0" fontId="24" numFmtId="194" xfId="0">
      <alignment horizontal="center" vertical="center"/>
    </xf>
    <xf applyAlignment="true" applyBorder="false" applyFill="false" applyFont="true" applyNumberFormat="false" applyProtection="false" borderId="52" fillId="0" fontId="4" numFmtId="0" xfId="0">
      <alignment horizontal="center" vertical="center"/>
    </xf>
    <xf applyAlignment="true" applyBorder="false" applyFill="false" applyFont="true" applyNumberFormat="false" applyProtection="false" borderId="52" fillId="0" fontId="6" numFmtId="0" xfId="0">
      <alignment horizontal="center" vertical="center"/>
    </xf>
    <xf applyAlignment="true" applyBorder="false" applyFill="false" applyFont="true" applyNumberFormat="false" applyProtection="false" borderId="52" fillId="0" fontId="6" numFmtId="0" xfId="0">
      <alignment horizontal="right" vertical="center"/>
    </xf>
    <xf applyAlignment="true" applyBorder="false" applyFill="false" applyFont="true" applyNumberFormat="true" applyProtection="false" borderId="52" fillId="0" fontId="2" numFmtId="196" xfId="0">
      <alignment horizontal="center" vertical="center"/>
    </xf>
    <xf applyAlignment="true" applyBorder="false" applyFill="false" applyFont="true" applyNumberFormat="false" applyProtection="false" borderId="52" fillId="0" fontId="4" numFmtId="0" xfId="0">
      <alignment horizontal="center" vertical="center"/>
    </xf>
    <xf applyAlignment="true" applyBorder="false" applyFill="false" applyFont="true" applyNumberFormat="true" applyProtection="false" borderId="52" fillId="0" fontId="4" numFmtId="195" xfId="0">
      <alignment horizontal="center" vertical="center"/>
    </xf>
    <xf applyAlignment="true" applyBorder="false" applyFill="false" applyFont="true" applyNumberFormat="true" applyProtection="false" borderId="55" fillId="0" fontId="4" numFmtId="194" xfId="0">
      <alignment horizontal="center" vertical="center"/>
    </xf>
    <xf applyAlignment="true" applyBorder="false" applyFill="false" applyFont="true" applyNumberFormat="true" applyProtection="false" borderId="52" fillId="0" fontId="4" numFmtId="195" xfId="0">
      <alignment horizontal="center" vertical="center"/>
    </xf>
    <xf applyAlignment="true" applyBorder="false" applyFill="false" applyFont="true" applyNumberFormat="true" applyProtection="false" borderId="52" fillId="0" fontId="4" numFmtId="194" xfId="0">
      <alignment horizontal="center" vertical="center"/>
    </xf>
    <xf applyAlignment="true" applyBorder="false" applyFill="false" applyFont="true" applyNumberFormat="true" applyProtection="false" borderId="55" fillId="0" fontId="16" numFmtId="195" xfId="0">
      <alignment horizontal="center" vertical="center"/>
    </xf>
    <xf applyAlignment="true" applyBorder="false" applyFill="false" applyFont="true" applyNumberFormat="false" applyProtection="false" borderId="52" fillId="0" fontId="6" numFmtId="0" xfId="0">
      <alignment horizontal="right" vertical="center"/>
    </xf>
    <xf applyAlignment="true" applyBorder="false" applyFill="false" applyFont="true" applyNumberFormat="true" applyProtection="false" borderId="52" fillId="0" fontId="2" numFmtId="196" xfId="0">
      <alignment horizontal="center" vertical="center"/>
    </xf>
    <xf applyAlignment="true" applyBorder="false" applyFill="false" applyFont="true" applyNumberFormat="true" applyProtection="false" borderId="55" fillId="0" fontId="16" numFmtId="195" xfId="0">
      <alignment horizontal="center" vertical="center"/>
    </xf>
    <xf applyAlignment="true" applyBorder="false" applyFill="false" applyFont="true" applyNumberFormat="false" applyProtection="false" borderId="52" fillId="0" fontId="6" numFmtId="0" xfId="0">
      <alignment horizontal="center" vertical="center" wrapText="true"/>
    </xf>
    <xf applyAlignment="true" applyBorder="false" applyFill="false" applyFont="true" applyNumberFormat="false" applyProtection="false" borderId="58" fillId="0" fontId="4" numFmtId="0" xfId="0">
      <alignment horizontal="center" vertical="center"/>
    </xf>
    <xf applyAlignment="true" applyBorder="false" applyFill="false" applyFont="true" applyNumberFormat="false" applyProtection="false" borderId="58" fillId="0" fontId="6" numFmtId="0" xfId="0">
      <alignment horizontal="center" vertical="center" wrapText="true"/>
    </xf>
    <xf applyAlignment="true" applyBorder="false" applyFill="false" applyFont="true" applyNumberFormat="false" applyProtection="false" borderId="58" fillId="0" fontId="6" numFmtId="0" xfId="0">
      <alignment horizontal="right" vertical="center"/>
    </xf>
    <xf applyAlignment="true" applyBorder="false" applyFill="false" applyFont="true" applyNumberFormat="true" applyProtection="false" borderId="58" fillId="0" fontId="2" numFmtId="196" xfId="0">
      <alignment horizontal="center" vertical="center"/>
    </xf>
    <xf applyAlignment="true" applyBorder="false" applyFill="false" applyFont="true" applyNumberFormat="false" applyProtection="false" borderId="58" fillId="0" fontId="4" numFmtId="0" xfId="0">
      <alignment horizontal="center" vertical="center"/>
    </xf>
    <xf applyAlignment="true" applyBorder="false" applyFill="false" applyFont="true" applyNumberFormat="true" applyProtection="false" borderId="58" fillId="0" fontId="4" numFmtId="195" xfId="0">
      <alignment horizontal="center" vertical="center"/>
    </xf>
    <xf applyAlignment="true" applyBorder="false" applyFill="false" applyFont="true" applyNumberFormat="true" applyProtection="false" borderId="59" fillId="0" fontId="4" numFmtId="194" xfId="0">
      <alignment horizontal="center" vertical="center"/>
    </xf>
    <xf applyAlignment="true" applyBorder="false" applyFill="false" applyFont="true" applyNumberFormat="false" applyProtection="false" borderId="52" fillId="0" fontId="25" numFmtId="0" xfId="0">
      <alignment horizontal="right" vertical="center"/>
    </xf>
    <xf applyAlignment="true" applyBorder="false" applyFill="false" applyFont="true" applyNumberFormat="true" applyProtection="false" borderId="52" fillId="0" fontId="25" numFmtId="195" xfId="0">
      <alignment horizontal="center" vertical="center"/>
    </xf>
    <xf applyAlignment="true" applyBorder="false" applyFill="false" applyFont="true" applyNumberFormat="true" applyProtection="false" borderId="52" fillId="0" fontId="25" numFmtId="197" xfId="0">
      <alignment horizontal="center" vertical="center"/>
    </xf>
    <xf applyAlignment="true" applyBorder="false" applyFill="false" applyFont="true" applyNumberFormat="false" applyProtection="false" borderId="52" fillId="0" fontId="27" numFmtId="0" xfId="0">
      <alignment horizontal="center" vertical="center"/>
    </xf>
    <xf applyAlignment="true" applyBorder="false" applyFill="false" applyFont="true" applyNumberFormat="false" applyProtection="false" borderId="0" fillId="0" fontId="25" numFmtId="0" xfId="0">
      <alignment horizontal="center" vertical="center"/>
    </xf>
    <xf applyAlignment="true" applyBorder="false" applyFill="false" applyFont="true" applyNumberFormat="false" applyProtection="false" borderId="52" fillId="0" fontId="26" numFmtId="0" xfId="0">
      <alignment horizontal="center" vertical="center"/>
    </xf>
    <xf applyAlignment="true" applyBorder="false" applyFill="false" applyFont="true" applyNumberFormat="false" applyProtection="false" borderId="52" fillId="0" fontId="26" numFmtId="0" xfId="0">
      <alignment horizontal="right" vertical="center"/>
    </xf>
    <xf applyAlignment="true" applyBorder="false" applyFill="false" applyFont="true" applyNumberFormat="false" applyProtection="false" borderId="52" fillId="0" fontId="26" numFmtId="0" xfId="0">
      <alignment horizontal="center" vertical="center" wrapText="true"/>
    </xf>
    <xf applyAlignment="true" applyBorder="false" applyFill="false" applyFont="true" applyNumberFormat="false" applyProtection="false" borderId="52" fillId="0" fontId="4" numFmtId="0" xfId="0">
      <alignment vertical="center"/>
    </xf>
    <xf applyAlignment="true" applyBorder="false" applyFill="false" applyFont="true" applyNumberFormat="true" applyProtection="false" borderId="52" fillId="0" fontId="4" numFmtId="195" xfId="0">
      <alignment horizontal="center" vertical="center" wrapText="true"/>
    </xf>
    <xf applyAlignment="true" applyBorder="false" applyFill="false" applyFont="true" applyNumberFormat="true" applyProtection="false" borderId="52" fillId="0" fontId="4" numFmtId="194" xfId="0">
      <alignment horizontal="center" vertical="center" wrapText="true"/>
    </xf>
    <xf applyAlignment="true" applyBorder="false" applyFill="false" applyFont="true" applyNumberFormat="true" applyProtection="false" borderId="52" fillId="0" fontId="4" numFmtId="195" xfId="0">
      <alignment horizontal="center" vertical="center" wrapText="true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righ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4" numFmtId="194" xfId="0">
      <alignment horizontal="center" vertical="center"/>
    </xf>
    <xf applyAlignment="true" applyBorder="false" applyFill="false" applyFont="true" applyNumberFormat="true" applyProtection="false" borderId="0" fillId="0" fontId="4" numFmtId="195" xfId="0">
      <alignment horizontal="center" vertical="center"/>
    </xf>
    <xf applyAlignment="true" applyBorder="false" applyFill="false" applyFont="true" applyNumberFormat="true" applyProtection="false" borderId="0" fillId="0" fontId="16" numFmtId="195" xfId="0">
      <alignment horizontal="center" vertical="center"/>
    </xf>
    <xf applyAlignment="true" applyBorder="false" applyFill="false" applyFont="true" applyNumberFormat="false" applyProtection="false" borderId="60" fillId="0" fontId="24" numFmtId="0" xfId="0">
      <alignment horizontal="center" vertical="center"/>
    </xf>
    <xf applyAlignment="true" applyBorder="false" applyFill="false" applyFont="true" applyNumberFormat="true" applyProtection="false" borderId="61" fillId="0" fontId="38" numFmtId="198" xfId="0">
      <alignment horizontal="center" vertical="center"/>
    </xf>
    <xf applyAlignment="true" applyBorder="false" applyFill="false" applyFont="true" applyNumberFormat="true" applyProtection="false" borderId="60" fillId="0" fontId="39" numFmtId="199" xfId="0">
      <alignment horizontal="center" vertical="center" wrapText="true"/>
    </xf>
    <xf applyAlignment="true" applyBorder="false" applyFill="false" applyFont="true" applyNumberFormat="true" applyProtection="false" borderId="60" fillId="0" fontId="39" numFmtId="200" xfId="0">
      <alignment horizontal="center" vertical="center" wrapText="true"/>
    </xf>
    <xf applyAlignment="true" applyBorder="false" applyFill="false" applyFont="true" applyNumberFormat="true" applyProtection="false" borderId="62" fillId="0" fontId="24" numFmtId="201" xfId="0">
      <alignment horizontal="center" vertical="center"/>
    </xf>
    <xf applyAlignment="true" applyBorder="false" applyFill="false" applyFont="true" applyNumberFormat="false" applyProtection="false" borderId="60" fillId="0" fontId="26" numFmtId="0" xfId="0">
      <alignment horizontal="center" vertical="center"/>
    </xf>
    <xf applyAlignment="true" applyBorder="false" applyFill="false" applyFont="true" applyNumberFormat="false" applyProtection="false" borderId="0" fillId="0" fontId="27" numFmtId="0" xfId="0">
      <alignment horizontal="center" vertical="center"/>
    </xf>
    <xf applyAlignment="true" applyBorder="false" applyFill="false" applyFont="true" applyNumberFormat="false" applyProtection="false" borderId="0" fillId="0" fontId="27" numFmtId="0" xfId="0">
      <alignment horizontal="center" vertical="center"/>
    </xf>
    <xf applyAlignment="true" applyBorder="false" applyFill="false" applyFont="true" applyNumberFormat="true" applyProtection="false" borderId="63" fillId="0" fontId="26" numFmtId="202" xfId="0">
      <alignment horizontal="center" vertical="center"/>
    </xf>
    <xf applyAlignment="true" applyBorder="false" applyFill="false" applyFont="true" applyNumberFormat="false" applyProtection="false" borderId="64" fillId="0" fontId="26" numFmtId="0" xfId="0">
      <alignment horizontal="center" vertical="center"/>
    </xf>
    <xf applyAlignment="true" applyBorder="false" applyFill="false" applyFont="true" applyNumberFormat="false" applyProtection="false" borderId="64" fillId="0" fontId="27" numFmtId="0" xfId="0">
      <alignment horizontal="center" vertical="center"/>
    </xf>
    <xf applyAlignment="true" applyBorder="false" applyFill="false" applyFont="true" applyNumberFormat="true" applyProtection="false" borderId="64" fillId="0" fontId="27" numFmtId="199" xfId="0">
      <alignment horizontal="center" vertical="center"/>
    </xf>
    <xf applyAlignment="true" applyBorder="false" applyFill="false" applyFont="true" applyNumberFormat="true" applyProtection="false" borderId="64" fillId="0" fontId="27" numFmtId="199" xfId="0">
      <alignment horizontal="center" vertical="center"/>
    </xf>
    <xf applyAlignment="true" applyBorder="false" applyFill="false" applyFont="true" applyNumberFormat="false" applyProtection="false" borderId="64" fillId="0" fontId="27" numFmtId="0" xfId="0">
      <alignment horizontal="center" vertical="center" wrapText="true"/>
    </xf>
    <xf applyAlignment="true" applyBorder="false" applyFill="false" applyFont="true" applyNumberFormat="false" applyProtection="false" borderId="65" fillId="0" fontId="27" numFmtId="0" xfId="0">
      <alignment horizontal="center" vertical="center"/>
    </xf>
    <xf applyAlignment="true" applyBorder="false" applyFill="false" applyFont="true" applyNumberFormat="true" applyProtection="false" borderId="66" fillId="0" fontId="26" numFmtId="202" xfId="0">
      <alignment horizontal="center" vertical="center"/>
    </xf>
    <xf applyAlignment="true" applyBorder="false" applyFill="false" applyFont="true" applyNumberFormat="true" applyProtection="false" borderId="63" fillId="0" fontId="27" numFmtId="198" xfId="0">
      <alignment horizontal="center" vertical="center"/>
    </xf>
    <xf applyAlignment="true" applyBorder="false" applyFill="false" applyFont="true" applyNumberFormat="false" applyProtection="false" borderId="63" fillId="0" fontId="26" numFmtId="0" xfId="0">
      <alignment horizontal="center" vertical="center"/>
    </xf>
    <xf applyAlignment="true" applyBorder="false" applyFill="false" applyFont="true" applyNumberFormat="true" applyProtection="false" borderId="63" fillId="0" fontId="26" numFmtId="199" xfId="0">
      <alignment horizontal="center" vertical="center"/>
    </xf>
    <xf applyAlignment="true" applyBorder="false" applyFill="false" applyFont="true" applyNumberFormat="false" applyProtection="false" borderId="63" fillId="0" fontId="27" numFmtId="0" xfId="0">
      <alignment horizontal="center" vertical="center"/>
    </xf>
    <xf applyAlignment="true" applyBorder="false" applyFill="false" applyFont="true" applyNumberFormat="true" applyProtection="false" borderId="63" fillId="0" fontId="27" numFmtId="199" xfId="0">
      <alignment horizontal="center" vertical="center"/>
    </xf>
    <xf applyAlignment="true" applyBorder="false" applyFill="false" applyFont="true" applyNumberFormat="false" applyProtection="false" borderId="63" fillId="0" fontId="27" numFmtId="0" xfId="0">
      <alignment horizontal="center" vertical="center"/>
    </xf>
    <xf applyAlignment="true" applyBorder="false" applyFill="false" applyFont="true" applyNumberFormat="true" applyProtection="false" borderId="63" fillId="0" fontId="27" numFmtId="199" xfId="0">
      <alignment horizontal="center" vertical="center"/>
    </xf>
    <xf applyAlignment="true" applyBorder="false" applyFill="false" applyFont="true" applyNumberFormat="false" applyProtection="false" borderId="63" fillId="0" fontId="27" numFmtId="0" xfId="0">
      <alignment horizontal="center" vertical="center" wrapText="true"/>
    </xf>
    <xf applyAlignment="true" applyBorder="false" applyFill="false" applyFont="true" applyNumberFormat="false" applyProtection="false" borderId="64" fillId="0" fontId="27" numFmtId="0" xfId="0">
      <alignment horizontal="center" vertical="center"/>
    </xf>
    <xf applyAlignment="true" applyBorder="false" applyFill="false" applyFont="true" applyNumberFormat="false" applyProtection="false" borderId="66" fillId="0" fontId="27" numFmtId="0" xfId="0">
      <alignment horizontal="center" vertical="center"/>
    </xf>
    <xf applyAlignment="true" applyBorder="false" applyFill="false" applyFont="true" applyNumberFormat="false" applyProtection="false" borderId="63" fillId="0" fontId="4" numFmtId="0" xfId="0">
      <alignment vertical="center"/>
    </xf>
    <xf applyAlignment="true" applyBorder="false" applyFill="false" applyFont="true" applyNumberFormat="false" applyProtection="false" borderId="0" fillId="0" fontId="27" numFmtId="0" xfId="0">
      <alignment horizontal="center" vertical="center" wrapText="true"/>
    </xf>
    <xf applyAlignment="true" applyBorder="false" applyFill="false" applyFont="true" applyNumberFormat="true" applyProtection="false" borderId="66" fillId="0" fontId="26" numFmtId="203" xfId="0">
      <alignment horizontal="center" vertical="center"/>
    </xf>
    <xf applyAlignment="true" applyBorder="false" applyFill="false" applyFont="true" applyNumberFormat="false" applyProtection="false" borderId="63" fillId="0" fontId="26" numFmtId="0" xfId="0">
      <alignment horizontal="center" vertical="center" wrapText="true"/>
    </xf>
    <xf applyAlignment="true" applyBorder="false" applyFill="false" applyFont="true" applyNumberFormat="true" applyProtection="false" borderId="67" fillId="0" fontId="26" numFmtId="203" xfId="0">
      <alignment horizontal="center" vertical="center"/>
    </xf>
    <xf applyAlignment="true" applyBorder="false" applyFill="false" applyFont="true" applyNumberFormat="true" applyProtection="false" borderId="65" fillId="0" fontId="26" numFmtId="202" xfId="0">
      <alignment horizontal="center" vertical="center"/>
    </xf>
    <xf applyAlignment="true" applyBorder="false" applyFill="false" applyFont="true" applyNumberFormat="true" applyProtection="false" borderId="65" fillId="0" fontId="27" numFmtId="199" xfId="0">
      <alignment horizontal="center" vertical="center"/>
    </xf>
    <xf applyAlignment="true" applyBorder="false" applyFill="false" applyFont="true" applyNumberFormat="true" applyProtection="false" borderId="68" fillId="0" fontId="27" numFmtId="199" xfId="0">
      <alignment horizontal="center" vertical="center"/>
    </xf>
    <xf applyAlignment="true" applyBorder="false" applyFill="false" applyFont="true" applyNumberFormat="true" applyProtection="false" borderId="63" fillId="0" fontId="26" numFmtId="202" xfId="0">
      <alignment horizontal="center" vertical="center"/>
    </xf>
    <xf applyAlignment="true" applyBorder="false" applyFill="false" applyFont="true" applyNumberFormat="false" applyProtection="false" borderId="69" fillId="0" fontId="12" numFmtId="0" xfId="0">
      <alignment horizontal="left" vertical="center"/>
    </xf>
    <xf applyAlignment="true" applyBorder="false" applyFill="false" applyFont="true" applyNumberFormat="false" applyProtection="false" borderId="69" fillId="0" fontId="12" numFmtId="0" xfId="0">
      <alignment vertical="center"/>
    </xf>
    <xf applyAlignment="true" applyBorder="false" applyFill="false" applyFont="true" applyNumberFormat="true" applyProtection="false" borderId="69" fillId="0" fontId="12" numFmtId="199" xfId="0">
      <alignment horizontal="center" vertical="center"/>
    </xf>
    <xf applyAlignment="true" applyBorder="false" applyFill="false" applyFont="true" applyNumberFormat="false" applyProtection="false" borderId="63" fillId="0" fontId="4" numFmtId="0" xfId="0">
      <alignment vertical="center"/>
    </xf>
    <xf applyAlignment="true" applyBorder="false" applyFill="false" applyFont="true" applyNumberFormat="true" applyProtection="false" borderId="0" fillId="0" fontId="27" numFmtId="199" xfId="0">
      <alignment horizontal="center" vertical="center"/>
    </xf>
    <xf applyAlignment="true" applyBorder="false" applyFill="false" applyFont="true" applyNumberFormat="true" applyProtection="false" borderId="0" fillId="0" fontId="27" numFmtId="201" xfId="0">
      <alignment horizontal="center" vertical="center"/>
    </xf>
    <xf applyAlignment="true" applyBorder="false" applyFill="false" applyFont="true" applyNumberFormat="false" applyProtection="false" borderId="70" fillId="0" fontId="26" numFmtId="0" xfId="0">
      <alignment horizontal="center" vertical="center"/>
    </xf>
    <xf applyAlignment="true" applyBorder="false" applyFill="true" applyFont="true" applyNumberFormat="false" applyProtection="false" borderId="71" fillId="9" fontId="24" numFmtId="0" xfId="0">
      <alignment horizontal="center" vertical="center"/>
    </xf>
    <xf applyAlignment="true" applyBorder="false" applyFill="true" applyFont="true" applyNumberFormat="true" applyProtection="false" borderId="72" fillId="9" fontId="24" numFmtId="205" xfId="0">
      <alignment horizontal="center" vertical="center"/>
    </xf>
    <xf applyAlignment="true" applyBorder="false" applyFill="false" applyFont="true" applyNumberFormat="false" applyProtection="false" borderId="0" fillId="0" fontId="26" numFmtId="0" xfId="0">
      <alignment horizontal="center" vertical="center"/>
    </xf>
    <xf applyAlignment="true" applyBorder="false" applyFill="true" applyFont="true" applyNumberFormat="false" applyProtection="false" borderId="0" fillId="9" fontId="28" numFmtId="0" xfId="0">
      <alignment horizontal="center" vertical="center"/>
    </xf>
    <xf applyAlignment="true" applyBorder="false" applyFill="true" applyFont="true" applyNumberFormat="true" applyProtection="false" borderId="0" fillId="9" fontId="28" numFmtId="205" xfId="0">
      <alignment horizontal="center" vertical="center"/>
    </xf>
    <xf applyAlignment="true" applyBorder="false" applyFill="false" applyFont="true" applyNumberFormat="false" applyProtection="false" borderId="73" fillId="0" fontId="26" numFmtId="0" xfId="0">
      <alignment horizontal="center" vertical="center"/>
    </xf>
    <xf applyAlignment="true" applyBorder="false" applyFill="false" applyFont="true" applyNumberFormat="false" applyProtection="false" borderId="74" fillId="0" fontId="26" numFmtId="0" xfId="0">
      <alignment horizontal="center" vertical="center"/>
    </xf>
    <xf applyAlignment="true" applyBorder="false" applyFill="true" applyFont="true" applyNumberFormat="true" applyProtection="false" borderId="74" fillId="9" fontId="28" numFmtId="206" xfId="0">
      <alignment horizontal="center" vertical="center"/>
    </xf>
    <xf applyAlignment="true" applyBorder="false" applyFill="true" applyFont="true" applyNumberFormat="true" applyProtection="false" borderId="75" fillId="9" fontId="28" numFmtId="205" xfId="0">
      <alignment horizontal="center" vertical="center"/>
    </xf>
    <xf applyAlignment="true" applyBorder="false" applyFill="true" applyFont="true" applyNumberFormat="false" applyProtection="false" borderId="74" fillId="9" fontId="28" numFmtId="0" xfId="0">
      <alignment horizontal="center" vertical="center"/>
    </xf>
    <xf applyAlignment="true" applyBorder="false" applyFill="true" applyFont="true" applyNumberFormat="true" applyProtection="false" borderId="74" fillId="9" fontId="28" numFmtId="205" xfId="0">
      <alignment horizontal="center" vertical="center"/>
    </xf>
    <xf applyAlignment="true" applyBorder="false" applyFill="false" applyFont="true" applyNumberFormat="false" applyProtection="false" borderId="76" fillId="0" fontId="26" numFmtId="0" xfId="0">
      <alignment horizontal="center" vertical="center"/>
    </xf>
    <xf applyAlignment="true" applyBorder="false" applyFill="false" applyFont="true" applyNumberFormat="true" applyProtection="false" borderId="76" fillId="0" fontId="26" numFmtId="207" xfId="0">
      <alignment horizontal="center" vertical="center"/>
    </xf>
    <xf applyAlignment="true" applyBorder="false" applyFill="true" applyFont="true" applyNumberFormat="true" applyProtection="false" borderId="76" fillId="9" fontId="28" numFmtId="206" xfId="0">
      <alignment horizontal="center" vertical="center"/>
    </xf>
    <xf applyAlignment="true" applyBorder="false" applyFill="true" applyFont="true" applyNumberFormat="true" applyProtection="false" borderId="76" fillId="9" fontId="28" numFmtId="207" xfId="0">
      <alignment horizontal="center" vertical="center"/>
    </xf>
    <xf applyAlignment="true" applyBorder="false" applyFill="true" applyFont="true" applyNumberFormat="false" applyProtection="false" borderId="76" fillId="10" fontId="26" numFmtId="0" xfId="0">
      <alignment horizontal="center" vertical="center"/>
    </xf>
    <xf applyAlignment="true" applyBorder="false" applyFill="true" applyFont="true" applyNumberFormat="true" applyProtection="false" borderId="76" fillId="10" fontId="26" numFmtId="207" xfId="0">
      <alignment horizontal="center" vertical="center"/>
    </xf>
    <xf applyAlignment="true" applyBorder="false" applyFill="true" applyFont="true" applyNumberFormat="true" applyProtection="false" borderId="76" fillId="10" fontId="28" numFmtId="206" xfId="0">
      <alignment horizontal="center" vertical="center"/>
    </xf>
    <xf applyAlignment="true" applyBorder="false" applyFill="true" applyFont="true" applyNumberFormat="true" applyProtection="false" borderId="76" fillId="10" fontId="28" numFmtId="207" xfId="0">
      <alignment horizontal="center" vertical="center"/>
    </xf>
    <xf applyAlignment="true" applyBorder="false" applyFill="true" applyFont="true" applyNumberFormat="true" applyProtection="false" borderId="76" fillId="11" fontId="28" numFmtId="206" xfId="0">
      <alignment horizontal="center" vertical="center"/>
    </xf>
    <xf applyAlignment="true" applyBorder="false" applyFill="true" applyFont="true" applyNumberFormat="true" applyProtection="false" borderId="76" fillId="11" fontId="28" numFmtId="207" xfId="0">
      <alignment horizontal="center" vertical="center"/>
    </xf>
    <xf applyAlignment="true" applyBorder="false" applyFill="true" applyFont="true" applyNumberFormat="true" applyProtection="false" borderId="76" fillId="12" fontId="28" numFmtId="208" xfId="0">
      <alignment horizontal="center" vertical="center"/>
    </xf>
    <xf applyAlignment="true" applyBorder="false" applyFill="true" applyFont="true" applyNumberFormat="true" applyProtection="false" borderId="76" fillId="12" fontId="28" numFmtId="207" xfId="0">
      <alignment horizontal="center" vertical="center"/>
    </xf>
    <xf applyAlignment="true" applyBorder="false" applyFill="true" applyFont="true" applyNumberFormat="true" applyProtection="false" borderId="76" fillId="12" fontId="28" numFmtId="206" xfId="0">
      <alignment horizontal="center" vertical="center"/>
    </xf>
    <xf applyAlignment="true" applyBorder="false" applyFill="false" applyFont="true" applyNumberFormat="true" applyProtection="false" borderId="76" fillId="0" fontId="28" numFmtId="207" xfId="0">
      <alignment horizontal="center" vertical="center"/>
    </xf>
    <xf applyAlignment="true" applyBorder="false" applyFill="false" applyFont="true" applyNumberFormat="false" applyProtection="false" borderId="76" fillId="0" fontId="26" numFmtId="0" xfId="0">
      <alignment horizontal="center" vertical="center"/>
    </xf>
    <xf applyAlignment="true" applyBorder="false" applyFill="true" applyFont="true" applyNumberFormat="false" applyProtection="false" borderId="76" fillId="10" fontId="26" numFmtId="0" xfId="0">
      <alignment horizontal="center" vertical="center"/>
    </xf>
    <xf applyAlignment="true" applyBorder="false" applyFill="true" applyFont="true" applyNumberFormat="true" applyProtection="false" borderId="76" fillId="11" fontId="26" numFmtId="206" xfId="0">
      <alignment horizontal="center" vertical="center"/>
    </xf>
    <xf applyAlignment="true" applyBorder="false" applyFill="true" applyFont="true" applyNumberFormat="false" applyProtection="false" borderId="76" fillId="11" fontId="26" numFmtId="0" xfId="0">
      <alignment horizontal="center" vertical="center"/>
    </xf>
    <xf applyAlignment="true" applyBorder="false" applyFill="true" applyFont="true" applyNumberFormat="true" applyProtection="false" borderId="76" fillId="12" fontId="26" numFmtId="208" xfId="0">
      <alignment horizontal="center" vertical="center"/>
    </xf>
    <xf applyAlignment="true" applyBorder="false" applyFill="true" applyFont="true" applyNumberFormat="true" applyProtection="false" borderId="76" fillId="12" fontId="26" numFmtId="209" xfId="0">
      <alignment horizontal="center" vertical="center"/>
    </xf>
    <xf applyAlignment="true" applyBorder="false" applyFill="false" applyFont="true" applyNumberFormat="false" applyProtection="false" borderId="76" fillId="0" fontId="26" numFmtId="0" xfId="0">
      <alignment horizontal="center" vertical="center" wrapText="true"/>
    </xf>
    <xf applyAlignment="true" applyBorder="false" applyFill="false" applyFont="true" applyNumberFormat="true" applyProtection="false" borderId="76" fillId="0" fontId="26" numFmtId="207" xfId="0">
      <alignment horizontal="center" vertical="center"/>
    </xf>
    <xf applyAlignment="true" applyBorder="false" applyFill="true" applyFont="true" applyNumberFormat="false" applyProtection="false" borderId="76" fillId="10" fontId="26" numFmtId="0" xfId="0">
      <alignment horizontal="center" vertical="center" wrapText="true"/>
    </xf>
    <xf applyAlignment="true" applyBorder="false" applyFill="true" applyFont="true" applyNumberFormat="true" applyProtection="false" borderId="76" fillId="10" fontId="26" numFmtId="207" xfId="0">
      <alignment horizontal="center" vertical="center"/>
    </xf>
    <xf applyAlignment="true" applyBorder="false" applyFill="true" applyFont="true" applyNumberFormat="true" applyProtection="false" borderId="76" fillId="11" fontId="26" numFmtId="206" xfId="0">
      <alignment horizontal="center" vertical="center" wrapText="true"/>
    </xf>
    <xf applyAlignment="true" applyBorder="false" applyFill="true" applyFont="true" applyNumberFormat="true" applyProtection="false" borderId="76" fillId="11" fontId="26" numFmtId="207" xfId="0">
      <alignment horizontal="center" vertical="center"/>
    </xf>
    <xf applyAlignment="true" applyBorder="false" applyFill="true" applyFont="true" applyNumberFormat="true" applyProtection="false" borderId="76" fillId="11" fontId="26" numFmtId="206" xfId="0">
      <alignment horizontal="center" vertical="center"/>
    </xf>
    <xf applyAlignment="true" applyBorder="false" applyFill="true" applyFont="true" applyNumberFormat="true" applyProtection="false" borderId="76" fillId="11" fontId="26" numFmtId="207" xfId="0">
      <alignment horizontal="center" vertical="center"/>
    </xf>
    <xf applyAlignment="true" applyBorder="false" applyFill="true" applyFont="true" applyNumberFormat="true" applyProtection="false" borderId="76" fillId="12" fontId="26" numFmtId="208" xfId="0">
      <alignment horizontal="center" vertical="center" wrapText="true"/>
    </xf>
    <xf applyAlignment="true" applyBorder="false" applyFill="true" applyFont="true" applyNumberFormat="true" applyProtection="false" borderId="77" fillId="12" fontId="26" numFmtId="207" xfId="0">
      <alignment horizontal="center" vertical="center"/>
    </xf>
    <xf applyAlignment="true" applyBorder="false" applyFill="true" applyFont="true" applyNumberFormat="true" applyProtection="false" borderId="77" fillId="12" fontId="26" numFmtId="206" xfId="0">
      <alignment horizontal="center" vertical="center"/>
    </xf>
    <xf applyAlignment="true" applyBorder="false" applyFill="true" applyFont="true" applyNumberFormat="true" applyProtection="false" borderId="77" fillId="12" fontId="26" numFmtId="209" xfId="0">
      <alignment horizontal="center" vertical="center"/>
    </xf>
    <xf applyAlignment="true" applyBorder="false" applyFill="false" applyFont="true" applyNumberFormat="true" applyProtection="false" borderId="76" fillId="0" fontId="26" numFmtId="205" xfId="0">
      <alignment horizontal="center" vertical="center"/>
    </xf>
    <xf applyAlignment="true" applyBorder="false" applyFill="false" applyFont="true" applyNumberFormat="true" applyProtection="false" borderId="70" fillId="0" fontId="26" numFmtId="205" xfId="0">
      <alignment horizontal="center" vertical="center"/>
    </xf>
    <xf applyAlignment="true" applyBorder="false" applyFill="false" applyFont="true" applyNumberFormat="true" applyProtection="false" borderId="76" fillId="0" fontId="26" numFmtId="206" xfId="0">
      <alignment horizontal="center" vertical="center"/>
    </xf>
    <xf applyAlignment="true" applyBorder="false" applyFill="true" applyFont="true" applyNumberFormat="true" applyProtection="false" borderId="76" fillId="11" fontId="26" numFmtId="207" xfId="0">
      <alignment vertical="center"/>
    </xf>
    <xf applyAlignment="true" applyBorder="false" applyFill="true" applyFont="true" applyNumberFormat="true" applyProtection="false" borderId="70" fillId="12" fontId="26" numFmtId="207" xfId="0">
      <alignment horizontal="center" vertical="center"/>
    </xf>
    <xf applyAlignment="true" applyBorder="false" applyFill="true" applyFont="true" applyNumberFormat="true" applyProtection="false" borderId="78" fillId="12" fontId="26" numFmtId="207" xfId="0">
      <alignment vertical="center"/>
    </xf>
    <xf applyAlignment="true" applyBorder="false" applyFill="true" applyFont="true" applyNumberFormat="true" applyProtection="false" borderId="78" fillId="12" fontId="26" numFmtId="206" xfId="0">
      <alignment vertical="center"/>
    </xf>
    <xf applyAlignment="true" applyBorder="false" applyFill="false" applyFont="true" applyNumberFormat="true" applyProtection="false" borderId="72" fillId="0" fontId="26" numFmtId="207" xfId="0">
      <alignment vertical="center"/>
    </xf>
    <xf applyAlignment="true" applyBorder="false" applyFill="false" applyFont="true" applyNumberFormat="true" applyProtection="false" borderId="76" fillId="0" fontId="26" numFmtId="207" xfId="0">
      <alignment vertical="center"/>
    </xf>
    <xf applyAlignment="true" applyBorder="false" applyFill="true" applyFont="true" applyNumberFormat="true" applyProtection="false" borderId="70" fillId="12" fontId="26" numFmtId="208" xfId="0">
      <alignment horizontal="center" vertical="center"/>
    </xf>
    <xf applyAlignment="true" applyBorder="false" applyFill="true" applyFont="true" applyNumberFormat="true" applyProtection="false" borderId="78" fillId="12" fontId="26" numFmtId="207" xfId="0">
      <alignment horizontal="center" vertical="center"/>
    </xf>
    <xf applyAlignment="true" applyBorder="false" applyFill="true" applyFont="true" applyNumberFormat="true" applyProtection="false" borderId="78" fillId="12" fontId="26" numFmtId="206" xfId="0">
      <alignment horizontal="center" vertical="center"/>
    </xf>
    <xf applyAlignment="true" applyBorder="false" applyFill="true" applyFont="true" applyNumberFormat="true" applyProtection="false" borderId="78" fillId="12" fontId="4" numFmtId="207" xfId="0">
      <alignment horizontal="center" vertical="center"/>
    </xf>
    <xf applyAlignment="true" applyBorder="false" applyFill="false" applyFont="true" applyNumberFormat="true" applyProtection="false" borderId="72" fillId="0" fontId="26" numFmtId="207" xfId="0">
      <alignment horizontal="center" vertical="center"/>
    </xf>
    <xf applyAlignment="true" applyBorder="false" applyFill="true" applyFont="true" applyNumberFormat="false" applyProtection="false" borderId="78" fillId="12" fontId="4" numFmtId="0" xfId="0">
      <alignment vertical="center"/>
    </xf>
    <xf applyAlignment="true" applyBorder="false" applyFill="true" applyFont="true" applyNumberFormat="true" applyProtection="false" borderId="76" fillId="10" fontId="26" numFmtId="206" xfId="0">
      <alignment horizontal="center" vertical="center"/>
    </xf>
    <xf applyAlignment="true" applyBorder="false" applyFill="true" applyFont="true" applyNumberFormat="true" applyProtection="false" borderId="78" fillId="12" fontId="26" numFmtId="207" xfId="0">
      <alignment horizontal="center" vertical="center"/>
    </xf>
    <xf applyAlignment="true" applyBorder="false" applyFill="false" applyFont="true" applyNumberFormat="true" applyProtection="false" borderId="76" fillId="0" fontId="26" numFmtId="207" xfId="0">
      <alignment horizontal="center" vertical="center"/>
    </xf>
    <xf applyAlignment="true" applyBorder="false" applyFill="true" applyFont="true" applyNumberFormat="true" applyProtection="false" borderId="76" fillId="10" fontId="26" numFmtId="207" xfId="0">
      <alignment horizontal="center" vertical="center"/>
    </xf>
    <xf applyAlignment="true" applyBorder="false" applyFill="true" applyFont="true" applyNumberFormat="true" applyProtection="false" borderId="76" fillId="11" fontId="26" numFmtId="206" xfId="0">
      <alignment horizontal="center" vertical="center"/>
    </xf>
    <xf applyAlignment="true" applyBorder="false" applyFill="true" applyFont="true" applyNumberFormat="true" applyProtection="false" borderId="76" fillId="11" fontId="26" numFmtId="207" xfId="0">
      <alignment vertical="center"/>
    </xf>
    <xf applyAlignment="true" applyBorder="false" applyFill="true" applyFont="true" applyNumberFormat="true" applyProtection="false" borderId="76" fillId="11" fontId="26" numFmtId="207" xfId="0">
      <alignment horizontal="center" vertical="center"/>
    </xf>
    <xf applyAlignment="true" applyBorder="false" applyFill="true" applyFont="true" applyNumberFormat="true" applyProtection="false" borderId="70" fillId="12" fontId="26" numFmtId="207" xfId="0">
      <alignment horizontal="center" vertical="center"/>
    </xf>
    <xf applyAlignment="true" applyBorder="false" applyFill="true" applyFont="true" applyNumberFormat="true" applyProtection="false" borderId="78" fillId="12" fontId="26" numFmtId="207" xfId="0">
      <alignment vertical="center"/>
    </xf>
    <xf applyAlignment="true" applyBorder="false" applyFill="true" applyFont="true" applyNumberFormat="true" applyProtection="false" borderId="78" fillId="12" fontId="26" numFmtId="206" xfId="0">
      <alignment vertical="center"/>
    </xf>
    <xf applyAlignment="true" applyBorder="false" applyFill="false" applyFont="true" applyNumberFormat="true" applyProtection="false" borderId="72" fillId="0" fontId="26" numFmtId="207" xfId="0">
      <alignment vertical="center"/>
    </xf>
    <xf applyAlignment="true" applyBorder="false" applyFill="false" applyFont="true" applyNumberFormat="true" applyProtection="false" borderId="76" fillId="0" fontId="26" numFmtId="207" xfId="0">
      <alignment vertical="center"/>
    </xf>
    <xf applyAlignment="true" applyBorder="false" applyFill="true" applyFont="true" applyNumberFormat="true" applyProtection="false" borderId="78" fillId="12" fontId="40" numFmtId="207" xfId="0">
      <alignment horizontal="center" vertical="center"/>
    </xf>
    <xf applyAlignment="true" applyBorder="false" applyFill="false" applyFont="true" applyNumberFormat="false" applyProtection="false" borderId="76" fillId="0" fontId="28" numFmtId="0" xfId="0">
      <alignment horizontal="center" vertical="center"/>
    </xf>
    <xf applyAlignment="true" applyBorder="false" applyFill="false" applyFont="true" applyNumberFormat="false" applyProtection="false" borderId="70" fillId="0" fontId="28" numFmtId="0" xfId="0">
      <alignment horizontal="center" vertical="center"/>
    </xf>
    <xf applyAlignment="true" applyBorder="false" applyFill="false" applyFont="true" applyNumberFormat="true" applyProtection="false" borderId="76" fillId="0" fontId="26" numFmtId="210" xfId="0">
      <alignment horizontal="center" vertical="center"/>
    </xf>
    <xf applyAlignment="true" applyBorder="false" applyFill="true" applyFont="true" applyNumberFormat="true" applyProtection="false" borderId="76" fillId="11" fontId="26" numFmtId="210" xfId="0">
      <alignment horizontal="center" vertical="center"/>
    </xf>
    <xf applyAlignment="true" applyBorder="false" applyFill="true" applyFont="true" applyNumberFormat="true" applyProtection="false" borderId="78" fillId="12" fontId="26" numFmtId="210" xfId="0">
      <alignment horizontal="center" vertical="center"/>
    </xf>
    <xf applyAlignment="true" applyBorder="false" applyFill="false" applyFont="true" applyNumberFormat="true" applyProtection="false" borderId="72" fillId="0" fontId="26" numFmtId="207" xfId="0">
      <alignment horizontal="center" vertical="center"/>
    </xf>
    <xf applyAlignment="true" applyBorder="false" applyFill="false" applyFont="true" applyNumberFormat="false" applyProtection="false" borderId="77" fillId="0" fontId="26" numFmtId="0" xfId="0">
      <alignment horizontal="center" vertical="center"/>
    </xf>
    <xf applyAlignment="true" applyBorder="false" applyFill="false" applyFont="true" applyNumberFormat="true" applyProtection="false" borderId="77" fillId="0" fontId="26" numFmtId="205" xfId="0">
      <alignment horizontal="center" vertical="center"/>
    </xf>
    <xf applyAlignment="true" applyBorder="false" applyFill="false" applyFont="true" applyNumberFormat="true" applyProtection="false" borderId="77" fillId="0" fontId="26" numFmtId="206" xfId="0">
      <alignment horizontal="center" vertical="center"/>
    </xf>
    <xf applyAlignment="true" applyBorder="false" applyFill="false" applyFont="true" applyNumberFormat="false" applyProtection="false" borderId="77" fillId="0" fontId="28" numFmtId="0" xfId="0">
      <alignment horizontal="center" vertical="center"/>
    </xf>
    <xf applyAlignment="true" applyBorder="false" applyFill="false" applyFont="true" applyNumberFormat="false" applyProtection="false" borderId="73" fillId="0" fontId="28" numFmtId="0" xfId="0">
      <alignment horizontal="center" vertical="center"/>
    </xf>
    <xf applyAlignment="true" applyBorder="false" applyFill="false" applyFont="true" applyNumberFormat="true" applyProtection="false" borderId="77" fillId="0" fontId="26" numFmtId="207" xfId="0">
      <alignment horizontal="center" vertical="center"/>
    </xf>
    <xf applyAlignment="true" applyBorder="false" applyFill="true" applyFont="true" applyNumberFormat="true" applyProtection="false" borderId="77" fillId="10" fontId="26" numFmtId="207" xfId="0">
      <alignment horizontal="center" vertical="center"/>
    </xf>
    <xf applyAlignment="true" applyBorder="false" applyFill="true" applyFont="true" applyNumberFormat="true" applyProtection="false" borderId="77" fillId="11" fontId="26" numFmtId="206" xfId="0">
      <alignment horizontal="center" vertical="center"/>
    </xf>
    <xf applyAlignment="true" applyBorder="false" applyFill="true" applyFont="true" applyNumberFormat="true" applyProtection="false" borderId="77" fillId="11" fontId="26" numFmtId="207" xfId="0">
      <alignment vertical="center"/>
    </xf>
    <xf applyAlignment="true" applyBorder="false" applyFill="true" applyFont="true" applyNumberFormat="true" applyProtection="false" borderId="77" fillId="11" fontId="26" numFmtId="207" xfId="0">
      <alignment horizontal="center" vertical="center"/>
    </xf>
    <xf applyAlignment="true" applyBorder="false" applyFill="true" applyFont="true" applyNumberFormat="true" applyProtection="false" borderId="73" fillId="12" fontId="26" numFmtId="207" xfId="0">
      <alignment horizontal="center" vertical="center"/>
    </xf>
    <xf applyAlignment="true" applyBorder="false" applyFill="false" applyFont="true" applyNumberFormat="true" applyProtection="false" borderId="75" fillId="0" fontId="26" numFmtId="207" xfId="0">
      <alignment vertical="center"/>
    </xf>
    <xf applyAlignment="true" applyBorder="false" applyFill="false" applyFont="true" applyNumberFormat="true" applyProtection="false" borderId="77" fillId="0" fontId="26" numFmtId="207" xfId="0">
      <alignment vertical="center"/>
    </xf>
    <xf applyAlignment="true" applyBorder="false" applyFill="false" applyFont="true" applyNumberFormat="false" applyProtection="false" borderId="79" fillId="0" fontId="26" numFmtId="0" xfId="0">
      <alignment horizontal="center" vertical="center"/>
    </xf>
    <xf applyAlignment="true" applyBorder="false" applyFill="false" applyFont="true" applyNumberFormat="true" applyProtection="false" borderId="79" fillId="0" fontId="26" numFmtId="205" xfId="0">
      <alignment horizontal="center" vertical="center"/>
    </xf>
    <xf applyAlignment="true" applyBorder="false" applyFill="false" applyFont="true" applyNumberFormat="false" applyProtection="false" borderId="79" fillId="0" fontId="28" numFmtId="0" xfId="0">
      <alignment horizontal="center" vertical="center"/>
    </xf>
    <xf applyAlignment="true" applyBorder="false" applyFill="false" applyFont="true" applyNumberFormat="true" applyProtection="false" borderId="79" fillId="0" fontId="26" numFmtId="207" xfId="0">
      <alignment horizontal="center" vertical="center"/>
    </xf>
    <xf applyAlignment="true" applyBorder="false" applyFill="true" applyFont="true" applyNumberFormat="true" applyProtection="false" borderId="79" fillId="10" fontId="26" numFmtId="207" xfId="0">
      <alignment horizontal="center" vertical="center"/>
    </xf>
    <xf applyAlignment="true" applyBorder="false" applyFill="true" applyFont="true" applyNumberFormat="true" applyProtection="false" borderId="79" fillId="11" fontId="26" numFmtId="206" xfId="0">
      <alignment horizontal="center" vertical="center"/>
    </xf>
    <xf applyAlignment="true" applyBorder="false" applyFill="true" applyFont="true" applyNumberFormat="true" applyProtection="false" borderId="79" fillId="11" fontId="26" numFmtId="207" xfId="0">
      <alignment vertical="center"/>
    </xf>
    <xf applyAlignment="true" applyBorder="false" applyFill="true" applyFont="true" applyNumberFormat="true" applyProtection="false" borderId="79" fillId="11" fontId="26" numFmtId="207" xfId="0">
      <alignment horizontal="center" vertical="center"/>
    </xf>
    <xf applyAlignment="true" applyBorder="false" applyFill="true" applyFont="true" applyNumberFormat="true" applyProtection="false" borderId="80" fillId="12" fontId="26" numFmtId="207" xfId="0">
      <alignment horizontal="center" vertical="center"/>
    </xf>
    <xf applyAlignment="true" applyBorder="false" applyFill="false" applyFont="true" applyNumberFormat="true" applyProtection="false" borderId="81" fillId="0" fontId="26" numFmtId="207" xfId="0">
      <alignment vertical="center"/>
    </xf>
    <xf applyAlignment="true" applyBorder="false" applyFill="false" applyFont="true" applyNumberFormat="true" applyProtection="false" borderId="79" fillId="0" fontId="26" numFmtId="207" xfId="0">
      <alignment vertical="center"/>
    </xf>
    <xf applyAlignment="true" applyBorder="false" applyFill="false" applyFont="true" applyNumberFormat="false" applyProtection="false" borderId="70" fillId="0" fontId="26" numFmtId="0" xfId="0">
      <alignment horizontal="center" vertical="center"/>
    </xf>
    <xf applyAlignment="true" applyBorder="false" applyFill="false" applyFont="true" applyNumberFormat="false" applyProtection="false" borderId="79" fillId="0" fontId="27" numFmtId="0" xfId="0">
      <alignment horizontal="center" vertical="center"/>
    </xf>
    <xf applyAlignment="true" applyBorder="false" applyFill="false" applyFont="true" applyNumberFormat="true" applyProtection="false" borderId="79" fillId="0" fontId="27" numFmtId="207" xfId="0">
      <alignment horizontal="center" vertical="center"/>
    </xf>
    <xf applyAlignment="true" applyBorder="false" applyFill="true" applyFont="true" applyNumberFormat="true" applyProtection="false" borderId="79" fillId="10" fontId="27" numFmtId="207" xfId="0">
      <alignment horizontal="center" vertical="center"/>
    </xf>
    <xf applyAlignment="true" applyBorder="false" applyFill="true" applyFont="true" applyNumberFormat="true" applyProtection="false" borderId="79" fillId="10" fontId="27" numFmtId="207" xfId="0">
      <alignment horizontal="center" vertical="center"/>
    </xf>
    <xf applyAlignment="true" applyBorder="false" applyFill="true" applyFont="true" applyNumberFormat="true" applyProtection="false" borderId="79" fillId="10" fontId="27" numFmtId="206" xfId="0">
      <alignment horizontal="center" vertical="center"/>
    </xf>
    <xf applyAlignment="true" applyBorder="false" applyFill="true" applyFont="true" applyNumberFormat="true" applyProtection="false" borderId="79" fillId="11" fontId="27" numFmtId="206" xfId="0">
      <alignment horizontal="center" vertical="center"/>
    </xf>
    <xf applyAlignment="true" applyBorder="false" applyFill="true" applyFont="true" applyNumberFormat="true" applyProtection="false" borderId="79" fillId="11" fontId="27" numFmtId="207" xfId="0">
      <alignment vertical="center"/>
    </xf>
    <xf applyAlignment="true" applyBorder="false" applyFill="true" applyFont="true" applyNumberFormat="true" applyProtection="false" borderId="79" fillId="11" fontId="27" numFmtId="207" xfId="0">
      <alignment horizontal="center" vertical="center"/>
    </xf>
    <xf applyAlignment="true" applyBorder="false" applyFill="true" applyFont="true" applyNumberFormat="true" applyProtection="false" borderId="80" fillId="12" fontId="27" numFmtId="211" xfId="0">
      <alignment horizontal="center" vertical="center"/>
    </xf>
    <xf applyAlignment="true" applyBorder="false" applyFill="true" applyFont="true" applyNumberFormat="true" applyProtection="false" borderId="78" fillId="12" fontId="27" numFmtId="207" xfId="0">
      <alignment vertical="center"/>
    </xf>
    <xf applyAlignment="true" applyBorder="false" applyFill="true" applyFont="true" applyNumberFormat="true" applyProtection="false" borderId="78" fillId="12" fontId="27" numFmtId="206" xfId="0">
      <alignment vertical="center"/>
    </xf>
    <xf applyAlignment="true" applyBorder="false" applyFill="false" applyFont="true" applyNumberFormat="true" applyProtection="false" borderId="81" fillId="0" fontId="27" numFmtId="207" xfId="0">
      <alignment vertical="center"/>
    </xf>
    <xf applyAlignment="true" applyBorder="false" applyFill="false" applyFont="true" applyNumberFormat="true" applyProtection="false" borderId="79" fillId="0" fontId="27" numFmtId="207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207" xfId="0">
      <alignment horizontal="center" vertical="center"/>
    </xf>
    <xf applyAlignment="true" applyBorder="false" applyFill="true" applyFont="true" applyNumberFormat="true" applyProtection="false" borderId="0" fillId="10" fontId="4" numFmtId="207" xfId="0">
      <alignment horizontal="center" vertical="center"/>
    </xf>
    <xf applyAlignment="true" applyBorder="false" applyFill="true" applyFont="true" applyNumberFormat="true" applyProtection="false" borderId="0" fillId="11" fontId="4" numFmtId="206" xfId="0">
      <alignment horizontal="center" vertical="center"/>
    </xf>
    <xf applyAlignment="true" applyBorder="false" applyFill="true" applyFont="true" applyNumberFormat="true" applyProtection="false" borderId="0" fillId="11" fontId="4" numFmtId="207" xfId="0">
      <alignment vertical="center"/>
    </xf>
    <xf applyAlignment="true" applyBorder="false" applyFill="true" applyFont="true" applyNumberFormat="true" applyProtection="false" borderId="0" fillId="11" fontId="4" numFmtId="207" xfId="0">
      <alignment horizontal="center" vertical="center"/>
    </xf>
    <xf applyAlignment="true" applyBorder="false" applyFill="true" applyFont="true" applyNumberFormat="true" applyProtection="false" borderId="0" fillId="12" fontId="4" numFmtId="207" xfId="0">
      <alignment horizontal="center" vertical="center"/>
    </xf>
    <xf applyAlignment="true" applyBorder="false" applyFill="true" applyFont="true" applyNumberFormat="true" applyProtection="false" borderId="0" fillId="12" fontId="4" numFmtId="207" xfId="0">
      <alignment vertical="center"/>
    </xf>
    <xf applyAlignment="true" applyBorder="false" applyFill="true" applyFont="true" applyNumberFormat="true" applyProtection="false" borderId="0" fillId="12" fontId="4" numFmtId="206" xfId="0">
      <alignment vertical="center"/>
    </xf>
    <xf applyAlignment="true" applyBorder="false" applyFill="false" applyFont="true" applyNumberFormat="true" applyProtection="false" borderId="0" fillId="0" fontId="4" numFmtId="207" xfId="0">
      <alignment vertical="center"/>
    </xf>
    <xf applyAlignment="true" applyBorder="false" applyFill="true" applyFont="true" applyNumberFormat="false" applyProtection="false" borderId="0" fillId="10" fontId="4" numFmtId="0" xfId="0">
      <alignment vertical="center"/>
    </xf>
    <xf applyAlignment="true" applyBorder="false" applyFill="true" applyFont="true" applyNumberFormat="false" applyProtection="false" borderId="0" fillId="11" fontId="4" numFmtId="0" xfId="0">
      <alignment vertical="center"/>
    </xf>
    <xf applyAlignment="true" applyBorder="false" applyFill="true" applyFont="true" applyNumberFormat="false" applyProtection="false" borderId="0" fillId="12" fontId="4" numFmtId="0" xfId="0">
      <alignment horizontal="center" vertical="center"/>
    </xf>
    <xf applyAlignment="true" applyBorder="false" applyFill="true" applyFont="true" applyNumberFormat="false" applyProtection="false" borderId="0" fillId="12" fontId="4" numFmtId="0" xfId="0">
      <alignment vertical="center"/>
    </xf>
    <xf applyAlignment="true" applyBorder="false" applyFill="true" applyFont="true" applyNumberFormat="true" applyProtection="false" borderId="0" fillId="12" fontId="4" numFmtId="209" xfId="0">
      <alignment vertical="center"/>
    </xf>
  </cellXfs>
  <cellStyles count="1">
    <cellStyle builtinId="0" name="Normal" xfId="0"/>
  </cellStyles>
  <dxfs count="2"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F99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朱佳宝" id="{7A89394D-76A7-44EC-A6B5-C51D3A665CC5}" userId="S::::789875b6-80b7-45d4-ae76-ed0ecdbc3c4a" providerId="AD"/>
  <person displayName="袁靖杰" id="{A362C9E0-2B6E-44D2-9272-D5A124F4164C}" userId="S::::90f42663-66b6-48dc-b106-88b478730e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CA306CDE-B4CB-484A-8474-C11185C197FE}" ref="L2" dT="2025-12-09T02:44:52" personId="{7A89394D-76A7-44EC-A6B5-C51D3A665CC5}" parentId="{}">
    <text>[image]</text>
  </threadedComment>
  <threadedComment id="{791464E3-4501-4E60-8CDF-FD4F0CC53BE3}" ref="L3" dT="2025-12-03T10:53:19" personId="{7A89394D-76A7-44EC-A6B5-C51D3A665CC5}" parentId="{}">
    <text>[image]</text>
  </threadedComment>
  <threadedComment id="{3D472B93-364F-4E72-828F-4E1956C23E35}" ref="L4" dT="2025-12-09T02:43:37" personId="{7A89394D-76A7-44EC-A6B5-C51D3A665CC5}" parentId="{}">
    <text>[image]</text>
  </threadedComment>
  <threadedComment id="{47F5DCA1-6BFB-4551-BF8F-B61858E2B852}" ref="L9" dT="2026-01-08T07:41:29" personId="{7A89394D-76A7-44EC-A6B5-C51D3A665CC5}" parentId="{}">
    <text>[image]</text>
  </threadedComment>
  <threadedComment id="{5C3CD6CC-B59A-48E3-B260-A5819A5BC7ED}" ref="L10" dT="2026-01-13T05:51:02" personId="{7A89394D-76A7-44EC-A6B5-C51D3A665CC5}" parentId="{}">
    <text>[image]</text>
  </threadedComment>
  <threadedComment id="{1C96D401-B64A-41CF-BC4F-DE484C2197A1}" ref="L11" dT="2026-01-13T05:51:22" personId="{7A89394D-76A7-44EC-A6B5-C51D3A665CC5}" parentId="{}">
    <text>[image]</text>
  </threadedComment>
  <threadedComment id="{8F0A074F-FE69-406A-B4B6-D22FE6216C6D}" ref="L12" dT="2026-01-26T05:55:40" personId="{7A89394D-76A7-44EC-A6B5-C51D3A665CC5}" parentId="{}">
    <text>[image]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7" min="17" style="0" width="10"/>
    <col collapsed="false" customWidth="true" hidden="false" max="21" min="21" style="0" width="10"/>
    <col collapsed="false" customWidth="true" hidden="false" max="1" min="1" style="0" width="14"/>
    <col collapsed="false" customWidth="true" hidden="false" max="5" min="5" style="0" width="13"/>
    <col collapsed="false" customWidth="true" hidden="false" max="12" min="12" style="0" width="17"/>
    <col collapsed="false" customWidth="true" hidden="false" max="16" min="16" style="0" width="10"/>
    <col collapsed="false" customWidth="true" hidden="false" max="20" min="20" style="0" width="10"/>
    <col collapsed="false" customWidth="true" hidden="false" max="4" min="4" style="0" width="24"/>
    <col collapsed="false" customWidth="true" hidden="false" max="8" min="8" style="0" width="19"/>
    <col collapsed="false" customWidth="true" hidden="false" max="11" min="11" style="0" width="37"/>
    <col collapsed="false" customWidth="true" hidden="false" max="15" min="15" style="0" width="18"/>
    <col collapsed="false" customWidth="true" hidden="false" max="19" min="19" style="0" width="10"/>
    <col collapsed="false" customWidth="true" hidden="false" max="3" min="3" style="0" width="12"/>
    <col collapsed="false" customWidth="true" hidden="false" max="7" min="7" style="0" width="19"/>
    <col collapsed="false" customWidth="true" hidden="false" max="10" min="10" style="0" width="24"/>
    <col collapsed="false" customWidth="true" hidden="false" max="14" min="14" style="0" width="12"/>
    <col collapsed="false" customWidth="true" hidden="false" max="18" min="18" style="0" width="10"/>
    <col collapsed="false" customWidth="true" hidden="false" max="22" min="22" style="0" width="10"/>
    <col collapsed="false" customWidth="true" hidden="false" max="2" min="2" style="0" width="11"/>
    <col collapsed="false" customWidth="true" hidden="false" max="6" min="6" style="0" width="19"/>
    <col collapsed="false" customWidth="true" hidden="false" max="9" min="9" style="0" width="10"/>
    <col collapsed="false" customWidth="true" hidden="false" max="13" min="13" style="0" width="11"/>
  </cols>
  <sheetData>
    <row customHeight="true" ht="15" r="1">
      <c r="A1" s="1" t="s">
        <v>1</v>
      </c>
      <c r="B1" s="2">
        <f>SUBTOTAL(9,B3:B10197)</f>
      </c>
      <c r="C1" s="3">
        <f>SUBTOTAL(9,C3:C10197)</f>
      </c>
      <c r="D1" s="4"/>
      <c r="E1" s="5"/>
      <c r="F1" s="4"/>
      <c r="G1" s="6"/>
      <c r="H1" s="6"/>
      <c r="I1" s="5"/>
      <c r="J1" s="4"/>
      <c r="K1" s="7"/>
      <c r="L1" s="8"/>
      <c r="M1" s="4"/>
      <c r="N1" s="4"/>
      <c r="O1" s="4"/>
      <c r="P1" s="4"/>
      <c r="Q1" s="4"/>
      <c r="R1" s="4"/>
      <c r="S1" s="4"/>
      <c r="T1" s="4"/>
      <c r="U1" s="4"/>
      <c r="V1" s="4"/>
    </row>
    <row customHeight="true" ht="19" r="2">
      <c r="A2" s="9" t="s">
        <v>2</v>
      </c>
      <c r="B2" s="10" t="s">
        <v>3</v>
      </c>
      <c r="C2" s="11" t="s">
        <v>4</v>
      </c>
      <c r="D2" s="9" t="s">
        <v>5</v>
      </c>
      <c r="E2" s="9" t="s">
        <v>6</v>
      </c>
      <c r="F2" s="9" t="s">
        <v>7</v>
      </c>
      <c r="G2" s="12" t="s">
        <v>8</v>
      </c>
      <c r="H2" s="9" t="s">
        <v>9</v>
      </c>
      <c r="I2" s="12" t="s">
        <v>10</v>
      </c>
      <c r="J2" s="9" t="s">
        <v>11</v>
      </c>
      <c r="K2" s="9" t="s">
        <v>12</v>
      </c>
      <c r="L2" s="13" t="s">
        <v>13</v>
      </c>
      <c r="M2" s="9" t="s">
        <v>14</v>
      </c>
      <c r="N2" s="9" t="s">
        <v>15</v>
      </c>
      <c r="O2" s="14"/>
      <c r="P2" s="14"/>
      <c r="Q2" s="14"/>
      <c r="R2" s="14"/>
      <c r="S2" s="14"/>
      <c r="T2" s="14"/>
      <c r="U2" s="14"/>
      <c r="V2" s="14"/>
    </row>
    <row customHeight="true" ht="15" r="3">
      <c r="A3" s="15">
        <v>45856</v>
      </c>
      <c r="B3" s="16">
        <v>114</v>
      </c>
      <c r="C3" s="17">
        <v>11478</v>
      </c>
      <c r="D3" s="18" t="s">
        <v>16</v>
      </c>
      <c r="E3" s="19" t="s">
        <v>17</v>
      </c>
      <c r="F3" s="20" t="s">
        <v>18</v>
      </c>
      <c r="G3" s="21">
        <f t="shared" ref="G3:G6" si="13">H3-10</f>
      </c>
      <c r="H3" s="21">
        <f t="shared" ref="H3:H15" si="0">A3+45</f>
      </c>
      <c r="I3" s="22" t="s">
        <v>17</v>
      </c>
      <c r="J3" s="20" t="s">
        <v>19</v>
      </c>
      <c r="K3" s="23" t="s">
        <v>20</v>
      </c>
      <c r="L3" s="18" t="s">
        <v>21</v>
      </c>
      <c r="M3" s="24"/>
      <c r="N3" s="24"/>
      <c r="O3" s="24"/>
      <c r="P3" s="24"/>
      <c r="Q3" s="24"/>
      <c r="R3" s="24"/>
      <c r="S3" s="24"/>
      <c r="T3" s="24"/>
      <c r="U3" s="24"/>
      <c r="V3" s="24"/>
    </row>
    <row customHeight="true" ht="15" r="4">
      <c r="A4" s="21">
        <v>45869</v>
      </c>
      <c r="B4" s="25">
        <v>3735</v>
      </c>
      <c r="C4" s="26">
        <v>746707.9</v>
      </c>
      <c r="D4" s="27" t="s">
        <v>22</v>
      </c>
      <c r="E4" s="19" t="s">
        <v>17</v>
      </c>
      <c r="F4" s="24"/>
      <c r="G4" s="21">
        <f t="shared" si="13"/>
      </c>
      <c r="H4" s="21">
        <f t="shared" si="0"/>
      </c>
      <c r="I4" s="22" t="s">
        <v>17</v>
      </c>
      <c r="J4" s="24" t="s">
        <v>23</v>
      </c>
      <c r="K4" s="28" t="s">
        <v>24</v>
      </c>
      <c r="L4" s="18" t="s">
        <v>21</v>
      </c>
      <c r="M4" s="24"/>
      <c r="N4" s="24"/>
      <c r="O4" s="24"/>
      <c r="P4" s="24"/>
      <c r="Q4" s="24"/>
      <c r="R4" s="24"/>
      <c r="S4" s="24"/>
      <c r="T4" s="24"/>
      <c r="U4" s="24"/>
      <c r="V4" s="24"/>
    </row>
    <row customHeight="true" ht="15" r="5">
      <c r="A5" s="21">
        <v>45876</v>
      </c>
      <c r="B5" s="25">
        <v>130</v>
      </c>
      <c r="C5" s="26">
        <v>46203.52</v>
      </c>
      <c r="D5" s="24" t="s">
        <v>25</v>
      </c>
      <c r="E5" s="19" t="s">
        <v>17</v>
      </c>
      <c r="F5" s="24"/>
      <c r="G5" s="21">
        <f t="shared" si="13"/>
      </c>
      <c r="H5" s="21">
        <f t="shared" si="0"/>
      </c>
      <c r="I5" s="22" t="s">
        <v>17</v>
      </c>
      <c r="J5" s="20" t="s">
        <v>26</v>
      </c>
      <c r="K5" s="28" t="s">
        <v>24</v>
      </c>
      <c r="L5" s="18" t="s">
        <v>21</v>
      </c>
      <c r="M5" s="24"/>
      <c r="N5" s="24"/>
      <c r="O5" s="24"/>
      <c r="P5" s="24"/>
      <c r="Q5" s="24"/>
      <c r="R5" s="24"/>
      <c r="S5" s="24"/>
      <c r="T5" s="24"/>
      <c r="U5" s="24"/>
      <c r="V5" s="24"/>
    </row>
    <row customHeight="true" ht="15" r="6">
      <c r="A6" s="21">
        <v>45881</v>
      </c>
      <c r="B6" s="25">
        <v>4650</v>
      </c>
      <c r="C6" s="26">
        <v>2780</v>
      </c>
      <c r="D6" s="24" t="s">
        <v>27</v>
      </c>
      <c r="E6" s="19" t="s">
        <v>17</v>
      </c>
      <c r="F6" s="20" t="s">
        <v>28</v>
      </c>
      <c r="G6" s="21">
        <f t="shared" si="13"/>
      </c>
      <c r="H6" s="21">
        <f t="shared" si="0"/>
      </c>
      <c r="I6" s="22" t="s">
        <v>17</v>
      </c>
      <c r="J6" s="24" t="s">
        <v>27</v>
      </c>
      <c r="K6" s="23" t="s">
        <v>29</v>
      </c>
      <c r="L6" s="18" t="s">
        <v>21</v>
      </c>
      <c r="M6" s="24"/>
      <c r="N6" s="24"/>
      <c r="O6" s="24"/>
      <c r="P6" s="24"/>
      <c r="Q6" s="24"/>
      <c r="R6" s="24"/>
      <c r="S6" s="24"/>
      <c r="T6" s="24"/>
      <c r="U6" s="24"/>
      <c r="V6" s="24"/>
    </row>
    <row r="7">
      <c r="A7" s="21">
        <v>45902</v>
      </c>
      <c r="B7" s="16">
        <v>616</v>
      </c>
      <c r="C7" s="26">
        <v>101739.56</v>
      </c>
      <c r="D7" s="24" t="s">
        <v>30</v>
      </c>
      <c r="E7" s="19" t="s">
        <v>17</v>
      </c>
      <c r="F7" s="29" t="s">
        <v>31</v>
      </c>
      <c r="G7" s="21">
        <f>H7-8</f>
      </c>
      <c r="H7" s="21">
        <f t="shared" si="0"/>
      </c>
      <c r="I7" s="22" t="s">
        <v>17</v>
      </c>
      <c r="J7" s="20" t="s">
        <v>32</v>
      </c>
      <c r="K7" s="28" t="s">
        <v>24</v>
      </c>
      <c r="L7" s="18" t="s">
        <v>21</v>
      </c>
      <c r="M7" s="24"/>
      <c r="N7" s="24"/>
      <c r="O7" s="24"/>
      <c r="P7" s="24"/>
      <c r="Q7" s="24"/>
      <c r="R7" s="24"/>
      <c r="S7" s="24"/>
      <c r="T7" s="24"/>
      <c r="U7" s="24"/>
      <c r="V7" s="24"/>
    </row>
    <row customHeight="true" ht="15" r="8">
      <c r="A8" s="21">
        <v>45904</v>
      </c>
      <c r="B8" s="25">
        <v>900</v>
      </c>
      <c r="C8" s="26">
        <v>137700</v>
      </c>
      <c r="D8" s="27" t="s">
        <v>33</v>
      </c>
      <c r="E8" s="30" t="s">
        <v>17</v>
      </c>
      <c r="F8" s="31" t="s">
        <v>34</v>
      </c>
      <c r="G8" s="21">
        <f t="shared" ref="G8:G15" si="14">H8-10</f>
      </c>
      <c r="H8" s="21">
        <f t="shared" si="0"/>
      </c>
      <c r="I8" s="22" t="s">
        <v>17</v>
      </c>
      <c r="J8" s="20" t="s">
        <v>35</v>
      </c>
      <c r="K8" s="28" t="s">
        <v>24</v>
      </c>
      <c r="L8" s="18" t="s">
        <v>21</v>
      </c>
      <c r="M8" s="24"/>
      <c r="N8" s="24"/>
      <c r="O8" s="24"/>
      <c r="P8" s="24"/>
      <c r="Q8" s="24"/>
      <c r="R8" s="24"/>
      <c r="S8" s="24"/>
      <c r="T8" s="24"/>
      <c r="U8" s="24"/>
      <c r="V8" s="24"/>
    </row>
    <row customHeight="true" ht="15" r="9">
      <c r="A9" s="21">
        <v>45904</v>
      </c>
      <c r="B9" s="25">
        <v>100</v>
      </c>
      <c r="C9" s="26">
        <v>0</v>
      </c>
      <c r="D9" s="24" t="s">
        <v>36</v>
      </c>
      <c r="E9" s="30" t="s">
        <v>17</v>
      </c>
      <c r="F9" s="31" t="s">
        <v>37</v>
      </c>
      <c r="G9" s="21">
        <f t="shared" si="14"/>
      </c>
      <c r="H9" s="21">
        <f t="shared" si="0"/>
      </c>
      <c r="I9" s="22" t="s">
        <v>17</v>
      </c>
      <c r="J9" s="24"/>
      <c r="K9" s="28" t="s">
        <v>24</v>
      </c>
      <c r="L9" s="18" t="s">
        <v>21</v>
      </c>
      <c r="M9" s="24"/>
      <c r="N9" s="24"/>
      <c r="O9" s="24"/>
      <c r="P9" s="24"/>
      <c r="Q9" s="24"/>
      <c r="R9" s="24"/>
      <c r="S9" s="24"/>
      <c r="T9" s="24"/>
      <c r="U9" s="24"/>
      <c r="V9" s="24"/>
    </row>
    <row r="10">
      <c r="A10" s="32">
        <v>45915</v>
      </c>
      <c r="B10" s="33">
        <v>24000</v>
      </c>
      <c r="C10" s="34">
        <v>1428840</v>
      </c>
      <c r="D10" s="35" t="s">
        <v>38</v>
      </c>
      <c r="E10" s="36" t="s">
        <v>39</v>
      </c>
      <c r="F10" s="37" t="s">
        <v>40</v>
      </c>
      <c r="G10" s="38">
        <f t="shared" si="14"/>
      </c>
      <c r="H10" s="38">
        <f t="shared" si="0"/>
      </c>
      <c r="I10" s="39" t="s">
        <v>39</v>
      </c>
      <c r="J10" s="35" t="s">
        <v>41</v>
      </c>
      <c r="K10" s="40" t="s">
        <v>42</v>
      </c>
      <c r="L10" s="41" t="s">
        <v>43</v>
      </c>
      <c r="M10" s="42">
        <f>C10*0.3</f>
      </c>
      <c r="N10" s="34">
        <f>C10-M10</f>
      </c>
      <c r="O10" s="43"/>
      <c r="P10" s="43"/>
      <c r="Q10" s="43"/>
      <c r="R10" s="43"/>
      <c r="S10" s="43"/>
      <c r="T10" s="43"/>
      <c r="U10" s="43"/>
      <c r="V10" s="43"/>
    </row>
    <row customHeight="true" ht="15" r="11">
      <c r="A11" s="15">
        <v>45929</v>
      </c>
      <c r="B11" s="16">
        <v>144</v>
      </c>
      <c r="C11" s="44">
        <v>11260.8</v>
      </c>
      <c r="D11" s="45" t="s">
        <v>44</v>
      </c>
      <c r="E11" s="30" t="s">
        <v>17</v>
      </c>
      <c r="F11" s="45" t="s">
        <v>45</v>
      </c>
      <c r="G11" s="21">
        <f t="shared" si="14"/>
      </c>
      <c r="H11" s="21">
        <f t="shared" si="0"/>
      </c>
      <c r="I11" s="22" t="s">
        <v>17</v>
      </c>
      <c r="J11" s="20" t="s">
        <v>46</v>
      </c>
      <c r="K11" s="23" t="s">
        <v>47</v>
      </c>
      <c r="L11" s="18" t="s">
        <v>21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customHeight="true" ht="15" r="12">
      <c r="A12" s="15">
        <v>45939</v>
      </c>
      <c r="B12" s="16">
        <v>460</v>
      </c>
      <c r="C12" s="17">
        <v>93615.6</v>
      </c>
      <c r="D12" s="20" t="s">
        <v>48</v>
      </c>
      <c r="E12" s="30" t="s">
        <v>17</v>
      </c>
      <c r="F12" s="20" t="s">
        <v>49</v>
      </c>
      <c r="G12" s="21">
        <f t="shared" si="14"/>
      </c>
      <c r="H12" s="21">
        <f t="shared" si="0"/>
      </c>
      <c r="I12" s="22" t="s">
        <v>17</v>
      </c>
      <c r="J12" s="20" t="s">
        <v>50</v>
      </c>
      <c r="K12" s="23" t="s">
        <v>51</v>
      </c>
      <c r="L12" s="18" t="s">
        <v>21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customHeight="true" ht="15" r="13">
      <c r="A13" s="46">
        <v>45940</v>
      </c>
      <c r="B13" s="47">
        <v>5</v>
      </c>
      <c r="C13" s="17">
        <v>5525</v>
      </c>
      <c r="D13" s="48" t="s">
        <v>52</v>
      </c>
      <c r="E13" s="30" t="s">
        <v>17</v>
      </c>
      <c r="F13" s="48" t="s">
        <v>53</v>
      </c>
      <c r="G13" s="49">
        <f t="shared" si="14"/>
      </c>
      <c r="H13" s="49">
        <f t="shared" si="0"/>
      </c>
      <c r="I13" s="22" t="s">
        <v>17</v>
      </c>
      <c r="J13" s="48" t="s">
        <v>54</v>
      </c>
      <c r="K13" s="50" t="s">
        <v>55</v>
      </c>
      <c r="L13" s="18" t="s">
        <v>21</v>
      </c>
      <c r="M13" s="51"/>
      <c r="N13" s="51"/>
      <c r="O13" s="51"/>
      <c r="P13" s="51"/>
      <c r="Q13" s="51"/>
      <c r="R13" s="51"/>
      <c r="S13" s="51"/>
      <c r="T13" s="51"/>
      <c r="U13" s="51"/>
      <c r="V13" s="51"/>
    </row>
    <row r="14">
      <c r="A14" s="46">
        <v>45940</v>
      </c>
      <c r="B14" s="16">
        <v>4361</v>
      </c>
      <c r="C14" s="17">
        <v>401243.2</v>
      </c>
      <c r="D14" s="20" t="s">
        <v>56</v>
      </c>
      <c r="E14" s="30" t="s">
        <v>17</v>
      </c>
      <c r="F14" s="18" t="s">
        <v>57</v>
      </c>
      <c r="G14" s="49">
        <f t="shared" si="14"/>
      </c>
      <c r="H14" s="49">
        <f t="shared" si="0"/>
      </c>
      <c r="I14" s="22" t="s">
        <v>17</v>
      </c>
      <c r="J14" s="48" t="s">
        <v>58</v>
      </c>
      <c r="K14" s="50" t="s">
        <v>59</v>
      </c>
      <c r="L14" s="18" t="s">
        <v>21</v>
      </c>
      <c r="M14" s="24"/>
      <c r="N14" s="24"/>
      <c r="O14" s="20"/>
      <c r="P14" s="24"/>
      <c r="Q14" s="24"/>
      <c r="R14" s="24"/>
      <c r="S14" s="24"/>
      <c r="T14" s="24"/>
      <c r="U14" s="24"/>
      <c r="V14" s="24"/>
    </row>
    <row customHeight="true" ht="15" r="15">
      <c r="A15" s="52">
        <v>45950</v>
      </c>
      <c r="B15" s="16">
        <v>16</v>
      </c>
      <c r="C15" s="26">
        <v>8528.8</v>
      </c>
      <c r="D15" s="20" t="s">
        <v>60</v>
      </c>
      <c r="E15" s="30" t="s">
        <v>17</v>
      </c>
      <c r="F15" s="24" t="s">
        <v>61</v>
      </c>
      <c r="G15" s="49">
        <f t="shared" si="14"/>
      </c>
      <c r="H15" s="49">
        <f t="shared" si="0"/>
      </c>
      <c r="I15" s="30" t="s">
        <v>17</v>
      </c>
      <c r="J15" s="20" t="s">
        <v>62</v>
      </c>
      <c r="K15" s="50" t="s">
        <v>59</v>
      </c>
      <c r="L15" s="18" t="s">
        <v>21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customHeight="true" ht="15" r="16">
      <c r="A16" s="52">
        <v>45950</v>
      </c>
      <c r="B16" s="16">
        <v>29594</v>
      </c>
      <c r="C16" s="17">
        <v>18399.5</v>
      </c>
      <c r="D16" s="20" t="s">
        <v>63</v>
      </c>
      <c r="E16" s="30" t="s">
        <v>17</v>
      </c>
      <c r="F16" s="20" t="s">
        <v>28</v>
      </c>
      <c r="G16" s="20" t="s">
        <v>28</v>
      </c>
      <c r="H16" s="20" t="s">
        <v>28</v>
      </c>
      <c r="I16" s="30" t="s">
        <v>17</v>
      </c>
      <c r="J16" s="20" t="s">
        <v>63</v>
      </c>
      <c r="K16" s="23" t="s">
        <v>29</v>
      </c>
      <c r="L16" s="18" t="s">
        <v>21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>
      <c r="A17" s="52">
        <v>45951</v>
      </c>
      <c r="B17" s="16">
        <f>724-1</f>
      </c>
      <c r="C17" s="17">
        <f>143809.92-224.3954</f>
      </c>
      <c r="D17" s="20" t="s">
        <v>64</v>
      </c>
      <c r="E17" s="30" t="s">
        <v>17</v>
      </c>
      <c r="F17" s="18" t="s">
        <v>65</v>
      </c>
      <c r="G17" s="49">
        <f t="shared" ref="G17:G22" si="15">H17-10</f>
      </c>
      <c r="H17" s="49">
        <f t="shared" ref="H17:H22" si="1">A17+45</f>
      </c>
      <c r="I17" s="30" t="s">
        <v>17</v>
      </c>
      <c r="J17" s="20" t="s">
        <v>66</v>
      </c>
      <c r="K17" s="50" t="s">
        <v>59</v>
      </c>
      <c r="L17" s="18" t="s">
        <v>21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customHeight="true" ht="15" r="18">
      <c r="A18" s="52">
        <v>45951</v>
      </c>
      <c r="B18" s="53">
        <v>10000</v>
      </c>
      <c r="C18" s="54">
        <v>26000</v>
      </c>
      <c r="D18" s="35" t="s">
        <v>67</v>
      </c>
      <c r="E18" s="39" t="s">
        <v>17</v>
      </c>
      <c r="F18" s="35" t="s">
        <v>68</v>
      </c>
      <c r="G18" s="55">
        <f t="shared" si="15"/>
      </c>
      <c r="H18" s="55">
        <f t="shared" si="1"/>
      </c>
      <c r="I18" s="39" t="s">
        <v>17</v>
      </c>
      <c r="J18" s="35" t="s">
        <v>69</v>
      </c>
      <c r="K18" s="56" t="s">
        <v>70</v>
      </c>
      <c r="L18" s="41" t="s">
        <v>71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customHeight="true" ht="15" r="19">
      <c r="A19" s="52">
        <v>45952</v>
      </c>
      <c r="B19" s="16">
        <v>5</v>
      </c>
      <c r="C19" s="17">
        <v>2764.2</v>
      </c>
      <c r="D19" s="20" t="s">
        <v>72</v>
      </c>
      <c r="E19" s="30" t="s">
        <v>17</v>
      </c>
      <c r="F19" s="20" t="s">
        <v>73</v>
      </c>
      <c r="G19" s="49">
        <f t="shared" si="15"/>
      </c>
      <c r="H19" s="49">
        <f t="shared" si="1"/>
      </c>
      <c r="I19" s="30" t="s">
        <v>17</v>
      </c>
      <c r="J19" s="20" t="s">
        <v>62</v>
      </c>
      <c r="K19" s="50" t="s">
        <v>59</v>
      </c>
      <c r="L19" s="18" t="s">
        <v>21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customHeight="true" ht="15" r="20">
      <c r="A20" s="52">
        <v>45958</v>
      </c>
      <c r="B20" s="16">
        <v>64</v>
      </c>
      <c r="C20" s="17">
        <v>8860.24</v>
      </c>
      <c r="D20" s="20" t="s">
        <v>74</v>
      </c>
      <c r="E20" s="30" t="s">
        <v>17</v>
      </c>
      <c r="F20" s="20" t="s">
        <v>75</v>
      </c>
      <c r="G20" s="49">
        <f t="shared" si="15"/>
      </c>
      <c r="H20" s="49">
        <f t="shared" si="1"/>
      </c>
      <c r="I20" s="30" t="s">
        <v>17</v>
      </c>
      <c r="J20" s="20" t="s">
        <v>76</v>
      </c>
      <c r="K20" s="50" t="s">
        <v>59</v>
      </c>
      <c r="L20" s="18" t="s">
        <v>21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customHeight="true" ht="15" r="21">
      <c r="A21" s="52">
        <v>45964</v>
      </c>
      <c r="B21" s="16">
        <v>115</v>
      </c>
      <c r="C21" s="17">
        <v>27887.22</v>
      </c>
      <c r="D21" s="20" t="s">
        <v>77</v>
      </c>
      <c r="E21" s="30" t="s">
        <v>17</v>
      </c>
      <c r="F21" s="20" t="s">
        <v>78</v>
      </c>
      <c r="G21" s="49">
        <f t="shared" si="15"/>
      </c>
      <c r="H21" s="49">
        <f t="shared" si="1"/>
      </c>
      <c r="I21" s="30" t="s">
        <v>17</v>
      </c>
      <c r="J21" s="20" t="s">
        <v>79</v>
      </c>
      <c r="K21" s="50" t="s">
        <v>59</v>
      </c>
      <c r="L21" s="18" t="s">
        <v>21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customHeight="true" ht="15" r="22">
      <c r="A22" s="52">
        <v>45972</v>
      </c>
      <c r="B22" s="16">
        <v>336</v>
      </c>
      <c r="C22" s="17">
        <v>58070.13</v>
      </c>
      <c r="D22" s="20" t="s">
        <v>80</v>
      </c>
      <c r="E22" s="30" t="s">
        <v>17</v>
      </c>
      <c r="F22" s="20" t="s">
        <v>81</v>
      </c>
      <c r="G22" s="49">
        <f t="shared" si="15"/>
      </c>
      <c r="H22" s="49">
        <f t="shared" si="1"/>
      </c>
      <c r="I22" s="30" t="s">
        <v>17</v>
      </c>
      <c r="J22" s="20" t="s">
        <v>82</v>
      </c>
      <c r="K22" s="23" t="s">
        <v>83</v>
      </c>
      <c r="L22" s="18" t="s">
        <v>21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customHeight="true" ht="15" r="23">
      <c r="A23" s="52">
        <v>45975</v>
      </c>
      <c r="B23" s="16">
        <v>36240</v>
      </c>
      <c r="C23" s="17">
        <v>27246.5</v>
      </c>
      <c r="D23" s="20" t="s">
        <v>84</v>
      </c>
      <c r="E23" s="30" t="s">
        <v>17</v>
      </c>
      <c r="F23" s="20" t="s">
        <v>28</v>
      </c>
      <c r="G23" s="20" t="s">
        <v>28</v>
      </c>
      <c r="H23" s="20" t="s">
        <v>28</v>
      </c>
      <c r="I23" s="30" t="s">
        <v>17</v>
      </c>
      <c r="J23" s="20" t="s">
        <v>84</v>
      </c>
      <c r="K23" s="23" t="s">
        <v>29</v>
      </c>
      <c r="L23" s="18" t="s">
        <v>21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customHeight="true" ht="15" r="24">
      <c r="A24" s="52">
        <v>45978</v>
      </c>
      <c r="B24" s="16">
        <v>10</v>
      </c>
      <c r="C24" s="17">
        <v>14528</v>
      </c>
      <c r="D24" s="35" t="s">
        <v>85</v>
      </c>
      <c r="E24" s="30" t="s">
        <v>17</v>
      </c>
      <c r="F24" s="20" t="s">
        <v>86</v>
      </c>
      <c r="G24" s="49">
        <f t="shared" ref="G24:G29" si="16">H24-10</f>
      </c>
      <c r="H24" s="49">
        <f t="shared" ref="H24:H29" si="2">A24+45</f>
      </c>
      <c r="I24" s="30" t="s">
        <v>17</v>
      </c>
      <c r="J24" s="20" t="s">
        <v>87</v>
      </c>
      <c r="K24" s="23" t="s">
        <v>83</v>
      </c>
      <c r="L24" s="18" t="s">
        <v>21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customHeight="true" ht="15" r="25">
      <c r="A25" s="52">
        <v>45979</v>
      </c>
      <c r="B25" s="16">
        <v>38</v>
      </c>
      <c r="C25" s="17">
        <v>32939.2</v>
      </c>
      <c r="D25" s="35" t="s">
        <v>88</v>
      </c>
      <c r="E25" s="30" t="s">
        <v>17</v>
      </c>
      <c r="F25" s="20" t="s">
        <v>89</v>
      </c>
      <c r="G25" s="49">
        <f t="shared" si="16"/>
      </c>
      <c r="H25" s="49">
        <f t="shared" si="2"/>
      </c>
      <c r="I25" s="30" t="s">
        <v>17</v>
      </c>
      <c r="J25" s="20" t="s">
        <v>87</v>
      </c>
      <c r="K25" s="23" t="s">
        <v>90</v>
      </c>
      <c r="L25" s="18" t="s">
        <v>21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52">
        <v>45985</v>
      </c>
      <c r="B26" s="16">
        <v>1392</v>
      </c>
      <c r="C26" s="17">
        <v>174999.5</v>
      </c>
      <c r="D26" s="35" t="s">
        <v>91</v>
      </c>
      <c r="E26" s="30" t="s">
        <v>17</v>
      </c>
      <c r="F26" s="18" t="s">
        <v>92</v>
      </c>
      <c r="G26" s="49">
        <f t="shared" si="16"/>
      </c>
      <c r="H26" s="49">
        <f t="shared" si="2"/>
      </c>
      <c r="I26" s="30" t="s">
        <v>17</v>
      </c>
      <c r="J26" s="57" t="s">
        <v>93</v>
      </c>
      <c r="K26" s="23" t="s">
        <v>83</v>
      </c>
      <c r="L26" s="18" t="s">
        <v>21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customHeight="true" ht="19" r="27">
      <c r="A27" s="52">
        <v>45988</v>
      </c>
      <c r="B27" s="16">
        <v>12</v>
      </c>
      <c r="C27" s="17">
        <v>500.4</v>
      </c>
      <c r="D27" s="58" t="s">
        <v>94</v>
      </c>
      <c r="E27" s="30" t="s">
        <v>17</v>
      </c>
      <c r="F27" s="20" t="s">
        <v>28</v>
      </c>
      <c r="G27" s="49">
        <f t="shared" si="16"/>
      </c>
      <c r="H27" s="49">
        <f t="shared" si="2"/>
      </c>
      <c r="I27" s="30" t="s">
        <v>17</v>
      </c>
      <c r="J27" s="20" t="s">
        <v>28</v>
      </c>
      <c r="K27" s="23" t="s">
        <v>29</v>
      </c>
      <c r="L27" s="18" t="s">
        <v>21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52">
        <v>45988</v>
      </c>
      <c r="B28" s="16">
        <v>2089</v>
      </c>
      <c r="C28" s="17">
        <v>146915.8</v>
      </c>
      <c r="D28" s="58" t="s">
        <v>95</v>
      </c>
      <c r="E28" s="30" t="s">
        <v>17</v>
      </c>
      <c r="F28" s="20" t="s">
        <v>96</v>
      </c>
      <c r="G28" s="49">
        <f t="shared" si="16"/>
      </c>
      <c r="H28" s="49">
        <f t="shared" si="2"/>
      </c>
      <c r="I28" s="30" t="s">
        <v>17</v>
      </c>
      <c r="J28" s="20" t="s">
        <v>87</v>
      </c>
      <c r="K28" s="23" t="s">
        <v>83</v>
      </c>
      <c r="L28" s="18" t="s">
        <v>21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customHeight="true" ht="19" r="29">
      <c r="A29" s="52">
        <v>45988</v>
      </c>
      <c r="B29" s="53">
        <v>80</v>
      </c>
      <c r="C29" s="54">
        <v>100096</v>
      </c>
      <c r="D29" s="58" t="s">
        <v>97</v>
      </c>
      <c r="E29" s="39" t="s">
        <v>17</v>
      </c>
      <c r="F29" s="35" t="s">
        <v>98</v>
      </c>
      <c r="G29" s="55">
        <f t="shared" si="16"/>
      </c>
      <c r="H29" s="55">
        <f t="shared" si="2"/>
      </c>
      <c r="I29" s="39" t="s">
        <v>17</v>
      </c>
      <c r="J29" s="35" t="s">
        <v>99</v>
      </c>
      <c r="K29" s="40" t="s">
        <v>100</v>
      </c>
      <c r="L29" s="18" t="s">
        <v>21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>
      <c r="A30" s="52">
        <v>45989</v>
      </c>
      <c r="B30" s="16">
        <v>3</v>
      </c>
      <c r="C30" s="17">
        <v>0</v>
      </c>
      <c r="D30" s="20" t="s">
        <v>101</v>
      </c>
      <c r="E30" s="30" t="s">
        <v>17</v>
      </c>
      <c r="F30" s="20" t="s">
        <v>102</v>
      </c>
      <c r="G30" s="20" t="s">
        <v>28</v>
      </c>
      <c r="H30" s="20" t="s">
        <v>28</v>
      </c>
      <c r="I30" s="20" t="s">
        <v>28</v>
      </c>
      <c r="J30" s="20" t="s">
        <v>28</v>
      </c>
      <c r="K30" s="23" t="s">
        <v>103</v>
      </c>
      <c r="L30" s="18" t="s">
        <v>28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>
      <c r="A31" s="52">
        <v>45994</v>
      </c>
      <c r="B31" s="53">
        <v>50</v>
      </c>
      <c r="C31" s="54">
        <v>7650</v>
      </c>
      <c r="D31" s="35" t="s">
        <v>104</v>
      </c>
      <c r="E31" s="39" t="s">
        <v>17</v>
      </c>
      <c r="F31" s="35" t="s">
        <v>105</v>
      </c>
      <c r="G31" s="55">
        <f t="shared" ref="G31:G40" si="17">H31-10</f>
      </c>
      <c r="H31" s="55">
        <f t="shared" ref="H31:H36" si="4">A31+30</f>
      </c>
      <c r="I31" s="39" t="s">
        <v>17</v>
      </c>
      <c r="J31" s="35" t="s">
        <v>99</v>
      </c>
      <c r="K31" s="40" t="s">
        <v>106</v>
      </c>
      <c r="L31" s="18" t="s">
        <v>21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>
      <c r="A32" s="52">
        <v>46000</v>
      </c>
      <c r="B32" s="53">
        <v>964</v>
      </c>
      <c r="C32" s="54">
        <v>128239.86</v>
      </c>
      <c r="D32" s="35" t="s">
        <v>107</v>
      </c>
      <c r="E32" s="39" t="s">
        <v>17</v>
      </c>
      <c r="F32" s="35" t="s">
        <v>108</v>
      </c>
      <c r="G32" s="55">
        <f t="shared" si="17"/>
      </c>
      <c r="H32" s="55">
        <f t="shared" si="4"/>
      </c>
      <c r="I32" s="39" t="s">
        <v>17</v>
      </c>
      <c r="J32" s="35" t="s">
        <v>99</v>
      </c>
      <c r="K32" s="40" t="s">
        <v>83</v>
      </c>
      <c r="L32" s="18" t="s">
        <v>21</v>
      </c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>
      <c r="A33" s="52">
        <v>46001</v>
      </c>
      <c r="B33" s="53">
        <v>70</v>
      </c>
      <c r="C33" s="54">
        <v>12490</v>
      </c>
      <c r="D33" s="35" t="s">
        <v>109</v>
      </c>
      <c r="E33" s="39" t="s">
        <v>17</v>
      </c>
      <c r="F33" s="35" t="s">
        <v>110</v>
      </c>
      <c r="G33" s="55">
        <f t="shared" si="17"/>
      </c>
      <c r="H33" s="55">
        <f t="shared" si="4"/>
      </c>
      <c r="I33" s="39" t="s">
        <v>17</v>
      </c>
      <c r="J33" s="35" t="s">
        <v>99</v>
      </c>
      <c r="K33" s="40" t="s">
        <v>111</v>
      </c>
      <c r="L33" s="18" t="s">
        <v>21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>
      <c r="A34" s="52">
        <v>46002</v>
      </c>
      <c r="B34" s="16">
        <v>600</v>
      </c>
      <c r="C34" s="17">
        <v>3000</v>
      </c>
      <c r="D34" s="20" t="s">
        <v>112</v>
      </c>
      <c r="E34" s="30" t="s">
        <v>17</v>
      </c>
      <c r="F34" s="20" t="s">
        <v>113</v>
      </c>
      <c r="G34" s="49">
        <f t="shared" si="17"/>
      </c>
      <c r="H34" s="49">
        <f t="shared" si="4"/>
      </c>
      <c r="I34" s="30" t="s">
        <v>17</v>
      </c>
      <c r="J34" s="48" t="s">
        <v>114</v>
      </c>
      <c r="K34" s="23" t="s">
        <v>115</v>
      </c>
      <c r="L34" s="18" t="s">
        <v>21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>
      <c r="A35" s="52">
        <v>46006</v>
      </c>
      <c r="B35" s="16">
        <v>500</v>
      </c>
      <c r="C35" s="17">
        <v>8000</v>
      </c>
      <c r="D35" s="20" t="s">
        <v>116</v>
      </c>
      <c r="E35" s="30" t="s">
        <v>17</v>
      </c>
      <c r="F35" s="20" t="s">
        <v>117</v>
      </c>
      <c r="G35" s="49">
        <f t="shared" si="17"/>
      </c>
      <c r="H35" s="49">
        <f t="shared" si="4"/>
      </c>
      <c r="I35" s="30" t="s">
        <v>17</v>
      </c>
      <c r="J35" s="20" t="s">
        <v>118</v>
      </c>
      <c r="K35" s="23" t="s">
        <v>119</v>
      </c>
      <c r="L35" s="18" t="s">
        <v>21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>
      <c r="A36" s="52">
        <v>46006</v>
      </c>
      <c r="B36" s="16">
        <v>445</v>
      </c>
      <c r="C36" s="17">
        <v>72730.8</v>
      </c>
      <c r="D36" s="20" t="s">
        <v>120</v>
      </c>
      <c r="E36" s="30" t="s">
        <v>17</v>
      </c>
      <c r="F36" s="20" t="s">
        <v>121</v>
      </c>
      <c r="G36" s="49">
        <f t="shared" si="17"/>
      </c>
      <c r="H36" s="49">
        <f t="shared" si="4"/>
      </c>
      <c r="I36" s="30" t="s">
        <v>17</v>
      </c>
      <c r="J36" s="20"/>
      <c r="K36" s="23" t="s">
        <v>122</v>
      </c>
      <c r="L36" s="18" t="s">
        <v>21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>
      <c r="A37" s="52">
        <v>46009</v>
      </c>
      <c r="B37" s="53">
        <v>50000</v>
      </c>
      <c r="C37" s="54">
        <v>130000</v>
      </c>
      <c r="D37" s="35" t="s">
        <v>123</v>
      </c>
      <c r="E37" s="39" t="s">
        <v>17</v>
      </c>
      <c r="F37" s="35" t="s">
        <v>124</v>
      </c>
      <c r="G37" s="55">
        <f t="shared" si="17"/>
      </c>
      <c r="H37" s="52">
        <f t="shared" ref="H37:H40" si="3">A37+45</f>
      </c>
      <c r="I37" s="39" t="s">
        <v>17</v>
      </c>
      <c r="J37" s="35" t="s">
        <v>125</v>
      </c>
      <c r="K37" s="40" t="s">
        <v>126</v>
      </c>
      <c r="L37" s="18" t="s">
        <v>21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>
      <c r="A38" s="52">
        <v>46009</v>
      </c>
      <c r="B38" s="53">
        <v>314</v>
      </c>
      <c r="C38" s="54">
        <v>38692.04</v>
      </c>
      <c r="D38" s="35" t="s">
        <v>127</v>
      </c>
      <c r="E38" s="39" t="s">
        <v>17</v>
      </c>
      <c r="F38" s="41" t="s">
        <v>128</v>
      </c>
      <c r="G38" s="55">
        <f t="shared" si="17"/>
      </c>
      <c r="H38" s="52">
        <f t="shared" si="3"/>
      </c>
      <c r="I38" s="39" t="s">
        <v>17</v>
      </c>
      <c r="J38" s="35" t="s">
        <v>129</v>
      </c>
      <c r="K38" s="40" t="s">
        <v>83</v>
      </c>
      <c r="L38" s="18" t="s">
        <v>21</v>
      </c>
      <c r="M38" s="43"/>
      <c r="N38" s="35"/>
      <c r="O38" s="43"/>
      <c r="P38" s="43"/>
      <c r="Q38" s="43"/>
      <c r="R38" s="43"/>
      <c r="S38" s="43"/>
      <c r="T38" s="43"/>
      <c r="U38" s="43"/>
      <c r="V38" s="43"/>
    </row>
    <row r="39">
      <c r="A39" s="52">
        <v>46013</v>
      </c>
      <c r="B39" s="53">
        <v>10000</v>
      </c>
      <c r="C39" s="54">
        <v>26000</v>
      </c>
      <c r="D39" s="35" t="s">
        <v>130</v>
      </c>
      <c r="E39" s="39" t="s">
        <v>17</v>
      </c>
      <c r="F39" s="41" t="s">
        <v>131</v>
      </c>
      <c r="G39" s="55">
        <f t="shared" si="17"/>
      </c>
      <c r="H39" s="52">
        <f t="shared" si="3"/>
      </c>
      <c r="I39" s="39" t="s">
        <v>17</v>
      </c>
      <c r="J39" s="35" t="s">
        <v>125</v>
      </c>
      <c r="K39" s="40" t="s">
        <v>132</v>
      </c>
      <c r="L39" s="18" t="s">
        <v>21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>
      <c r="A40" s="52">
        <v>46013</v>
      </c>
      <c r="B40" s="16">
        <v>1531</v>
      </c>
      <c r="C40" s="17">
        <v>41686.2</v>
      </c>
      <c r="D40" s="20" t="s">
        <v>133</v>
      </c>
      <c r="E40" s="30" t="s">
        <v>17</v>
      </c>
      <c r="F40" s="18" t="s">
        <v>134</v>
      </c>
      <c r="G40" s="49">
        <f t="shared" si="17"/>
      </c>
      <c r="H40" s="52">
        <f t="shared" si="3"/>
      </c>
      <c r="I40" s="30" t="s">
        <v>17</v>
      </c>
      <c r="J40" s="20" t="s">
        <v>129</v>
      </c>
      <c r="K40" s="23" t="s">
        <v>135</v>
      </c>
      <c r="L40" s="18" t="s">
        <v>21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>
      <c r="A41" s="52">
        <v>46013</v>
      </c>
      <c r="B41" s="16">
        <v>14450</v>
      </c>
      <c r="C41" s="26">
        <v>23212</v>
      </c>
      <c r="D41" s="20" t="s">
        <v>136</v>
      </c>
      <c r="E41" s="30" t="s">
        <v>17</v>
      </c>
      <c r="F41" s="20" t="s">
        <v>28</v>
      </c>
      <c r="G41" s="20" t="s">
        <v>28</v>
      </c>
      <c r="H41" s="20" t="s">
        <v>28</v>
      </c>
      <c r="I41" s="30" t="s">
        <v>17</v>
      </c>
      <c r="J41" s="20" t="s">
        <v>136</v>
      </c>
      <c r="K41" s="23" t="s">
        <v>29</v>
      </c>
      <c r="L41" s="18" t="s">
        <v>21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>
      <c r="A42" s="52">
        <v>46016</v>
      </c>
      <c r="B42" s="16">
        <f>7320+38</f>
      </c>
      <c r="C42" s="17">
        <v>879410</v>
      </c>
      <c r="D42" s="20" t="s">
        <v>137</v>
      </c>
      <c r="E42" s="30" t="s">
        <v>17</v>
      </c>
      <c r="F42" s="18" t="s">
        <v>138</v>
      </c>
      <c r="G42" s="49">
        <f>H42-10</f>
      </c>
      <c r="H42" s="52">
        <f>A42+45</f>
      </c>
      <c r="I42" s="30" t="s">
        <v>17</v>
      </c>
      <c r="J42" s="20" t="s">
        <v>139</v>
      </c>
      <c r="K42" s="23" t="s">
        <v>140</v>
      </c>
      <c r="L42" s="18" t="s">
        <v>21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>
      <c r="A43" s="52">
        <v>46016</v>
      </c>
      <c r="B43" s="53">
        <v>4000</v>
      </c>
      <c r="C43" s="54">
        <v>238800</v>
      </c>
      <c r="D43" s="35" t="s">
        <v>141</v>
      </c>
      <c r="E43" s="36" t="s">
        <v>39</v>
      </c>
      <c r="F43" s="43"/>
      <c r="G43" s="55">
        <v>46051</v>
      </c>
      <c r="H43" s="52">
        <v>46061</v>
      </c>
      <c r="I43" s="39" t="s">
        <v>39</v>
      </c>
      <c r="J43" s="35" t="s">
        <v>142</v>
      </c>
      <c r="K43" s="40" t="s">
        <v>143</v>
      </c>
      <c r="L43" s="59" t="s">
        <v>43</v>
      </c>
      <c r="M43" s="34">
        <f>C43*0.3</f>
      </c>
      <c r="N43" s="34">
        <f>C43-M43</f>
      </c>
      <c r="O43" s="43"/>
      <c r="P43" s="43"/>
      <c r="Q43" s="43"/>
      <c r="R43" s="43"/>
      <c r="S43" s="43"/>
      <c r="T43" s="43"/>
      <c r="U43" s="43"/>
      <c r="V43" s="43"/>
    </row>
    <row r="44">
      <c r="A44" s="52">
        <v>46016</v>
      </c>
      <c r="B44" s="53">
        <v>6000</v>
      </c>
      <c r="C44" s="34">
        <v>471000</v>
      </c>
      <c r="D44" s="35" t="s">
        <v>144</v>
      </c>
      <c r="E44" s="39" t="s">
        <v>17</v>
      </c>
      <c r="F44" s="41" t="s">
        <v>145</v>
      </c>
      <c r="G44" s="55">
        <v>46051</v>
      </c>
      <c r="H44" s="52">
        <v>46061</v>
      </c>
      <c r="I44" s="39" t="s">
        <v>17</v>
      </c>
      <c r="J44" s="35" t="s">
        <v>125</v>
      </c>
      <c r="K44" s="40" t="s">
        <v>146</v>
      </c>
      <c r="L44" s="18" t="s">
        <v>21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>
      <c r="A45" s="52">
        <v>46020</v>
      </c>
      <c r="B45" s="16">
        <v>110</v>
      </c>
      <c r="C45" s="17">
        <v>15525.2</v>
      </c>
      <c r="D45" s="20" t="s">
        <v>147</v>
      </c>
      <c r="E45" s="30" t="s">
        <v>17</v>
      </c>
      <c r="F45" s="20" t="s">
        <v>148</v>
      </c>
      <c r="G45" s="49">
        <f t="shared" ref="G45:G48" si="18">H45-10</f>
      </c>
      <c r="H45" s="52">
        <f t="shared" ref="H45:H48" si="5">A45+30</f>
      </c>
      <c r="I45" s="30" t="s">
        <v>17</v>
      </c>
      <c r="J45" s="20" t="s">
        <v>149</v>
      </c>
      <c r="K45" s="23" t="s">
        <v>150</v>
      </c>
      <c r="L45" s="18" t="s">
        <v>21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>
      <c r="A46" s="52">
        <v>46022</v>
      </c>
      <c r="B46" s="16">
        <v>5000</v>
      </c>
      <c r="C46" s="17">
        <v>80000</v>
      </c>
      <c r="D46" s="20" t="s">
        <v>151</v>
      </c>
      <c r="E46" s="1" t="s">
        <v>39</v>
      </c>
      <c r="F46" s="18" t="s">
        <v>152</v>
      </c>
      <c r="G46" s="49">
        <f t="shared" si="18"/>
      </c>
      <c r="H46" s="52">
        <f t="shared" si="5"/>
      </c>
      <c r="I46" s="30" t="s">
        <v>39</v>
      </c>
      <c r="J46" s="24"/>
      <c r="K46" s="23" t="s">
        <v>119</v>
      </c>
      <c r="L46" s="59" t="s">
        <v>153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>
      <c r="A47" s="52">
        <v>46022</v>
      </c>
      <c r="B47" s="16">
        <v>243</v>
      </c>
      <c r="C47" s="17">
        <v>57793.92</v>
      </c>
      <c r="D47" s="20" t="s">
        <v>154</v>
      </c>
      <c r="E47" s="30" t="s">
        <v>17</v>
      </c>
      <c r="F47" s="60" t="s">
        <v>155</v>
      </c>
      <c r="G47" s="49">
        <f t="shared" si="18"/>
      </c>
      <c r="H47" s="52">
        <f t="shared" si="5"/>
      </c>
      <c r="I47" s="30" t="s">
        <v>17</v>
      </c>
      <c r="J47" s="20" t="s">
        <v>156</v>
      </c>
      <c r="K47" s="23" t="s">
        <v>157</v>
      </c>
      <c r="L47" s="18" t="s">
        <v>21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>
      <c r="A48" s="52">
        <v>46034</v>
      </c>
      <c r="B48" s="16">
        <v>271</v>
      </c>
      <c r="C48" s="17">
        <v>53852.44</v>
      </c>
      <c r="D48" s="20" t="s">
        <v>158</v>
      </c>
      <c r="E48" s="30" t="s">
        <v>17</v>
      </c>
      <c r="F48" s="18" t="s">
        <v>159</v>
      </c>
      <c r="G48" s="49">
        <f t="shared" si="18"/>
      </c>
      <c r="H48" s="52">
        <f t="shared" si="5"/>
      </c>
      <c r="I48" s="30" t="s">
        <v>17</v>
      </c>
      <c r="J48" s="20" t="s">
        <v>149</v>
      </c>
      <c r="K48" s="23" t="s">
        <v>160</v>
      </c>
      <c r="L48" s="18" t="s">
        <v>21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>
      <c r="A49" s="52">
        <v>46035</v>
      </c>
      <c r="B49" s="16">
        <v>16695</v>
      </c>
      <c r="C49" s="17">
        <v>43059</v>
      </c>
      <c r="D49" s="20" t="s">
        <v>161</v>
      </c>
      <c r="E49" s="30" t="s">
        <v>17</v>
      </c>
      <c r="F49" s="20" t="s">
        <v>28</v>
      </c>
      <c r="G49" s="20" t="s">
        <v>28</v>
      </c>
      <c r="H49" s="20" t="s">
        <v>28</v>
      </c>
      <c r="I49" s="30" t="s">
        <v>17</v>
      </c>
      <c r="J49" s="20" t="s">
        <v>161</v>
      </c>
      <c r="K49" s="23" t="s">
        <v>29</v>
      </c>
      <c r="L49" s="18" t="s">
        <v>21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>
      <c r="A50" s="52">
        <v>46036</v>
      </c>
      <c r="B50" s="61">
        <v>992</v>
      </c>
      <c r="C50" s="62">
        <v>19344</v>
      </c>
      <c r="D50" s="63" t="s">
        <v>162</v>
      </c>
      <c r="E50" s="39" t="s">
        <v>17</v>
      </c>
      <c r="F50" s="64" t="s">
        <v>163</v>
      </c>
      <c r="G50" s="55"/>
      <c r="H50" s="52"/>
      <c r="I50" s="39" t="s">
        <v>39</v>
      </c>
      <c r="J50" s="64" t="s">
        <v>164</v>
      </c>
      <c r="K50" s="56" t="s">
        <v>165</v>
      </c>
      <c r="L50" s="64" t="s">
        <v>166</v>
      </c>
      <c r="M50" s="62">
        <v>5830.5</v>
      </c>
      <c r="N50" s="62">
        <f>C50-M50</f>
      </c>
      <c r="O50" s="65"/>
      <c r="P50" s="65"/>
      <c r="Q50" s="65"/>
      <c r="R50" s="65"/>
      <c r="S50" s="65"/>
      <c r="T50" s="65"/>
      <c r="U50" s="65"/>
      <c r="V50" s="65"/>
    </row>
    <row r="51">
      <c r="A51" s="52">
        <v>46042</v>
      </c>
      <c r="B51" s="16">
        <v>359</v>
      </c>
      <c r="C51" s="17">
        <v>77672.96</v>
      </c>
      <c r="D51" s="20" t="s">
        <v>167</v>
      </c>
      <c r="E51" s="30" t="s">
        <v>17</v>
      </c>
      <c r="F51" s="18" t="s">
        <v>168</v>
      </c>
      <c r="G51" s="49">
        <f t="shared" ref="G51:G58" si="19">H51-10</f>
      </c>
      <c r="H51" s="52">
        <f t="shared" ref="H51:H58" si="6">A51+30</f>
      </c>
      <c r="I51" s="30" t="s">
        <v>17</v>
      </c>
      <c r="J51" s="20" t="s">
        <v>169</v>
      </c>
      <c r="K51" s="23" t="s">
        <v>51</v>
      </c>
      <c r="L51" s="18" t="s">
        <v>21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>
      <c r="A52" s="52">
        <v>46042</v>
      </c>
      <c r="B52" s="16">
        <v>27000</v>
      </c>
      <c r="C52" s="17">
        <v>468300</v>
      </c>
      <c r="D52" s="20" t="s">
        <v>170</v>
      </c>
      <c r="E52" s="1" t="s">
        <v>39</v>
      </c>
      <c r="F52" s="18" t="s">
        <v>171</v>
      </c>
      <c r="G52" s="49">
        <f t="shared" si="19"/>
      </c>
      <c r="H52" s="52">
        <f t="shared" si="6"/>
      </c>
      <c r="I52" s="30" t="s">
        <v>39</v>
      </c>
      <c r="J52" s="20" t="s">
        <v>172</v>
      </c>
      <c r="K52" s="23" t="s">
        <v>173</v>
      </c>
      <c r="L52" s="59" t="s">
        <v>43</v>
      </c>
      <c r="M52" s="26">
        <f>C52*0.3</f>
      </c>
      <c r="N52" s="17">
        <f>C52-M52</f>
      </c>
      <c r="O52" s="24"/>
      <c r="P52" s="24"/>
      <c r="Q52" s="24"/>
      <c r="R52" s="24"/>
      <c r="S52" s="24"/>
      <c r="T52" s="24"/>
      <c r="U52" s="24"/>
      <c r="V52" s="24"/>
    </row>
    <row r="53">
      <c r="A53" s="52">
        <v>46042</v>
      </c>
      <c r="B53" s="16">
        <v>32</v>
      </c>
      <c r="C53" s="26">
        <v>11837.44</v>
      </c>
      <c r="D53" s="20" t="s">
        <v>174</v>
      </c>
      <c r="E53" s="30" t="s">
        <v>17</v>
      </c>
      <c r="F53" s="20" t="s">
        <v>175</v>
      </c>
      <c r="G53" s="49">
        <f t="shared" si="19"/>
      </c>
      <c r="H53" s="52">
        <f t="shared" si="6"/>
      </c>
      <c r="I53" s="30" t="s">
        <v>17</v>
      </c>
      <c r="J53" s="20" t="s">
        <v>169</v>
      </c>
      <c r="K53" s="23" t="s">
        <v>176</v>
      </c>
      <c r="L53" s="18" t="s">
        <v>21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>
      <c r="A54" s="52">
        <v>46044</v>
      </c>
      <c r="B54" s="16">
        <v>103</v>
      </c>
      <c r="C54" s="17">
        <v>25794</v>
      </c>
      <c r="D54" s="20" t="s">
        <v>177</v>
      </c>
      <c r="E54" s="30" t="s">
        <v>17</v>
      </c>
      <c r="F54" s="20" t="s">
        <v>178</v>
      </c>
      <c r="G54" s="49">
        <f t="shared" si="19"/>
      </c>
      <c r="H54" s="52">
        <f t="shared" si="6"/>
      </c>
      <c r="I54" s="30" t="s">
        <v>17</v>
      </c>
      <c r="J54" s="20" t="s">
        <v>169</v>
      </c>
      <c r="K54" s="23" t="s">
        <v>51</v>
      </c>
      <c r="L54" s="18" t="s">
        <v>21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>
      <c r="A55" s="52">
        <v>46045</v>
      </c>
      <c r="B55" s="16">
        <v>40</v>
      </c>
      <c r="C55" s="17">
        <v>4897.2</v>
      </c>
      <c r="D55" s="20" t="s">
        <v>179</v>
      </c>
      <c r="E55" s="30" t="s">
        <v>17</v>
      </c>
      <c r="F55" s="20" t="s">
        <v>180</v>
      </c>
      <c r="G55" s="49">
        <f t="shared" si="19"/>
      </c>
      <c r="H55" s="52">
        <f t="shared" si="6"/>
      </c>
      <c r="I55" s="30" t="s">
        <v>17</v>
      </c>
      <c r="J55" s="20" t="s">
        <v>169</v>
      </c>
      <c r="K55" s="23" t="s">
        <v>181</v>
      </c>
      <c r="L55" s="18" t="s">
        <v>21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>
      <c r="A56" s="52">
        <v>46056</v>
      </c>
      <c r="B56" s="16">
        <v>1663</v>
      </c>
      <c r="C56" s="17">
        <v>311683</v>
      </c>
      <c r="D56" s="20" t="s">
        <v>182</v>
      </c>
      <c r="E56" s="30" t="s">
        <v>17</v>
      </c>
      <c r="F56" s="18" t="s">
        <v>183</v>
      </c>
      <c r="G56" s="49">
        <f t="shared" si="19"/>
      </c>
      <c r="H56" s="52">
        <f t="shared" si="6"/>
      </c>
      <c r="I56" s="30" t="s">
        <v>17</v>
      </c>
      <c r="J56" s="20" t="s">
        <v>184</v>
      </c>
      <c r="K56" s="23" t="s">
        <v>51</v>
      </c>
      <c r="L56" s="18" t="s">
        <v>21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>
      <c r="A57" s="52">
        <v>46063</v>
      </c>
      <c r="B57" s="25">
        <f>1358+21</f>
      </c>
      <c r="C57" s="17">
        <v>294671.88</v>
      </c>
      <c r="D57" s="20" t="s">
        <v>185</v>
      </c>
      <c r="E57" s="30" t="s">
        <v>17</v>
      </c>
      <c r="F57" s="20" t="s">
        <v>186</v>
      </c>
      <c r="G57" s="49">
        <f t="shared" si="19"/>
      </c>
      <c r="H57" s="52">
        <f t="shared" si="6"/>
      </c>
      <c r="I57" s="30" t="s">
        <v>17</v>
      </c>
      <c r="J57" s="20" t="s">
        <v>184</v>
      </c>
      <c r="K57" s="23" t="s">
        <v>51</v>
      </c>
      <c r="L57" s="18" t="s">
        <v>21</v>
      </c>
      <c r="M57" s="66"/>
      <c r="N57" s="66"/>
      <c r="O57" s="24"/>
      <c r="P57" s="24"/>
      <c r="Q57" s="24"/>
      <c r="R57" s="24"/>
      <c r="S57" s="24"/>
      <c r="T57" s="24"/>
      <c r="U57" s="24"/>
      <c r="V57" s="24"/>
    </row>
    <row r="58">
      <c r="A58" s="52">
        <v>46065</v>
      </c>
      <c r="B58" s="53">
        <v>50000</v>
      </c>
      <c r="C58" s="54">
        <v>130000</v>
      </c>
      <c r="D58" s="35" t="s">
        <v>187</v>
      </c>
      <c r="E58" s="30" t="s">
        <v>17</v>
      </c>
      <c r="F58" s="43"/>
      <c r="G58" s="55">
        <f t="shared" si="19"/>
      </c>
      <c r="H58" s="52">
        <f t="shared" si="6"/>
      </c>
      <c r="I58" s="30" t="s">
        <v>17</v>
      </c>
      <c r="J58" s="41" t="s">
        <v>188</v>
      </c>
      <c r="K58" s="40" t="s">
        <v>126</v>
      </c>
      <c r="L58" s="64" t="s">
        <v>166</v>
      </c>
      <c r="M58" s="42">
        <f>C58*30%</f>
      </c>
      <c r="N58" s="42">
        <f>C58-M58</f>
      </c>
      <c r="O58" s="43"/>
      <c r="P58" s="43"/>
      <c r="Q58" s="43"/>
      <c r="R58" s="43"/>
      <c r="S58" s="43"/>
      <c r="T58" s="43"/>
      <c r="U58" s="43"/>
      <c r="V58" s="43"/>
    </row>
    <row customHeight="true" ht="22" r="59">
      <c r="A59" s="52">
        <v>46083</v>
      </c>
      <c r="B59" s="53">
        <v>2008</v>
      </c>
      <c r="C59" s="54">
        <v>3066.4</v>
      </c>
      <c r="D59" s="35" t="s">
        <v>189</v>
      </c>
      <c r="E59" s="39" t="s">
        <v>17</v>
      </c>
      <c r="F59" s="48" t="s">
        <v>28</v>
      </c>
      <c r="G59" s="48" t="s">
        <v>28</v>
      </c>
      <c r="H59" s="48" t="s">
        <v>28</v>
      </c>
      <c r="I59" s="39" t="s">
        <v>17</v>
      </c>
      <c r="J59" s="35" t="s">
        <v>189</v>
      </c>
      <c r="K59" s="23" t="s">
        <v>29</v>
      </c>
      <c r="L59" s="18" t="s">
        <v>21</v>
      </c>
      <c r="M59" s="42"/>
      <c r="N59" s="42"/>
      <c r="O59" s="43"/>
      <c r="P59" s="43"/>
      <c r="Q59" s="43"/>
      <c r="R59" s="43"/>
      <c r="S59" s="43"/>
      <c r="T59" s="43"/>
      <c r="U59" s="43"/>
      <c r="V59" s="43"/>
    </row>
    <row r="60">
      <c r="A60" s="52">
        <v>46086</v>
      </c>
      <c r="B60" s="16">
        <v>60</v>
      </c>
      <c r="C60" s="26">
        <v>7140</v>
      </c>
      <c r="D60" s="24" t="s">
        <v>190</v>
      </c>
      <c r="E60" s="30" t="s">
        <v>17</v>
      </c>
      <c r="F60" s="20" t="s">
        <v>191</v>
      </c>
      <c r="G60" s="55">
        <f t="shared" ref="G60:G62" si="20">H60-10</f>
      </c>
      <c r="H60" s="52">
        <f t="shared" ref="H60:H62" si="7">A60+30</f>
      </c>
      <c r="I60" s="39" t="s">
        <v>17</v>
      </c>
      <c r="J60" s="20" t="s">
        <v>192</v>
      </c>
      <c r="K60" s="23" t="s">
        <v>51</v>
      </c>
      <c r="L60" s="59" t="s">
        <v>193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>
      <c r="A61" s="52">
        <v>46087</v>
      </c>
      <c r="B61" s="16">
        <v>200</v>
      </c>
      <c r="C61" s="17">
        <v>40000</v>
      </c>
      <c r="D61" s="20" t="s">
        <v>194</v>
      </c>
      <c r="E61" s="30" t="s">
        <v>17</v>
      </c>
      <c r="F61" s="20" t="s">
        <v>195</v>
      </c>
      <c r="G61" s="55">
        <f t="shared" si="20"/>
      </c>
      <c r="H61" s="52">
        <f t="shared" si="7"/>
      </c>
      <c r="I61" s="39" t="s">
        <v>17</v>
      </c>
      <c r="J61" s="24"/>
      <c r="K61" s="23" t="s">
        <v>196</v>
      </c>
      <c r="L61" s="59" t="s">
        <v>193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>
      <c r="A62" s="52">
        <v>46093</v>
      </c>
      <c r="B62" s="16">
        <v>271</v>
      </c>
      <c r="C62" s="17">
        <v>83148.36</v>
      </c>
      <c r="D62" s="20" t="s">
        <v>197</v>
      </c>
      <c r="E62" s="30" t="s">
        <v>17</v>
      </c>
      <c r="F62" s="20" t="s">
        <v>198</v>
      </c>
      <c r="G62" s="55">
        <f t="shared" si="20"/>
      </c>
      <c r="H62" s="52">
        <f t="shared" si="7"/>
      </c>
      <c r="I62" s="39" t="s">
        <v>17</v>
      </c>
      <c r="J62" s="24"/>
      <c r="K62" s="23" t="s">
        <v>51</v>
      </c>
      <c r="L62" s="59" t="s">
        <v>193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>
      <c r="A63" s="52">
        <v>46094</v>
      </c>
      <c r="B63" s="16">
        <v>60</v>
      </c>
      <c r="C63" s="17">
        <v>0</v>
      </c>
      <c r="D63" s="20" t="s">
        <v>199</v>
      </c>
      <c r="E63" s="30" t="s">
        <v>17</v>
      </c>
      <c r="F63" s="20" t="s">
        <v>200</v>
      </c>
      <c r="G63" s="15" t="s">
        <v>28</v>
      </c>
      <c r="H63" s="15" t="s">
        <v>28</v>
      </c>
      <c r="I63" s="15" t="s">
        <v>28</v>
      </c>
      <c r="J63" s="15" t="s">
        <v>28</v>
      </c>
      <c r="K63" s="23" t="s">
        <v>201</v>
      </c>
      <c r="L63" s="67" t="s">
        <v>28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>
      <c r="A64" s="52">
        <v>46104</v>
      </c>
      <c r="B64" s="16">
        <v>331</v>
      </c>
      <c r="C64" s="17">
        <v>82790</v>
      </c>
      <c r="D64" s="20" t="s">
        <v>202</v>
      </c>
      <c r="E64" s="30" t="s">
        <v>17</v>
      </c>
      <c r="F64" s="20" t="s">
        <v>203</v>
      </c>
      <c r="G64" s="55">
        <f t="shared" ref="G64:G65" si="21">H64-10</f>
      </c>
      <c r="H64" s="52">
        <f t="shared" ref="H64:H65" si="8">A64+30</f>
      </c>
      <c r="I64" s="20" t="s">
        <v>39</v>
      </c>
      <c r="J64" s="20" t="s">
        <v>204</v>
      </c>
      <c r="K64" s="23" t="s">
        <v>51</v>
      </c>
      <c r="L64" s="59" t="s">
        <v>21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>
      <c r="A65" s="52">
        <v>46107</v>
      </c>
      <c r="B65" s="16">
        <v>4255</v>
      </c>
      <c r="C65" s="17">
        <v>592719</v>
      </c>
      <c r="D65" s="20" t="s">
        <v>205</v>
      </c>
      <c r="E65" s="30" t="s">
        <v>17</v>
      </c>
      <c r="F65" s="20" t="s">
        <v>206</v>
      </c>
      <c r="G65" s="55">
        <f t="shared" si="21"/>
      </c>
      <c r="H65" s="52">
        <f t="shared" si="8"/>
      </c>
      <c r="I65" s="22" t="s">
        <v>39</v>
      </c>
      <c r="J65" s="20" t="s">
        <v>207</v>
      </c>
      <c r="K65" s="23" t="s">
        <v>208</v>
      </c>
      <c r="L65" s="18" t="s">
        <v>21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>
      <c r="A66" s="52">
        <v>46111</v>
      </c>
      <c r="B66" s="16">
        <v>27000</v>
      </c>
      <c r="C66" s="26">
        <v>11210</v>
      </c>
      <c r="D66" s="20" t="s">
        <v>209</v>
      </c>
      <c r="E66" s="30" t="s">
        <v>17</v>
      </c>
      <c r="F66" s="48" t="s">
        <v>28</v>
      </c>
      <c r="G66" s="48" t="s">
        <v>28</v>
      </c>
      <c r="H66" s="48" t="s">
        <v>28</v>
      </c>
      <c r="I66" s="22" t="s">
        <v>39</v>
      </c>
      <c r="J66" s="20" t="s">
        <v>209</v>
      </c>
      <c r="K66" s="23" t="s">
        <v>29</v>
      </c>
      <c r="L66" s="18" t="s">
        <v>21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>
      <c r="A67" s="52">
        <v>46114</v>
      </c>
      <c r="B67" s="16">
        <v>309</v>
      </c>
      <c r="C67" s="17">
        <v>58820</v>
      </c>
      <c r="D67" s="20" t="s">
        <v>210</v>
      </c>
      <c r="E67" s="30" t="s">
        <v>17</v>
      </c>
      <c r="F67" s="18" t="s">
        <v>211</v>
      </c>
      <c r="G67" s="55">
        <f t="shared" ref="G67:G70" si="22">H67-10</f>
      </c>
      <c r="H67" s="52">
        <f t="shared" ref="H67:H70" si="9">A67+30</f>
      </c>
      <c r="I67" s="20" t="s">
        <v>39</v>
      </c>
      <c r="J67" s="20" t="s">
        <v>204</v>
      </c>
      <c r="K67" s="23" t="s">
        <v>51</v>
      </c>
      <c r="L67" s="59" t="s">
        <v>21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>
      <c r="A68" s="52">
        <v>46128</v>
      </c>
      <c r="B68" s="16">
        <v>236</v>
      </c>
      <c r="C68" s="17">
        <v>52938</v>
      </c>
      <c r="D68" s="20" t="s">
        <v>212</v>
      </c>
      <c r="E68" s="30" t="s">
        <v>17</v>
      </c>
      <c r="F68" s="20" t="s">
        <v>213</v>
      </c>
      <c r="G68" s="55">
        <f t="shared" si="22"/>
      </c>
      <c r="H68" s="52">
        <f t="shared" si="9"/>
      </c>
      <c r="I68" s="22" t="s">
        <v>39</v>
      </c>
      <c r="J68" s="20" t="s">
        <v>214</v>
      </c>
      <c r="K68" s="23" t="s">
        <v>51</v>
      </c>
      <c r="L68" s="59" t="s">
        <v>193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>
      <c r="A69" s="52">
        <v>46132</v>
      </c>
      <c r="B69" s="16">
        <v>71</v>
      </c>
      <c r="C69" s="17">
        <v>37318.4</v>
      </c>
      <c r="D69" s="20" t="s">
        <v>215</v>
      </c>
      <c r="E69" s="30" t="s">
        <v>17</v>
      </c>
      <c r="F69" s="20" t="s">
        <v>216</v>
      </c>
      <c r="G69" s="55">
        <f t="shared" si="22"/>
      </c>
      <c r="H69" s="52">
        <f t="shared" si="9"/>
      </c>
      <c r="I69" s="22" t="s">
        <v>39</v>
      </c>
      <c r="J69" s="20" t="s">
        <v>214</v>
      </c>
      <c r="K69" s="23" t="s">
        <v>51</v>
      </c>
      <c r="L69" s="59" t="s">
        <v>193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>
      <c r="A70" s="52">
        <v>46132</v>
      </c>
      <c r="B70" s="16">
        <v>51000</v>
      </c>
      <c r="C70" s="17">
        <v>1747800</v>
      </c>
      <c r="D70" s="20" t="s">
        <v>217</v>
      </c>
      <c r="E70" s="1" t="s">
        <v>39</v>
      </c>
      <c r="F70" s="20" t="s">
        <v>218</v>
      </c>
      <c r="G70" s="55">
        <f t="shared" si="22"/>
      </c>
      <c r="H70" s="52">
        <f t="shared" si="9"/>
      </c>
      <c r="I70" s="68" t="s">
        <v>219</v>
      </c>
      <c r="J70" s="20" t="s">
        <v>220</v>
      </c>
      <c r="K70" s="23" t="s">
        <v>221</v>
      </c>
      <c r="L70" s="64" t="s">
        <v>43</v>
      </c>
      <c r="M70" s="26">
        <f>C70*0.3</f>
      </c>
      <c r="N70" s="26">
        <f>C70-M70</f>
      </c>
      <c r="O70" s="24"/>
      <c r="P70" s="24"/>
      <c r="Q70" s="24"/>
      <c r="R70" s="24"/>
      <c r="S70" s="24"/>
      <c r="T70" s="24"/>
      <c r="U70" s="24"/>
      <c r="V70" s="24"/>
    </row>
    <row r="71">
      <c r="A71" s="52">
        <v>46133</v>
      </c>
      <c r="B71" s="16">
        <v>50000</v>
      </c>
      <c r="C71" s="26">
        <f>B71*1.3</f>
      </c>
      <c r="D71" s="24" t="s">
        <v>222</v>
      </c>
      <c r="E71" s="1" t="s">
        <v>39</v>
      </c>
      <c r="F71" s="24"/>
      <c r="G71" s="48" t="s">
        <v>28</v>
      </c>
      <c r="H71" s="48" t="s">
        <v>28</v>
      </c>
      <c r="I71" s="22" t="s">
        <v>17</v>
      </c>
      <c r="J71" s="20" t="s">
        <v>223</v>
      </c>
      <c r="K71" s="23" t="s">
        <v>224</v>
      </c>
      <c r="L71" s="59" t="s">
        <v>193</v>
      </c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>
      <c r="A72" s="52">
        <v>46135</v>
      </c>
      <c r="B72" s="16">
        <v>280</v>
      </c>
      <c r="C72" s="26">
        <v>66451.3</v>
      </c>
      <c r="D72" s="20" t="s">
        <v>225</v>
      </c>
      <c r="E72" s="30" t="s">
        <v>17</v>
      </c>
      <c r="F72" s="20" t="s">
        <v>226</v>
      </c>
      <c r="G72" s="55">
        <f t="shared" ref="G72:G78" si="23">H72-10</f>
      </c>
      <c r="H72" s="52">
        <f t="shared" ref="H72:H78" si="10">A72+30</f>
      </c>
      <c r="I72" s="22" t="s">
        <v>17</v>
      </c>
      <c r="J72" s="20" t="s">
        <v>214</v>
      </c>
      <c r="K72" s="23" t="s">
        <v>51</v>
      </c>
      <c r="L72" s="59" t="s">
        <v>193</v>
      </c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>
      <c r="A73" s="52">
        <v>46136</v>
      </c>
      <c r="B73" s="16">
        <v>882</v>
      </c>
      <c r="C73" s="26">
        <v>66422.24</v>
      </c>
      <c r="D73" s="20" t="s">
        <v>227</v>
      </c>
      <c r="E73" s="30" t="s">
        <v>17</v>
      </c>
      <c r="F73" s="18" t="s">
        <v>228</v>
      </c>
      <c r="G73" s="55">
        <f t="shared" si="23"/>
      </c>
      <c r="H73" s="52">
        <f t="shared" si="10"/>
      </c>
      <c r="I73" s="22" t="s">
        <v>17</v>
      </c>
      <c r="J73" s="20" t="s">
        <v>229</v>
      </c>
      <c r="K73" s="23" t="s">
        <v>230</v>
      </c>
      <c r="L73" s="59" t="s">
        <v>21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>
      <c r="A74" s="52">
        <v>46141</v>
      </c>
      <c r="B74" s="16">
        <v>5</v>
      </c>
      <c r="C74" s="17">
        <v>896.92</v>
      </c>
      <c r="D74" s="20" t="s">
        <v>231</v>
      </c>
      <c r="E74" s="30" t="s">
        <v>17</v>
      </c>
      <c r="F74" s="20" t="s">
        <v>232</v>
      </c>
      <c r="G74" s="55">
        <f t="shared" si="23"/>
      </c>
      <c r="H74" s="52">
        <f t="shared" si="10"/>
      </c>
      <c r="I74" s="22" t="s">
        <v>17</v>
      </c>
      <c r="J74" s="20" t="s">
        <v>214</v>
      </c>
      <c r="K74" s="23" t="s">
        <v>233</v>
      </c>
      <c r="L74" s="59" t="s">
        <v>193</v>
      </c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>
      <c r="A75" s="52">
        <v>46149</v>
      </c>
      <c r="B75" s="16">
        <v>87</v>
      </c>
      <c r="C75" s="17">
        <v>17985.2</v>
      </c>
      <c r="D75" s="20" t="s">
        <v>234</v>
      </c>
      <c r="E75" s="30" t="s">
        <v>17</v>
      </c>
      <c r="F75" s="20" t="s">
        <v>235</v>
      </c>
      <c r="G75" s="55">
        <f t="shared" si="23"/>
      </c>
      <c r="H75" s="52">
        <f t="shared" si="10"/>
      </c>
      <c r="I75" s="22" t="s">
        <v>17</v>
      </c>
      <c r="J75" s="20" t="s">
        <v>236</v>
      </c>
      <c r="K75" s="23" t="s">
        <v>51</v>
      </c>
      <c r="L75" s="59" t="s">
        <v>193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>
      <c r="A76" s="52">
        <v>46149</v>
      </c>
      <c r="B76" s="16">
        <v>933</v>
      </c>
      <c r="C76" s="17">
        <v>181439.3</v>
      </c>
      <c r="D76" s="20" t="s">
        <v>237</v>
      </c>
      <c r="E76" s="30" t="s">
        <v>17</v>
      </c>
      <c r="F76" s="18" t="s">
        <v>238</v>
      </c>
      <c r="G76" s="55">
        <f t="shared" si="23"/>
      </c>
      <c r="H76" s="52">
        <f t="shared" si="10"/>
      </c>
      <c r="I76" s="22" t="s">
        <v>17</v>
      </c>
      <c r="J76" s="24"/>
      <c r="K76" s="23" t="s">
        <v>239</v>
      </c>
      <c r="L76" s="59" t="s">
        <v>240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customHeight="true" ht="37" r="77">
      <c r="A77" s="52">
        <v>46149</v>
      </c>
      <c r="B77" s="16">
        <v>15000</v>
      </c>
      <c r="C77" s="17">
        <v>42000</v>
      </c>
      <c r="D77" s="20" t="s">
        <v>241</v>
      </c>
      <c r="E77" s="30" t="s">
        <v>17</v>
      </c>
      <c r="F77" s="20" t="s">
        <v>242</v>
      </c>
      <c r="G77" s="55">
        <f t="shared" si="23"/>
      </c>
      <c r="H77" s="52">
        <f t="shared" si="10"/>
      </c>
      <c r="I77" s="22" t="s">
        <v>39</v>
      </c>
      <c r="J77" s="18" t="s">
        <v>243</v>
      </c>
      <c r="K77" s="23" t="s">
        <v>244</v>
      </c>
      <c r="L77" s="59" t="s">
        <v>193</v>
      </c>
      <c r="M77" s="26">
        <f>C77*0.3</f>
      </c>
      <c r="N77" s="26">
        <f>C77-M77</f>
      </c>
      <c r="O77" s="24"/>
      <c r="P77" s="24"/>
      <c r="Q77" s="24"/>
      <c r="R77" s="24"/>
      <c r="S77" s="24"/>
      <c r="T77" s="24"/>
      <c r="U77" s="24"/>
      <c r="V77" s="24"/>
    </row>
    <row r="78">
      <c r="A78" s="52">
        <v>46153</v>
      </c>
      <c r="B78" s="53">
        <v>164</v>
      </c>
      <c r="C78" s="54">
        <v>71519</v>
      </c>
      <c r="D78" s="35" t="s">
        <v>245</v>
      </c>
      <c r="E78" s="69" t="s">
        <v>17</v>
      </c>
      <c r="F78" s="35" t="s">
        <v>246</v>
      </c>
      <c r="G78" s="55">
        <f t="shared" si="23"/>
      </c>
      <c r="H78" s="52">
        <f t="shared" si="10"/>
      </c>
      <c r="I78" s="69" t="s">
        <v>17</v>
      </c>
      <c r="J78" s="35" t="s">
        <v>236</v>
      </c>
      <c r="K78" s="40" t="s">
        <v>51</v>
      </c>
      <c r="L78" s="59" t="s">
        <v>193</v>
      </c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>
      <c r="A79" s="52">
        <v>46153</v>
      </c>
      <c r="B79" s="25">
        <v>92780</v>
      </c>
      <c r="C79" s="26">
        <v>50380</v>
      </c>
      <c r="D79" s="20" t="s">
        <v>247</v>
      </c>
      <c r="E79" s="14"/>
      <c r="F79" s="48" t="s">
        <v>28</v>
      </c>
      <c r="G79" s="48" t="s">
        <v>28</v>
      </c>
      <c r="H79" s="48" t="s">
        <v>28</v>
      </c>
      <c r="I79" s="22" t="s">
        <v>17</v>
      </c>
      <c r="J79" s="20" t="s">
        <v>247</v>
      </c>
      <c r="K79" s="23" t="s">
        <v>29</v>
      </c>
      <c r="L79" s="59" t="s">
        <v>21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>
      <c r="A80" s="52">
        <v>46154</v>
      </c>
      <c r="B80" s="16">
        <v>110</v>
      </c>
      <c r="C80" s="17">
        <v>0</v>
      </c>
      <c r="D80" s="20" t="s">
        <v>248</v>
      </c>
      <c r="E80" s="30" t="s">
        <v>17</v>
      </c>
      <c r="F80" s="20" t="s">
        <v>249</v>
      </c>
      <c r="G80" s="48" t="s">
        <v>28</v>
      </c>
      <c r="H80" s="48" t="s">
        <v>28</v>
      </c>
      <c r="I80" s="22" t="s">
        <v>28</v>
      </c>
      <c r="J80" s="20" t="s">
        <v>28</v>
      </c>
      <c r="K80" s="23" t="s">
        <v>250</v>
      </c>
      <c r="L80" s="18" t="s">
        <v>251</v>
      </c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>
      <c r="A81" s="52">
        <v>46156</v>
      </c>
      <c r="B81" s="16">
        <v>182</v>
      </c>
      <c r="C81" s="17">
        <v>85338.3</v>
      </c>
      <c r="D81" s="20" t="s">
        <v>252</v>
      </c>
      <c r="E81" s="30" t="s">
        <v>17</v>
      </c>
      <c r="F81" s="20" t="s">
        <v>253</v>
      </c>
      <c r="G81" s="21">
        <f t="shared" ref="G81:G87" si="24">H81-10</f>
      </c>
      <c r="H81" s="21">
        <f t="shared" ref="H81:H87" si="11">A81+30</f>
      </c>
      <c r="I81" s="22" t="s">
        <v>17</v>
      </c>
      <c r="J81" s="20" t="s">
        <v>236</v>
      </c>
      <c r="K81" s="23" t="s">
        <v>51</v>
      </c>
      <c r="L81" s="59" t="s">
        <v>193</v>
      </c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>
      <c r="A82" s="52">
        <v>46157</v>
      </c>
      <c r="B82" s="16">
        <v>119</v>
      </c>
      <c r="C82" s="17">
        <v>14530.24</v>
      </c>
      <c r="D82" s="20" t="s">
        <v>254</v>
      </c>
      <c r="E82" s="30" t="s">
        <v>17</v>
      </c>
      <c r="F82" s="20" t="s">
        <v>255</v>
      </c>
      <c r="G82" s="21">
        <f t="shared" si="24"/>
      </c>
      <c r="H82" s="21">
        <f t="shared" si="11"/>
      </c>
      <c r="I82" s="22" t="s">
        <v>39</v>
      </c>
      <c r="J82" s="24"/>
      <c r="K82" s="23" t="s">
        <v>256</v>
      </c>
      <c r="L82" s="59" t="s">
        <v>240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>
      <c r="A83" s="52">
        <v>46161</v>
      </c>
      <c r="B83" s="16">
        <v>96</v>
      </c>
      <c r="C83" s="17">
        <v>36174.16</v>
      </c>
      <c r="D83" s="20" t="s">
        <v>257</v>
      </c>
      <c r="E83" s="22" t="s">
        <v>17</v>
      </c>
      <c r="F83" s="20" t="s">
        <v>258</v>
      </c>
      <c r="G83" s="21">
        <f t="shared" si="24"/>
      </c>
      <c r="H83" s="21">
        <f t="shared" si="11"/>
      </c>
      <c r="I83" s="22" t="s">
        <v>39</v>
      </c>
      <c r="J83" s="24"/>
      <c r="K83" s="23" t="s">
        <v>51</v>
      </c>
      <c r="L83" s="59" t="s">
        <v>240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customHeight="true" ht="42" r="84">
      <c r="A84" s="70">
        <v>46163</v>
      </c>
      <c r="B84" s="71">
        <v>253</v>
      </c>
      <c r="C84" s="72">
        <f>102766.76-2925</f>
      </c>
      <c r="D84" s="73" t="s">
        <v>259</v>
      </c>
      <c r="E84" s="74" t="s">
        <v>17</v>
      </c>
      <c r="F84" s="75" t="s">
        <v>260</v>
      </c>
      <c r="G84" s="76">
        <f t="shared" si="24"/>
      </c>
      <c r="H84" s="76">
        <f t="shared" si="11"/>
      </c>
      <c r="I84" s="74" t="s">
        <v>39</v>
      </c>
      <c r="J84" s="77"/>
      <c r="K84" s="78" t="s">
        <v>261</v>
      </c>
      <c r="L84" s="79" t="s">
        <v>240</v>
      </c>
      <c r="M84" s="77"/>
      <c r="N84" s="77"/>
      <c r="O84" s="77"/>
      <c r="P84" s="77"/>
      <c r="Q84" s="77"/>
      <c r="R84" s="77"/>
      <c r="S84" s="77"/>
      <c r="T84" s="77"/>
      <c r="U84" s="77"/>
      <c r="V84" s="77"/>
    </row>
    <row r="85">
      <c r="A85" s="80">
        <v>46170</v>
      </c>
      <c r="B85" s="16">
        <v>242</v>
      </c>
      <c r="C85" s="17">
        <v>88380.28</v>
      </c>
      <c r="D85" s="24" t="s">
        <v>262</v>
      </c>
      <c r="E85" s="22" t="s">
        <v>17</v>
      </c>
      <c r="F85" s="20" t="s">
        <v>263</v>
      </c>
      <c r="G85" s="38">
        <f t="shared" si="24"/>
      </c>
      <c r="H85" s="38">
        <f t="shared" si="11"/>
      </c>
      <c r="I85" s="69" t="s">
        <v>39</v>
      </c>
      <c r="J85" s="24"/>
      <c r="K85" s="23" t="s">
        <v>51</v>
      </c>
      <c r="L85" s="59" t="s">
        <v>240</v>
      </c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>
      <c r="A86" s="80">
        <v>46171</v>
      </c>
      <c r="B86" s="16">
        <v>1000</v>
      </c>
      <c r="C86" s="26">
        <v>19500</v>
      </c>
      <c r="D86" s="20" t="s">
        <v>264</v>
      </c>
      <c r="E86" s="1" t="s">
        <v>39</v>
      </c>
      <c r="F86" s="24"/>
      <c r="G86" s="38">
        <f t="shared" si="24"/>
      </c>
      <c r="H86" s="38">
        <f t="shared" si="11"/>
      </c>
      <c r="I86" s="69" t="s">
        <v>265</v>
      </c>
      <c r="J86" s="20" t="s">
        <v>266</v>
      </c>
      <c r="K86" s="23" t="s">
        <v>267</v>
      </c>
      <c r="L86" s="18" t="s">
        <v>268</v>
      </c>
      <c r="M86" s="66">
        <f>C86*0.3</f>
      </c>
      <c r="N86" s="66">
        <f>C86-M86</f>
      </c>
      <c r="O86" s="24"/>
      <c r="P86" s="24"/>
      <c r="Q86" s="24"/>
      <c r="R86" s="24"/>
      <c r="S86" s="24"/>
      <c r="T86" s="24"/>
      <c r="U86" s="24"/>
      <c r="V86" s="24"/>
    </row>
    <row r="87">
      <c r="A87" s="80">
        <v>46174</v>
      </c>
      <c r="B87" s="16">
        <v>49</v>
      </c>
      <c r="C87" s="17">
        <v>21851.8</v>
      </c>
      <c r="D87" s="20" t="s">
        <v>269</v>
      </c>
      <c r="E87" s="22" t="s">
        <v>17</v>
      </c>
      <c r="F87" s="20" t="s">
        <v>270</v>
      </c>
      <c r="G87" s="38">
        <f t="shared" si="24"/>
      </c>
      <c r="H87" s="38">
        <f t="shared" si="11"/>
      </c>
      <c r="I87" s="69" t="s">
        <v>39</v>
      </c>
      <c r="J87" s="24"/>
      <c r="K87" s="23" t="s">
        <v>51</v>
      </c>
      <c r="L87" s="59" t="s">
        <v>240</v>
      </c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>
      <c r="A88" s="80">
        <v>46177</v>
      </c>
      <c r="B88" s="16">
        <v>270</v>
      </c>
      <c r="C88" s="17">
        <v>699.3</v>
      </c>
      <c r="D88" s="20" t="s">
        <v>271</v>
      </c>
      <c r="E88" s="22" t="s">
        <v>17</v>
      </c>
      <c r="F88" s="20" t="s">
        <v>272</v>
      </c>
      <c r="G88" s="32">
        <v>46181</v>
      </c>
      <c r="H88" s="32">
        <v>46181</v>
      </c>
      <c r="I88" s="69" t="s">
        <v>17</v>
      </c>
      <c r="J88" s="20" t="s">
        <v>273</v>
      </c>
      <c r="K88" s="23" t="s">
        <v>274</v>
      </c>
      <c r="L88" s="59" t="s">
        <v>21</v>
      </c>
      <c r="M88" s="17">
        <v>699.3</v>
      </c>
      <c r="N88" s="81">
        <v>0</v>
      </c>
      <c r="O88" s="24"/>
      <c r="P88" s="24"/>
      <c r="Q88" s="24"/>
      <c r="R88" s="24"/>
      <c r="S88" s="24"/>
      <c r="T88" s="24"/>
      <c r="U88" s="24"/>
      <c r="V88" s="24"/>
    </row>
    <row r="89">
      <c r="A89" s="80">
        <v>46181</v>
      </c>
      <c r="B89" s="16">
        <v>377</v>
      </c>
      <c r="C89" s="17">
        <v>81217.76</v>
      </c>
      <c r="D89" s="20" t="s">
        <v>275</v>
      </c>
      <c r="E89" s="1" t="s">
        <v>39</v>
      </c>
      <c r="F89" s="18" t="s">
        <v>276</v>
      </c>
      <c r="G89" s="38">
        <f t="shared" ref="G89:G90" si="25">H89-10</f>
      </c>
      <c r="H89" s="38">
        <f t="shared" ref="H89:H90" si="12">A89+30</f>
      </c>
      <c r="I89" s="69" t="s">
        <v>39</v>
      </c>
      <c r="J89" s="24"/>
      <c r="K89" s="23" t="s">
        <v>51</v>
      </c>
      <c r="L89" s="59" t="s">
        <v>240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>
      <c r="A90" s="80">
        <v>46191</v>
      </c>
      <c r="B90" s="25">
        <v>178</v>
      </c>
      <c r="C90" s="26">
        <v>49599.2</v>
      </c>
      <c r="D90" s="20" t="s">
        <v>277</v>
      </c>
      <c r="E90" s="14"/>
      <c r="F90" s="82" t="s">
        <v>278</v>
      </c>
      <c r="G90" s="38">
        <f t="shared" si="25"/>
      </c>
      <c r="H90" s="38">
        <f t="shared" si="12"/>
      </c>
      <c r="I90" s="69" t="s">
        <v>39</v>
      </c>
      <c r="J90" s="24"/>
      <c r="K90" s="23" t="s">
        <v>51</v>
      </c>
      <c r="L90" s="59" t="s">
        <v>240</v>
      </c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>
      <c r="A91" s="24"/>
      <c r="B91" s="25"/>
      <c r="C91" s="26"/>
      <c r="D91" s="24"/>
      <c r="E91" s="14"/>
      <c r="F91" s="24"/>
      <c r="G91" s="21"/>
      <c r="H91" s="21"/>
      <c r="I91" s="14"/>
      <c r="J91" s="24"/>
      <c r="K91" s="28"/>
      <c r="L91" s="27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>
      <c r="A92" s="24"/>
      <c r="B92" s="25"/>
      <c r="C92" s="26"/>
      <c r="D92" s="24"/>
      <c r="E92" s="14"/>
      <c r="F92" s="24"/>
      <c r="G92" s="21"/>
      <c r="H92" s="21"/>
      <c r="I92" s="14"/>
      <c r="J92" s="24"/>
      <c r="K92" s="28"/>
      <c r="L92" s="27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>
      <c r="A93" s="24"/>
      <c r="B93" s="25"/>
      <c r="C93" s="26"/>
      <c r="D93" s="24"/>
      <c r="E93" s="14"/>
      <c r="F93" s="24"/>
      <c r="G93" s="21"/>
      <c r="H93" s="21"/>
      <c r="I93" s="14"/>
      <c r="J93" s="24"/>
      <c r="K93" s="28"/>
      <c r="L93" s="27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>
      <c r="A94" s="24"/>
      <c r="B94" s="25"/>
      <c r="C94" s="26"/>
      <c r="D94" s="24"/>
      <c r="E94" s="14"/>
      <c r="F94" s="24"/>
      <c r="G94" s="21"/>
      <c r="H94" s="21"/>
      <c r="I94" s="14"/>
      <c r="J94" s="24"/>
      <c r="K94" s="28"/>
      <c r="L94" s="27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>
      <c r="A95" s="24"/>
      <c r="B95" s="25"/>
      <c r="C95" s="26"/>
      <c r="D95" s="24"/>
      <c r="E95" s="14"/>
      <c r="F95" s="24"/>
      <c r="G95" s="21"/>
      <c r="H95" s="21"/>
      <c r="I95" s="14"/>
      <c r="J95" s="24"/>
      <c r="K95" s="28"/>
      <c r="L95" s="27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>
      <c r="A96" s="24"/>
      <c r="B96" s="25"/>
      <c r="C96" s="26"/>
      <c r="D96" s="24"/>
      <c r="E96" s="14"/>
      <c r="F96" s="24"/>
      <c r="G96" s="21"/>
      <c r="H96" s="21"/>
      <c r="I96" s="14"/>
      <c r="J96" s="24"/>
      <c r="K96" s="28"/>
      <c r="L96" s="27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>
      <c r="A97" s="24"/>
      <c r="B97" s="25"/>
      <c r="C97" s="26"/>
      <c r="D97" s="24"/>
      <c r="E97" s="14"/>
      <c r="F97" s="24"/>
      <c r="G97" s="21"/>
      <c r="H97" s="21"/>
      <c r="I97" s="14"/>
      <c r="J97" s="24"/>
      <c r="K97" s="28"/>
      <c r="L97" s="27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>
      <c r="A98" s="24"/>
      <c r="B98" s="25"/>
      <c r="C98" s="26"/>
      <c r="D98" s="24"/>
      <c r="E98" s="14"/>
      <c r="F98" s="24"/>
      <c r="G98" s="21"/>
      <c r="H98" s="21"/>
      <c r="I98" s="14"/>
      <c r="J98" s="24"/>
      <c r="K98" s="28"/>
      <c r="L98" s="27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>
      <c r="A99" s="24"/>
      <c r="B99" s="25"/>
      <c r="C99" s="26"/>
      <c r="D99" s="24"/>
      <c r="E99" s="14"/>
      <c r="F99" s="24"/>
      <c r="G99" s="21"/>
      <c r="H99" s="21"/>
      <c r="I99" s="14"/>
      <c r="J99" s="24"/>
      <c r="K99" s="28"/>
      <c r="L99" s="27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>
      <c r="A100" s="24"/>
      <c r="B100" s="25"/>
      <c r="C100" s="26"/>
      <c r="D100" s="24"/>
      <c r="E100" s="14"/>
      <c r="F100" s="24"/>
      <c r="G100" s="21"/>
      <c r="H100" s="21"/>
      <c r="I100" s="14"/>
      <c r="J100" s="24"/>
      <c r="K100" s="28"/>
      <c r="L100" s="27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>
      <c r="A101" s="24"/>
      <c r="B101" s="25"/>
      <c r="C101" s="26"/>
      <c r="D101" s="24"/>
      <c r="E101" s="14"/>
      <c r="F101" s="24"/>
      <c r="G101" s="21"/>
      <c r="H101" s="21"/>
      <c r="I101" s="14"/>
      <c r="J101" s="24"/>
      <c r="K101" s="28"/>
      <c r="L101" s="27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>
      <c r="A102" s="24"/>
      <c r="B102" s="25"/>
      <c r="C102" s="26"/>
      <c r="D102" s="24"/>
      <c r="E102" s="14"/>
      <c r="F102" s="24"/>
      <c r="G102" s="21"/>
      <c r="H102" s="21"/>
      <c r="I102" s="14"/>
      <c r="J102" s="24"/>
      <c r="K102" s="28"/>
      <c r="L102" s="27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>
      <c r="A103" s="24"/>
      <c r="B103" s="25"/>
      <c r="C103" s="26"/>
      <c r="D103" s="24"/>
      <c r="E103" s="14"/>
      <c r="F103" s="24"/>
      <c r="G103" s="21"/>
      <c r="H103" s="21"/>
      <c r="I103" s="14"/>
      <c r="J103" s="24"/>
      <c r="K103" s="28"/>
      <c r="L103" s="27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>
      <c r="A104" s="24"/>
      <c r="B104" s="25"/>
      <c r="C104" s="26"/>
      <c r="D104" s="24"/>
      <c r="E104" s="14"/>
      <c r="F104" s="24"/>
      <c r="G104" s="21"/>
      <c r="H104" s="21"/>
      <c r="I104" s="14"/>
      <c r="J104" s="24"/>
      <c r="K104" s="28"/>
      <c r="L104" s="27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>
      <c r="A105" s="24"/>
      <c r="B105" s="25"/>
      <c r="C105" s="26"/>
      <c r="D105" s="24"/>
      <c r="E105" s="14"/>
      <c r="F105" s="24"/>
      <c r="G105" s="21"/>
      <c r="H105" s="21"/>
      <c r="I105" s="14"/>
      <c r="J105" s="24"/>
      <c r="K105" s="28"/>
      <c r="L105" s="27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>
      <c r="A106" s="24"/>
      <c r="B106" s="25"/>
      <c r="C106" s="26"/>
      <c r="D106" s="24"/>
      <c r="E106" s="14"/>
      <c r="F106" s="24"/>
      <c r="G106" s="21"/>
      <c r="H106" s="21"/>
      <c r="I106" s="14"/>
      <c r="J106" s="24"/>
      <c r="K106" s="28"/>
      <c r="L106" s="27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>
      <c r="A107" s="24"/>
      <c r="B107" s="25"/>
      <c r="C107" s="26"/>
      <c r="D107" s="24"/>
      <c r="E107" s="14"/>
      <c r="F107" s="24"/>
      <c r="G107" s="21"/>
      <c r="H107" s="21"/>
      <c r="I107" s="14"/>
      <c r="J107" s="24"/>
      <c r="K107" s="28"/>
      <c r="L107" s="27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>
      <c r="A108" s="24"/>
      <c r="B108" s="25"/>
      <c r="C108" s="26"/>
      <c r="D108" s="24"/>
      <c r="E108" s="14"/>
      <c r="F108" s="24"/>
      <c r="G108" s="21"/>
      <c r="H108" s="21"/>
      <c r="I108" s="14"/>
      <c r="J108" s="24"/>
      <c r="K108" s="28"/>
      <c r="L108" s="27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>
      <c r="A109" s="24"/>
      <c r="B109" s="25"/>
      <c r="C109" s="26"/>
      <c r="D109" s="24"/>
      <c r="E109" s="14"/>
      <c r="F109" s="24"/>
      <c r="G109" s="21"/>
      <c r="H109" s="21"/>
      <c r="I109" s="14"/>
      <c r="J109" s="24"/>
      <c r="K109" s="28"/>
      <c r="L109" s="27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>
      <c r="A110" s="24"/>
      <c r="B110" s="25"/>
      <c r="C110" s="26"/>
      <c r="D110" s="24"/>
      <c r="E110" s="14"/>
      <c r="F110" s="24"/>
      <c r="G110" s="21"/>
      <c r="H110" s="21"/>
      <c r="I110" s="14"/>
      <c r="J110" s="24"/>
      <c r="K110" s="28"/>
      <c r="L110" s="27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>
      <c r="A111" s="24"/>
      <c r="B111" s="25"/>
      <c r="C111" s="26"/>
      <c r="D111" s="24"/>
      <c r="E111" s="14"/>
      <c r="F111" s="24"/>
      <c r="G111" s="21"/>
      <c r="H111" s="21"/>
      <c r="I111" s="14"/>
      <c r="J111" s="24"/>
      <c r="K111" s="28"/>
      <c r="L111" s="27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>
      <c r="A112" s="24"/>
      <c r="B112" s="25"/>
      <c r="C112" s="26"/>
      <c r="D112" s="24"/>
      <c r="E112" s="14"/>
      <c r="F112" s="24"/>
      <c r="G112" s="21"/>
      <c r="H112" s="21"/>
      <c r="I112" s="14"/>
      <c r="J112" s="24"/>
      <c r="K112" s="28"/>
      <c r="L112" s="27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>
      <c r="A113" s="24"/>
      <c r="B113" s="25"/>
      <c r="C113" s="26"/>
      <c r="D113" s="24"/>
      <c r="E113" s="14"/>
      <c r="F113" s="24"/>
      <c r="G113" s="21"/>
      <c r="H113" s="21"/>
      <c r="I113" s="14"/>
      <c r="J113" s="24"/>
      <c r="K113" s="28"/>
      <c r="L113" s="27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>
      <c r="A114" s="24"/>
      <c r="B114" s="25"/>
      <c r="C114" s="26"/>
      <c r="D114" s="24"/>
      <c r="E114" s="14"/>
      <c r="F114" s="24"/>
      <c r="G114" s="21"/>
      <c r="H114" s="21"/>
      <c r="I114" s="14"/>
      <c r="J114" s="24"/>
      <c r="K114" s="28"/>
      <c r="L114" s="27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>
      <c r="A115" s="24"/>
      <c r="B115" s="25"/>
      <c r="C115" s="26"/>
      <c r="D115" s="24"/>
      <c r="E115" s="14"/>
      <c r="F115" s="24"/>
      <c r="G115" s="21"/>
      <c r="H115" s="21"/>
      <c r="I115" s="14"/>
      <c r="J115" s="24"/>
      <c r="K115" s="28"/>
      <c r="L115" s="27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>
      <c r="A116" s="24"/>
      <c r="B116" s="25"/>
      <c r="C116" s="26"/>
      <c r="D116" s="24"/>
      <c r="E116" s="14"/>
      <c r="F116" s="24"/>
      <c r="G116" s="21"/>
      <c r="H116" s="21"/>
      <c r="I116" s="14"/>
      <c r="J116" s="24"/>
      <c r="K116" s="28"/>
      <c r="L116" s="27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>
      <c r="A117" s="24"/>
      <c r="B117" s="25"/>
      <c r="C117" s="26"/>
      <c r="D117" s="24"/>
      <c r="E117" s="14"/>
      <c r="F117" s="24"/>
      <c r="G117" s="21"/>
      <c r="H117" s="21"/>
      <c r="I117" s="14"/>
      <c r="J117" s="24"/>
      <c r="K117" s="28"/>
      <c r="L117" s="27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>
      <c r="A118" s="24"/>
      <c r="B118" s="25"/>
      <c r="C118" s="26"/>
      <c r="D118" s="24"/>
      <c r="E118" s="14"/>
      <c r="F118" s="24"/>
      <c r="G118" s="21"/>
      <c r="H118" s="21"/>
      <c r="I118" s="14"/>
      <c r="J118" s="24"/>
      <c r="K118" s="28"/>
      <c r="L118" s="27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>
      <c r="A119" s="24"/>
      <c r="B119" s="25"/>
      <c r="C119" s="26"/>
      <c r="D119" s="24"/>
      <c r="E119" s="14"/>
      <c r="F119" s="24"/>
      <c r="G119" s="21"/>
      <c r="H119" s="21"/>
      <c r="I119" s="14"/>
      <c r="J119" s="24"/>
      <c r="K119" s="28"/>
      <c r="L119" s="27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>
      <c r="A120" s="24"/>
      <c r="B120" s="25"/>
      <c r="C120" s="26"/>
      <c r="D120" s="24"/>
      <c r="E120" s="14"/>
      <c r="F120" s="24"/>
      <c r="G120" s="21"/>
      <c r="H120" s="21"/>
      <c r="I120" s="14"/>
      <c r="J120" s="24"/>
      <c r="K120" s="28"/>
      <c r="L120" s="27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>
      <c r="A121" s="24"/>
      <c r="B121" s="25"/>
      <c r="C121" s="26"/>
      <c r="D121" s="24"/>
      <c r="E121" s="14"/>
      <c r="F121" s="24"/>
      <c r="G121" s="21"/>
      <c r="H121" s="21"/>
      <c r="I121" s="14"/>
      <c r="J121" s="24"/>
      <c r="K121" s="28"/>
      <c r="L121" s="27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>
      <c r="A122" s="24"/>
      <c r="B122" s="25"/>
      <c r="C122" s="26"/>
      <c r="D122" s="24"/>
      <c r="E122" s="14"/>
      <c r="F122" s="24"/>
      <c r="G122" s="21"/>
      <c r="H122" s="21"/>
      <c r="I122" s="14"/>
      <c r="J122" s="24"/>
      <c r="K122" s="28"/>
      <c r="L122" s="27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>
      <c r="A123" s="24"/>
      <c r="B123" s="25"/>
      <c r="C123" s="26"/>
      <c r="D123" s="24"/>
      <c r="E123" s="14"/>
      <c r="F123" s="24"/>
      <c r="G123" s="21"/>
      <c r="H123" s="21"/>
      <c r="I123" s="14"/>
      <c r="J123" s="24"/>
      <c r="K123" s="28"/>
      <c r="L123" s="27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>
      <c r="A124" s="24"/>
      <c r="B124" s="25"/>
      <c r="C124" s="26"/>
      <c r="D124" s="24"/>
      <c r="E124" s="14"/>
      <c r="F124" s="24"/>
      <c r="G124" s="21"/>
      <c r="H124" s="21"/>
      <c r="I124" s="14"/>
      <c r="J124" s="24"/>
      <c r="K124" s="28"/>
      <c r="L124" s="27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>
      <c r="A125" s="24"/>
      <c r="B125" s="25"/>
      <c r="C125" s="26"/>
      <c r="D125" s="24"/>
      <c r="E125" s="14"/>
      <c r="F125" s="24"/>
      <c r="G125" s="21"/>
      <c r="H125" s="21"/>
      <c r="I125" s="14"/>
      <c r="J125" s="24"/>
      <c r="K125" s="28"/>
      <c r="L125" s="27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>
      <c r="A126" s="24"/>
      <c r="B126" s="25"/>
      <c r="C126" s="26"/>
      <c r="D126" s="24"/>
      <c r="E126" s="14"/>
      <c r="F126" s="24"/>
      <c r="G126" s="21"/>
      <c r="H126" s="21"/>
      <c r="I126" s="14"/>
      <c r="J126" s="24"/>
      <c r="K126" s="28"/>
      <c r="L126" s="27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>
      <c r="A127" s="24"/>
      <c r="B127" s="25"/>
      <c r="C127" s="26"/>
      <c r="D127" s="24"/>
      <c r="E127" s="14"/>
      <c r="F127" s="24"/>
      <c r="G127" s="21"/>
      <c r="H127" s="21"/>
      <c r="I127" s="14"/>
      <c r="J127" s="24"/>
      <c r="K127" s="28"/>
      <c r="L127" s="27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>
      <c r="A128" s="24"/>
      <c r="B128" s="25"/>
      <c r="C128" s="26"/>
      <c r="D128" s="24"/>
      <c r="E128" s="14"/>
      <c r="F128" s="24"/>
      <c r="G128" s="21"/>
      <c r="H128" s="21"/>
      <c r="I128" s="14"/>
      <c r="J128" s="24"/>
      <c r="K128" s="28"/>
      <c r="L128" s="27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>
      <c r="A129" s="24"/>
      <c r="B129" s="25"/>
      <c r="C129" s="26"/>
      <c r="D129" s="24"/>
      <c r="E129" s="14"/>
      <c r="F129" s="24"/>
      <c r="G129" s="21"/>
      <c r="H129" s="21"/>
      <c r="I129" s="14"/>
      <c r="J129" s="24"/>
      <c r="K129" s="28"/>
      <c r="L129" s="27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>
      <c r="A130" s="24"/>
      <c r="B130" s="25"/>
      <c r="C130" s="26"/>
      <c r="D130" s="24"/>
      <c r="E130" s="14"/>
      <c r="F130" s="24"/>
      <c r="G130" s="21"/>
      <c r="H130" s="21"/>
      <c r="I130" s="14"/>
      <c r="J130" s="24"/>
      <c r="K130" s="28"/>
      <c r="L130" s="27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>
      <c r="A131" s="24"/>
      <c r="B131" s="25"/>
      <c r="C131" s="26"/>
      <c r="D131" s="24"/>
      <c r="E131" s="14"/>
      <c r="F131" s="24"/>
      <c r="G131" s="21"/>
      <c r="H131" s="21"/>
      <c r="I131" s="14"/>
      <c r="J131" s="24"/>
      <c r="K131" s="28"/>
      <c r="L131" s="27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>
      <c r="A132" s="24"/>
      <c r="B132" s="25"/>
      <c r="C132" s="26"/>
      <c r="D132" s="24"/>
      <c r="E132" s="14"/>
      <c r="F132" s="24"/>
      <c r="G132" s="21"/>
      <c r="H132" s="21"/>
      <c r="I132" s="14"/>
      <c r="J132" s="24"/>
      <c r="K132" s="28"/>
      <c r="L132" s="27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>
      <c r="A133" s="24"/>
      <c r="B133" s="25"/>
      <c r="C133" s="26"/>
      <c r="D133" s="24"/>
      <c r="E133" s="14"/>
      <c r="F133" s="24"/>
      <c r="G133" s="21"/>
      <c r="H133" s="21"/>
      <c r="I133" s="14"/>
      <c r="J133" s="24"/>
      <c r="K133" s="28"/>
      <c r="L133" s="27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>
      <c r="A134" s="24"/>
      <c r="B134" s="25"/>
      <c r="C134" s="26"/>
      <c r="D134" s="24"/>
      <c r="E134" s="14"/>
      <c r="F134" s="24"/>
      <c r="G134" s="21"/>
      <c r="H134" s="21"/>
      <c r="I134" s="14"/>
      <c r="J134" s="24"/>
      <c r="K134" s="28"/>
      <c r="L134" s="27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>
      <c r="A135" s="24"/>
      <c r="B135" s="25"/>
      <c r="C135" s="26"/>
      <c r="D135" s="24"/>
      <c r="E135" s="14"/>
      <c r="F135" s="24"/>
      <c r="G135" s="21"/>
      <c r="H135" s="21"/>
      <c r="I135" s="14"/>
      <c r="J135" s="24"/>
      <c r="K135" s="28"/>
      <c r="L135" s="27"/>
      <c r="M135" s="24"/>
      <c r="N135" s="24"/>
      <c r="O135" s="24"/>
      <c r="P135" s="24"/>
      <c r="Q135" s="24"/>
      <c r="R135" s="24"/>
      <c r="S135" s="24"/>
      <c r="T135" s="24"/>
      <c r="U135" s="24"/>
      <c r="V135" s="24"/>
    </row>
    <row r="136">
      <c r="A136" s="24"/>
      <c r="B136" s="25"/>
      <c r="C136" s="26"/>
      <c r="D136" s="24"/>
      <c r="E136" s="14"/>
      <c r="F136" s="24"/>
      <c r="G136" s="21"/>
      <c r="H136" s="21"/>
      <c r="I136" s="14"/>
      <c r="J136" s="24"/>
      <c r="K136" s="28"/>
      <c r="L136" s="27"/>
      <c r="M136" s="24"/>
      <c r="N136" s="24"/>
      <c r="O136" s="24"/>
      <c r="P136" s="24"/>
      <c r="Q136" s="24"/>
      <c r="R136" s="24"/>
      <c r="S136" s="24"/>
      <c r="T136" s="24"/>
      <c r="U136" s="24"/>
      <c r="V136" s="24"/>
    </row>
    <row r="137">
      <c r="A137" s="24"/>
      <c r="B137" s="25"/>
      <c r="C137" s="26"/>
      <c r="D137" s="24"/>
      <c r="E137" s="14"/>
      <c r="F137" s="24"/>
      <c r="G137" s="21"/>
      <c r="H137" s="21"/>
      <c r="I137" s="14"/>
      <c r="J137" s="24"/>
      <c r="K137" s="28"/>
      <c r="L137" s="27"/>
      <c r="M137" s="24"/>
      <c r="N137" s="24"/>
      <c r="O137" s="24"/>
      <c r="P137" s="24"/>
      <c r="Q137" s="24"/>
      <c r="R137" s="24"/>
      <c r="S137" s="24"/>
      <c r="T137" s="24"/>
      <c r="U137" s="24"/>
      <c r="V137" s="24"/>
    </row>
    <row r="138">
      <c r="A138" s="24"/>
      <c r="B138" s="25"/>
      <c r="C138" s="26"/>
      <c r="D138" s="24"/>
      <c r="E138" s="14"/>
      <c r="F138" s="24"/>
      <c r="G138" s="21"/>
      <c r="H138" s="21"/>
      <c r="I138" s="14"/>
      <c r="J138" s="24"/>
      <c r="K138" s="28"/>
      <c r="L138" s="27"/>
      <c r="M138" s="24"/>
      <c r="N138" s="24"/>
      <c r="O138" s="24"/>
      <c r="P138" s="24"/>
      <c r="Q138" s="24"/>
      <c r="R138" s="24"/>
      <c r="S138" s="24"/>
      <c r="T138" s="24"/>
      <c r="U138" s="24"/>
      <c r="V138" s="24"/>
    </row>
    <row r="139">
      <c r="A139" s="24"/>
      <c r="B139" s="25"/>
      <c r="C139" s="26"/>
      <c r="D139" s="24"/>
      <c r="E139" s="14"/>
      <c r="F139" s="24"/>
      <c r="G139" s="21"/>
      <c r="H139" s="21"/>
      <c r="I139" s="14"/>
      <c r="J139" s="24"/>
      <c r="K139" s="28"/>
      <c r="L139" s="27"/>
      <c r="M139" s="24"/>
      <c r="N139" s="24"/>
      <c r="O139" s="24"/>
      <c r="P139" s="24"/>
      <c r="Q139" s="24"/>
      <c r="R139" s="24"/>
      <c r="S139" s="24"/>
      <c r="T139" s="24"/>
      <c r="U139" s="24"/>
      <c r="V139" s="24"/>
    </row>
    <row r="140">
      <c r="A140" s="24"/>
      <c r="B140" s="25"/>
      <c r="C140" s="26"/>
      <c r="D140" s="24"/>
      <c r="E140" s="14"/>
      <c r="F140" s="24"/>
      <c r="G140" s="21"/>
      <c r="H140" s="21"/>
      <c r="I140" s="14"/>
      <c r="J140" s="24"/>
      <c r="K140" s="28"/>
      <c r="L140" s="27"/>
      <c r="M140" s="24"/>
      <c r="N140" s="24"/>
      <c r="O140" s="24"/>
      <c r="P140" s="24"/>
      <c r="Q140" s="24"/>
      <c r="R140" s="24"/>
      <c r="S140" s="24"/>
      <c r="T140" s="24"/>
      <c r="U140" s="24"/>
      <c r="V140" s="24"/>
    </row>
    <row r="141">
      <c r="A141" s="24"/>
      <c r="B141" s="25"/>
      <c r="C141" s="26"/>
      <c r="D141" s="24"/>
      <c r="E141" s="14"/>
      <c r="F141" s="24"/>
      <c r="G141" s="21"/>
      <c r="H141" s="21"/>
      <c r="I141" s="14"/>
      <c r="J141" s="24"/>
      <c r="K141" s="28"/>
      <c r="L141" s="27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>
      <c r="A142" s="24"/>
      <c r="B142" s="25"/>
      <c r="C142" s="26"/>
      <c r="D142" s="24"/>
      <c r="E142" s="14"/>
      <c r="F142" s="24"/>
      <c r="G142" s="21"/>
      <c r="H142" s="21"/>
      <c r="I142" s="14"/>
      <c r="J142" s="24"/>
      <c r="K142" s="28"/>
      <c r="L142" s="27"/>
      <c r="M142" s="24"/>
      <c r="N142" s="24"/>
      <c r="O142" s="24"/>
      <c r="P142" s="24"/>
      <c r="Q142" s="24"/>
      <c r="R142" s="24"/>
      <c r="S142" s="24"/>
      <c r="T142" s="24"/>
      <c r="U142" s="24"/>
      <c r="V142" s="24"/>
    </row>
    <row r="143">
      <c r="A143" s="24"/>
      <c r="B143" s="25"/>
      <c r="C143" s="26"/>
      <c r="D143" s="24"/>
      <c r="E143" s="14"/>
      <c r="F143" s="24"/>
      <c r="G143" s="21"/>
      <c r="H143" s="21"/>
      <c r="I143" s="14"/>
      <c r="J143" s="24"/>
      <c r="K143" s="28"/>
      <c r="L143" s="27"/>
      <c r="M143" s="24"/>
      <c r="N143" s="24"/>
      <c r="O143" s="24"/>
      <c r="P143" s="24"/>
      <c r="Q143" s="24"/>
      <c r="R143" s="24"/>
      <c r="S143" s="24"/>
      <c r="T143" s="24"/>
      <c r="U143" s="24"/>
      <c r="V143" s="24"/>
    </row>
    <row r="144">
      <c r="A144" s="24"/>
      <c r="B144" s="25"/>
      <c r="C144" s="26"/>
      <c r="D144" s="24"/>
      <c r="E144" s="14"/>
      <c r="F144" s="24"/>
      <c r="G144" s="21"/>
      <c r="H144" s="21"/>
      <c r="I144" s="14"/>
      <c r="J144" s="24"/>
      <c r="K144" s="28"/>
      <c r="L144" s="27"/>
      <c r="M144" s="24"/>
      <c r="N144" s="24"/>
      <c r="O144" s="24"/>
      <c r="P144" s="24"/>
      <c r="Q144" s="24"/>
      <c r="R144" s="24"/>
      <c r="S144" s="24"/>
      <c r="T144" s="24"/>
      <c r="U144" s="24"/>
      <c r="V144" s="24"/>
    </row>
    <row r="145">
      <c r="A145" s="24"/>
      <c r="B145" s="25"/>
      <c r="C145" s="26"/>
      <c r="D145" s="24"/>
      <c r="E145" s="14"/>
      <c r="F145" s="24"/>
      <c r="G145" s="21"/>
      <c r="H145" s="21"/>
      <c r="I145" s="14"/>
      <c r="J145" s="24"/>
      <c r="K145" s="28"/>
      <c r="L145" s="27"/>
      <c r="M145" s="24"/>
      <c r="N145" s="24"/>
      <c r="O145" s="24"/>
      <c r="P145" s="24"/>
      <c r="Q145" s="24"/>
      <c r="R145" s="24"/>
      <c r="S145" s="24"/>
      <c r="T145" s="24"/>
      <c r="U145" s="24"/>
      <c r="V145" s="24"/>
    </row>
    <row r="146">
      <c r="A146" s="24"/>
      <c r="B146" s="25"/>
      <c r="C146" s="26"/>
      <c r="D146" s="24"/>
      <c r="E146" s="14"/>
      <c r="F146" s="24"/>
      <c r="G146" s="21"/>
      <c r="H146" s="21"/>
      <c r="I146" s="14"/>
      <c r="J146" s="24"/>
      <c r="K146" s="28"/>
      <c r="L146" s="27"/>
      <c r="M146" s="24"/>
      <c r="N146" s="24"/>
      <c r="O146" s="24"/>
      <c r="P146" s="24"/>
      <c r="Q146" s="24"/>
      <c r="R146" s="24"/>
      <c r="S146" s="24"/>
      <c r="T146" s="24"/>
      <c r="U146" s="24"/>
      <c r="V146" s="24"/>
    </row>
    <row r="147">
      <c r="A147" s="24"/>
      <c r="B147" s="25"/>
      <c r="C147" s="26"/>
      <c r="D147" s="24"/>
      <c r="E147" s="14"/>
      <c r="F147" s="24"/>
      <c r="G147" s="21"/>
      <c r="H147" s="21"/>
      <c r="I147" s="14"/>
      <c r="J147" s="24"/>
      <c r="K147" s="28"/>
      <c r="L147" s="27"/>
      <c r="M147" s="24"/>
      <c r="N147" s="24"/>
      <c r="O147" s="24"/>
      <c r="P147" s="24"/>
      <c r="Q147" s="24"/>
      <c r="R147" s="24"/>
      <c r="S147" s="24"/>
      <c r="T147" s="24"/>
      <c r="U147" s="24"/>
      <c r="V147" s="24"/>
    </row>
    <row r="148">
      <c r="A148" s="24"/>
      <c r="B148" s="25"/>
      <c r="C148" s="26"/>
      <c r="D148" s="24"/>
      <c r="E148" s="14"/>
      <c r="F148" s="24"/>
      <c r="G148" s="21"/>
      <c r="H148" s="21"/>
      <c r="I148" s="14"/>
      <c r="J148" s="24"/>
      <c r="K148" s="28"/>
      <c r="L148" s="27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>
      <c r="A149" s="24"/>
      <c r="B149" s="25"/>
      <c r="C149" s="26"/>
      <c r="D149" s="24"/>
      <c r="E149" s="14"/>
      <c r="F149" s="24"/>
      <c r="G149" s="21"/>
      <c r="H149" s="21"/>
      <c r="I149" s="14"/>
      <c r="J149" s="24"/>
      <c r="K149" s="28"/>
      <c r="L149" s="27"/>
      <c r="M149" s="24"/>
      <c r="N149" s="24"/>
      <c r="O149" s="24"/>
      <c r="P149" s="24"/>
      <c r="Q149" s="24"/>
      <c r="R149" s="24"/>
      <c r="S149" s="24"/>
      <c r="T149" s="24"/>
      <c r="U149" s="24"/>
      <c r="V149" s="24"/>
    </row>
    <row r="150">
      <c r="A150" s="24"/>
      <c r="B150" s="25"/>
      <c r="C150" s="26"/>
      <c r="D150" s="24"/>
      <c r="E150" s="14"/>
      <c r="F150" s="24"/>
      <c r="G150" s="21"/>
      <c r="H150" s="21"/>
      <c r="I150" s="14"/>
      <c r="J150" s="24"/>
      <c r="K150" s="28"/>
      <c r="L150" s="27"/>
      <c r="M150" s="24"/>
      <c r="N150" s="24"/>
      <c r="O150" s="24"/>
      <c r="P150" s="24"/>
      <c r="Q150" s="24"/>
      <c r="R150" s="24"/>
      <c r="S150" s="24"/>
      <c r="T150" s="24"/>
      <c r="U150" s="24"/>
      <c r="V150" s="24"/>
    </row>
    <row r="151">
      <c r="A151" s="24"/>
      <c r="B151" s="25"/>
      <c r="C151" s="26"/>
      <c r="D151" s="24"/>
      <c r="E151" s="14"/>
      <c r="F151" s="24"/>
      <c r="G151" s="21"/>
      <c r="H151" s="21"/>
      <c r="I151" s="14"/>
      <c r="J151" s="24"/>
      <c r="K151" s="28"/>
      <c r="L151" s="27"/>
      <c r="M151" s="24"/>
      <c r="N151" s="24"/>
      <c r="O151" s="24"/>
      <c r="P151" s="24"/>
      <c r="Q151" s="24"/>
      <c r="R151" s="24"/>
      <c r="S151" s="24"/>
      <c r="T151" s="24"/>
      <c r="U151" s="24"/>
      <c r="V151" s="24"/>
    </row>
    <row r="152">
      <c r="A152" s="24"/>
      <c r="B152" s="25"/>
      <c r="C152" s="26"/>
      <c r="D152" s="24"/>
      <c r="E152" s="14"/>
      <c r="F152" s="24"/>
      <c r="G152" s="21"/>
      <c r="H152" s="21"/>
      <c r="I152" s="14"/>
      <c r="J152" s="24"/>
      <c r="K152" s="28"/>
      <c r="L152" s="27"/>
      <c r="M152" s="24"/>
      <c r="N152" s="24"/>
      <c r="O152" s="24"/>
      <c r="P152" s="24"/>
      <c r="Q152" s="24"/>
      <c r="R152" s="24"/>
      <c r="S152" s="24"/>
      <c r="T152" s="24"/>
      <c r="U152" s="24"/>
      <c r="V152" s="24"/>
    </row>
    <row r="153">
      <c r="A153" s="24"/>
      <c r="B153" s="25"/>
      <c r="C153" s="26"/>
      <c r="D153" s="24"/>
      <c r="E153" s="14"/>
      <c r="F153" s="24"/>
      <c r="G153" s="21"/>
      <c r="H153" s="21"/>
      <c r="I153" s="14"/>
      <c r="J153" s="24"/>
      <c r="K153" s="28"/>
      <c r="L153" s="27"/>
      <c r="M153" s="24"/>
      <c r="N153" s="24"/>
      <c r="O153" s="24"/>
      <c r="P153" s="24"/>
      <c r="Q153" s="24"/>
      <c r="R153" s="24"/>
      <c r="S153" s="24"/>
      <c r="T153" s="24"/>
      <c r="U153" s="24"/>
      <c r="V153" s="24"/>
    </row>
    <row r="154">
      <c r="A154" s="24"/>
      <c r="B154" s="25"/>
      <c r="C154" s="26"/>
      <c r="D154" s="24"/>
      <c r="E154" s="14"/>
      <c r="F154" s="24"/>
      <c r="G154" s="21"/>
      <c r="H154" s="21"/>
      <c r="I154" s="14"/>
      <c r="J154" s="24"/>
      <c r="K154" s="28"/>
      <c r="L154" s="27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>
      <c r="A155" s="24"/>
      <c r="B155" s="25"/>
      <c r="C155" s="26"/>
      <c r="D155" s="24"/>
      <c r="E155" s="14"/>
      <c r="F155" s="24"/>
      <c r="G155" s="21"/>
      <c r="H155" s="21"/>
      <c r="I155" s="14"/>
      <c r="J155" s="24"/>
      <c r="K155" s="28"/>
      <c r="L155" s="27"/>
      <c r="M155" s="24"/>
      <c r="N155" s="24"/>
      <c r="O155" s="24"/>
      <c r="P155" s="24"/>
      <c r="Q155" s="24"/>
      <c r="R155" s="24"/>
      <c r="S155" s="24"/>
      <c r="T155" s="24"/>
      <c r="U155" s="24"/>
      <c r="V155" s="24"/>
    </row>
    <row r="156">
      <c r="A156" s="24"/>
      <c r="B156" s="25"/>
      <c r="C156" s="26"/>
      <c r="D156" s="24"/>
      <c r="E156" s="14"/>
      <c r="F156" s="24"/>
      <c r="G156" s="21"/>
      <c r="H156" s="21"/>
      <c r="I156" s="14"/>
      <c r="J156" s="24"/>
      <c r="K156" s="28"/>
      <c r="L156" s="27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>
      <c r="A157" s="24"/>
      <c r="B157" s="25"/>
      <c r="C157" s="26"/>
      <c r="D157" s="24"/>
      <c r="E157" s="14"/>
      <c r="F157" s="24"/>
      <c r="G157" s="21"/>
      <c r="H157" s="21"/>
      <c r="I157" s="14"/>
      <c r="J157" s="24"/>
      <c r="K157" s="28"/>
      <c r="L157" s="27"/>
      <c r="M157" s="24"/>
      <c r="N157" s="24"/>
      <c r="O157" s="24"/>
      <c r="P157" s="24"/>
      <c r="Q157" s="24"/>
      <c r="R157" s="24"/>
      <c r="S157" s="24"/>
      <c r="T157" s="24"/>
      <c r="U157" s="24"/>
      <c r="V157" s="24"/>
    </row>
    <row r="158">
      <c r="A158" s="24"/>
      <c r="B158" s="25"/>
      <c r="C158" s="26"/>
      <c r="D158" s="24"/>
      <c r="E158" s="14"/>
      <c r="F158" s="24"/>
      <c r="G158" s="21"/>
      <c r="H158" s="21"/>
      <c r="I158" s="14"/>
      <c r="J158" s="24"/>
      <c r="K158" s="28"/>
      <c r="L158" s="27"/>
      <c r="M158" s="24"/>
      <c r="N158" s="24"/>
      <c r="O158" s="24"/>
      <c r="P158" s="24"/>
      <c r="Q158" s="24"/>
      <c r="R158" s="24"/>
      <c r="S158" s="24"/>
      <c r="T158" s="24"/>
      <c r="U158" s="24"/>
      <c r="V158" s="24"/>
    </row>
    <row r="159">
      <c r="A159" s="24"/>
      <c r="B159" s="25"/>
      <c r="C159" s="26"/>
      <c r="D159" s="24"/>
      <c r="E159" s="14"/>
      <c r="F159" s="24"/>
      <c r="G159" s="21"/>
      <c r="H159" s="21"/>
      <c r="I159" s="14"/>
      <c r="J159" s="24"/>
      <c r="K159" s="28"/>
      <c r="L159" s="27"/>
      <c r="M159" s="24"/>
      <c r="N159" s="24"/>
      <c r="O159" s="24"/>
      <c r="P159" s="24"/>
      <c r="Q159" s="24"/>
      <c r="R159" s="24"/>
      <c r="S159" s="24"/>
      <c r="T159" s="24"/>
      <c r="U159" s="24"/>
      <c r="V159" s="24"/>
    </row>
    <row r="160">
      <c r="A160" s="24"/>
      <c r="B160" s="25"/>
      <c r="C160" s="26"/>
      <c r="D160" s="24"/>
      <c r="E160" s="14"/>
      <c r="F160" s="24"/>
      <c r="G160" s="21"/>
      <c r="H160" s="21"/>
      <c r="I160" s="14"/>
      <c r="J160" s="24"/>
      <c r="K160" s="28"/>
      <c r="L160" s="27"/>
      <c r="M160" s="24"/>
      <c r="N160" s="24"/>
      <c r="O160" s="24"/>
      <c r="P160" s="24"/>
      <c r="Q160" s="24"/>
      <c r="R160" s="24"/>
      <c r="S160" s="24"/>
      <c r="T160" s="24"/>
      <c r="U160" s="24"/>
      <c r="V160" s="24"/>
    </row>
    <row r="161">
      <c r="A161" s="24"/>
      <c r="B161" s="25"/>
      <c r="C161" s="26"/>
      <c r="D161" s="24"/>
      <c r="E161" s="14"/>
      <c r="F161" s="24"/>
      <c r="G161" s="21"/>
      <c r="H161" s="21"/>
      <c r="I161" s="14"/>
      <c r="J161" s="24"/>
      <c r="K161" s="28"/>
      <c r="L161" s="27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>
      <c r="A162" s="24"/>
      <c r="B162" s="25"/>
      <c r="C162" s="26"/>
      <c r="D162" s="24"/>
      <c r="E162" s="14"/>
      <c r="F162" s="24"/>
      <c r="G162" s="21"/>
      <c r="H162" s="21"/>
      <c r="I162" s="14"/>
      <c r="J162" s="24"/>
      <c r="K162" s="28"/>
      <c r="L162" s="27"/>
      <c r="M162" s="24"/>
      <c r="N162" s="24"/>
      <c r="O162" s="24"/>
      <c r="P162" s="24"/>
      <c r="Q162" s="24"/>
      <c r="R162" s="24"/>
      <c r="S162" s="24"/>
      <c r="T162" s="24"/>
      <c r="U162" s="24"/>
      <c r="V162" s="24"/>
    </row>
    <row r="163">
      <c r="A163" s="24"/>
      <c r="B163" s="25"/>
      <c r="C163" s="26"/>
      <c r="D163" s="24"/>
      <c r="E163" s="14"/>
      <c r="F163" s="24"/>
      <c r="G163" s="21"/>
      <c r="H163" s="21"/>
      <c r="I163" s="14"/>
      <c r="J163" s="24"/>
      <c r="K163" s="28"/>
      <c r="L163" s="27"/>
      <c r="M163" s="24"/>
      <c r="N163" s="24"/>
      <c r="O163" s="24"/>
      <c r="P163" s="24"/>
      <c r="Q163" s="24"/>
      <c r="R163" s="24"/>
      <c r="S163" s="24"/>
      <c r="T163" s="24"/>
      <c r="U163" s="24"/>
      <c r="V163" s="24"/>
    </row>
    <row r="164">
      <c r="A164" s="24"/>
      <c r="B164" s="25"/>
      <c r="C164" s="26"/>
      <c r="D164" s="24"/>
      <c r="E164" s="14"/>
      <c r="F164" s="24"/>
      <c r="G164" s="21"/>
      <c r="H164" s="21"/>
      <c r="I164" s="14"/>
      <c r="J164" s="24"/>
      <c r="K164" s="28"/>
      <c r="L164" s="27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>
      <c r="A165" s="24"/>
      <c r="B165" s="25"/>
      <c r="C165" s="26"/>
      <c r="D165" s="24"/>
      <c r="E165" s="14"/>
      <c r="F165" s="24"/>
      <c r="G165" s="21"/>
      <c r="H165" s="21"/>
      <c r="I165" s="14"/>
      <c r="J165" s="24"/>
      <c r="K165" s="28"/>
      <c r="L165" s="27"/>
      <c r="M165" s="24"/>
      <c r="N165" s="24"/>
      <c r="O165" s="24"/>
      <c r="P165" s="24"/>
      <c r="Q165" s="24"/>
      <c r="R165" s="24"/>
      <c r="S165" s="24"/>
      <c r="T165" s="24"/>
      <c r="U165" s="24"/>
      <c r="V165" s="24"/>
    </row>
    <row r="166">
      <c r="A166" s="24"/>
      <c r="B166" s="25"/>
      <c r="C166" s="26"/>
      <c r="D166" s="24"/>
      <c r="E166" s="14"/>
      <c r="F166" s="24"/>
      <c r="G166" s="21"/>
      <c r="H166" s="21"/>
      <c r="I166" s="14"/>
      <c r="J166" s="24"/>
      <c r="K166" s="28"/>
      <c r="L166" s="27"/>
      <c r="M166" s="24"/>
      <c r="N166" s="24"/>
      <c r="O166" s="24"/>
      <c r="P166" s="24"/>
      <c r="Q166" s="24"/>
      <c r="R166" s="24"/>
      <c r="S166" s="24"/>
      <c r="T166" s="24"/>
      <c r="U166" s="24"/>
      <c r="V166" s="24"/>
    </row>
    <row r="167">
      <c r="A167" s="24"/>
      <c r="B167" s="25"/>
      <c r="C167" s="26"/>
      <c r="D167" s="24"/>
      <c r="E167" s="14"/>
      <c r="F167" s="24"/>
      <c r="G167" s="21"/>
      <c r="H167" s="21"/>
      <c r="I167" s="14"/>
      <c r="J167" s="24"/>
      <c r="K167" s="28"/>
      <c r="L167" s="27"/>
      <c r="M167" s="24"/>
      <c r="N167" s="24"/>
      <c r="O167" s="24"/>
      <c r="P167" s="24"/>
      <c r="Q167" s="24"/>
      <c r="R167" s="24"/>
      <c r="S167" s="24"/>
      <c r="T167" s="24"/>
      <c r="U167" s="24"/>
      <c r="V167" s="24"/>
    </row>
    <row r="168">
      <c r="A168" s="24"/>
      <c r="B168" s="25"/>
      <c r="C168" s="26"/>
      <c r="D168" s="24"/>
      <c r="E168" s="14"/>
      <c r="F168" s="24"/>
      <c r="G168" s="21"/>
      <c r="H168" s="21"/>
      <c r="I168" s="14"/>
      <c r="J168" s="24"/>
      <c r="K168" s="28"/>
      <c r="L168" s="27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>
      <c r="A169" s="24"/>
      <c r="B169" s="25"/>
      <c r="C169" s="26"/>
      <c r="D169" s="24"/>
      <c r="E169" s="14"/>
      <c r="F169" s="24"/>
      <c r="G169" s="21"/>
      <c r="H169" s="21"/>
      <c r="I169" s="14"/>
      <c r="J169" s="24"/>
      <c r="K169" s="28"/>
      <c r="L169" s="27"/>
      <c r="M169" s="24"/>
      <c r="N169" s="24"/>
      <c r="O169" s="24"/>
      <c r="P169" s="24"/>
      <c r="Q169" s="24"/>
      <c r="R169" s="24"/>
      <c r="S169" s="24"/>
      <c r="T169" s="24"/>
      <c r="U169" s="24"/>
      <c r="V169" s="24"/>
    </row>
    <row r="170">
      <c r="A170" s="24"/>
      <c r="B170" s="25"/>
      <c r="C170" s="26"/>
      <c r="D170" s="24"/>
      <c r="E170" s="14"/>
      <c r="F170" s="24"/>
      <c r="G170" s="21"/>
      <c r="H170" s="21"/>
      <c r="I170" s="14"/>
      <c r="J170" s="24"/>
      <c r="K170" s="28"/>
      <c r="L170" s="27"/>
      <c r="M170" s="24"/>
      <c r="N170" s="24"/>
      <c r="O170" s="24"/>
      <c r="P170" s="24"/>
      <c r="Q170" s="24"/>
      <c r="R170" s="24"/>
      <c r="S170" s="24"/>
      <c r="T170" s="24"/>
      <c r="U170" s="24"/>
      <c r="V170" s="24"/>
    </row>
    <row r="171">
      <c r="A171" s="24"/>
      <c r="B171" s="25"/>
      <c r="C171" s="26"/>
      <c r="D171" s="24"/>
      <c r="E171" s="14"/>
      <c r="F171" s="24"/>
      <c r="G171" s="21"/>
      <c r="H171" s="21"/>
      <c r="I171" s="14"/>
      <c r="J171" s="24"/>
      <c r="K171" s="28"/>
      <c r="L171" s="27"/>
      <c r="M171" s="24"/>
      <c r="N171" s="24"/>
      <c r="O171" s="24"/>
      <c r="P171" s="24"/>
      <c r="Q171" s="24"/>
      <c r="R171" s="24"/>
      <c r="S171" s="24"/>
      <c r="T171" s="24"/>
      <c r="U171" s="24"/>
      <c r="V171" s="24"/>
    </row>
    <row r="172">
      <c r="A172" s="24"/>
      <c r="B172" s="25"/>
      <c r="C172" s="26"/>
      <c r="D172" s="24"/>
      <c r="E172" s="14"/>
      <c r="F172" s="24"/>
      <c r="G172" s="21"/>
      <c r="H172" s="21"/>
      <c r="I172" s="14"/>
      <c r="J172" s="24"/>
      <c r="K172" s="28"/>
      <c r="L172" s="27"/>
      <c r="M172" s="24"/>
      <c r="N172" s="24"/>
      <c r="O172" s="24"/>
      <c r="P172" s="24"/>
      <c r="Q172" s="24"/>
      <c r="R172" s="24"/>
      <c r="S172" s="24"/>
      <c r="T172" s="24"/>
      <c r="U172" s="24"/>
      <c r="V172" s="24"/>
    </row>
    <row r="173">
      <c r="A173" s="24"/>
      <c r="B173" s="25"/>
      <c r="C173" s="26"/>
      <c r="D173" s="24"/>
      <c r="E173" s="14"/>
      <c r="F173" s="24"/>
      <c r="G173" s="21"/>
      <c r="H173" s="21"/>
      <c r="I173" s="14"/>
      <c r="J173" s="24"/>
      <c r="K173" s="28"/>
      <c r="L173" s="27"/>
      <c r="M173" s="24"/>
      <c r="N173" s="24"/>
      <c r="O173" s="24"/>
      <c r="P173" s="24"/>
      <c r="Q173" s="24"/>
      <c r="R173" s="24"/>
      <c r="S173" s="24"/>
      <c r="T173" s="24"/>
      <c r="U173" s="24"/>
      <c r="V173" s="24"/>
    </row>
    <row r="174">
      <c r="A174" s="24"/>
      <c r="B174" s="25"/>
      <c r="C174" s="26"/>
      <c r="D174" s="24"/>
      <c r="E174" s="14"/>
      <c r="F174" s="24"/>
      <c r="G174" s="21"/>
      <c r="H174" s="21"/>
      <c r="I174" s="14"/>
      <c r="J174" s="24"/>
      <c r="K174" s="28"/>
      <c r="L174" s="27"/>
      <c r="M174" s="24"/>
      <c r="N174" s="24"/>
      <c r="O174" s="24"/>
      <c r="P174" s="24"/>
      <c r="Q174" s="24"/>
      <c r="R174" s="24"/>
      <c r="S174" s="24"/>
      <c r="T174" s="24"/>
      <c r="U174" s="24"/>
      <c r="V174" s="24"/>
    </row>
    <row r="175">
      <c r="A175" s="24"/>
      <c r="B175" s="25"/>
      <c r="C175" s="26"/>
      <c r="D175" s="24"/>
      <c r="E175" s="14"/>
      <c r="F175" s="24"/>
      <c r="G175" s="21"/>
      <c r="H175" s="21"/>
      <c r="I175" s="14"/>
      <c r="J175" s="24"/>
      <c r="K175" s="28"/>
      <c r="L175" s="27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>
      <c r="A176" s="24"/>
      <c r="B176" s="25"/>
      <c r="C176" s="26"/>
      <c r="D176" s="24"/>
      <c r="E176" s="14"/>
      <c r="F176" s="24"/>
      <c r="G176" s="21"/>
      <c r="H176" s="21"/>
      <c r="I176" s="14"/>
      <c r="J176" s="24"/>
      <c r="K176" s="28"/>
      <c r="L176" s="27"/>
      <c r="M176" s="24"/>
      <c r="N176" s="24"/>
      <c r="O176" s="24"/>
      <c r="P176" s="24"/>
      <c r="Q176" s="24"/>
      <c r="R176" s="24"/>
      <c r="S176" s="24"/>
      <c r="T176" s="24"/>
      <c r="U176" s="24"/>
      <c r="V176" s="24"/>
    </row>
    <row r="177">
      <c r="A177" s="24"/>
      <c r="B177" s="25"/>
      <c r="C177" s="26"/>
      <c r="D177" s="24"/>
      <c r="E177" s="14"/>
      <c r="F177" s="24"/>
      <c r="G177" s="21"/>
      <c r="H177" s="21"/>
      <c r="I177" s="14"/>
      <c r="J177" s="24"/>
      <c r="K177" s="28"/>
      <c r="L177" s="27"/>
      <c r="M177" s="24"/>
      <c r="N177" s="24"/>
      <c r="O177" s="24"/>
      <c r="P177" s="24"/>
      <c r="Q177" s="24"/>
      <c r="R177" s="24"/>
      <c r="S177" s="24"/>
      <c r="T177" s="24"/>
      <c r="U177" s="24"/>
      <c r="V177" s="24"/>
    </row>
    <row r="178">
      <c r="A178" s="24"/>
      <c r="B178" s="25"/>
      <c r="C178" s="26"/>
      <c r="D178" s="24"/>
      <c r="E178" s="14"/>
      <c r="F178" s="24"/>
      <c r="G178" s="21"/>
      <c r="H178" s="21"/>
      <c r="I178" s="14"/>
      <c r="J178" s="24"/>
      <c r="K178" s="28"/>
      <c r="L178" s="27"/>
      <c r="M178" s="24"/>
      <c r="N178" s="24"/>
      <c r="O178" s="24"/>
      <c r="P178" s="24"/>
      <c r="Q178" s="24"/>
      <c r="R178" s="24"/>
      <c r="S178" s="24"/>
      <c r="T178" s="24"/>
      <c r="U178" s="24"/>
      <c r="V178" s="24"/>
    </row>
    <row r="179">
      <c r="A179" s="24"/>
      <c r="B179" s="25"/>
      <c r="C179" s="26"/>
      <c r="D179" s="24"/>
      <c r="E179" s="14"/>
      <c r="F179" s="24"/>
      <c r="G179" s="21"/>
      <c r="H179" s="21"/>
      <c r="I179" s="14"/>
      <c r="J179" s="24"/>
      <c r="K179" s="28"/>
      <c r="L179" s="27"/>
      <c r="M179" s="24"/>
      <c r="N179" s="24"/>
      <c r="O179" s="24"/>
      <c r="P179" s="24"/>
      <c r="Q179" s="24"/>
      <c r="R179" s="24"/>
      <c r="S179" s="24"/>
      <c r="T179" s="24"/>
      <c r="U179" s="24"/>
      <c r="V179" s="24"/>
    </row>
    <row r="180">
      <c r="A180" s="24"/>
      <c r="B180" s="25"/>
      <c r="C180" s="26"/>
      <c r="D180" s="24"/>
      <c r="E180" s="14"/>
      <c r="F180" s="24"/>
      <c r="G180" s="21"/>
      <c r="H180" s="21"/>
      <c r="I180" s="14"/>
      <c r="J180" s="24"/>
      <c r="K180" s="28"/>
      <c r="L180" s="27"/>
      <c r="M180" s="24"/>
      <c r="N180" s="24"/>
      <c r="O180" s="24"/>
      <c r="P180" s="24"/>
      <c r="Q180" s="24"/>
      <c r="R180" s="24"/>
      <c r="S180" s="24"/>
      <c r="T180" s="24"/>
      <c r="U180" s="24"/>
      <c r="V180" s="24"/>
    </row>
    <row r="181">
      <c r="A181" s="24"/>
      <c r="B181" s="25"/>
      <c r="C181" s="26"/>
      <c r="D181" s="24"/>
      <c r="E181" s="14"/>
      <c r="F181" s="24"/>
      <c r="G181" s="21"/>
      <c r="H181" s="21"/>
      <c r="I181" s="14"/>
      <c r="J181" s="24"/>
      <c r="K181" s="28"/>
      <c r="L181" s="27"/>
      <c r="M181" s="24"/>
      <c r="N181" s="24"/>
      <c r="O181" s="24"/>
      <c r="P181" s="24"/>
      <c r="Q181" s="24"/>
      <c r="R181" s="24"/>
      <c r="S181" s="24"/>
      <c r="T181" s="24"/>
      <c r="U181" s="24"/>
      <c r="V181" s="24"/>
    </row>
    <row r="182">
      <c r="A182" s="24"/>
      <c r="B182" s="25"/>
      <c r="C182" s="26"/>
      <c r="D182" s="24"/>
      <c r="E182" s="14"/>
      <c r="F182" s="24"/>
      <c r="G182" s="21"/>
      <c r="H182" s="21"/>
      <c r="I182" s="14"/>
      <c r="J182" s="24"/>
      <c r="K182" s="28"/>
      <c r="L182" s="27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>
      <c r="A183" s="24"/>
      <c r="B183" s="25"/>
      <c r="C183" s="26"/>
      <c r="D183" s="24"/>
      <c r="E183" s="14"/>
      <c r="F183" s="24"/>
      <c r="G183" s="21"/>
      <c r="H183" s="21"/>
      <c r="I183" s="14"/>
      <c r="J183" s="24"/>
      <c r="K183" s="28"/>
      <c r="L183" s="27"/>
      <c r="M183" s="24"/>
      <c r="N183" s="24"/>
      <c r="O183" s="24"/>
      <c r="P183" s="24"/>
      <c r="Q183" s="24"/>
      <c r="R183" s="24"/>
      <c r="S183" s="24"/>
      <c r="T183" s="24"/>
      <c r="U183" s="24"/>
      <c r="V183" s="24"/>
    </row>
    <row r="184">
      <c r="A184" s="24"/>
      <c r="B184" s="25"/>
      <c r="C184" s="26"/>
      <c r="D184" s="24"/>
      <c r="E184" s="14"/>
      <c r="F184" s="24"/>
      <c r="G184" s="21"/>
      <c r="H184" s="21"/>
      <c r="I184" s="14"/>
      <c r="J184" s="24"/>
      <c r="K184" s="28"/>
      <c r="L184" s="27"/>
      <c r="M184" s="24"/>
      <c r="N184" s="24"/>
      <c r="O184" s="24"/>
      <c r="P184" s="24"/>
      <c r="Q184" s="24"/>
      <c r="R184" s="24"/>
      <c r="S184" s="24"/>
      <c r="T184" s="24"/>
      <c r="U184" s="24"/>
      <c r="V184" s="24"/>
    </row>
    <row r="185">
      <c r="A185" s="24"/>
      <c r="B185" s="25"/>
      <c r="C185" s="26"/>
      <c r="D185" s="24"/>
      <c r="E185" s="14"/>
      <c r="F185" s="24"/>
      <c r="G185" s="21"/>
      <c r="H185" s="21"/>
      <c r="I185" s="14"/>
      <c r="J185" s="24"/>
      <c r="K185" s="28"/>
      <c r="L185" s="27"/>
      <c r="M185" s="24"/>
      <c r="N185" s="24"/>
      <c r="O185" s="24"/>
      <c r="P185" s="24"/>
      <c r="Q185" s="24"/>
      <c r="R185" s="24"/>
      <c r="S185" s="24"/>
      <c r="T185" s="24"/>
      <c r="U185" s="24"/>
      <c r="V185" s="24"/>
    </row>
    <row r="186">
      <c r="A186" s="24"/>
      <c r="B186" s="25"/>
      <c r="C186" s="26"/>
      <c r="D186" s="24"/>
      <c r="E186" s="14"/>
      <c r="F186" s="24"/>
      <c r="G186" s="21"/>
      <c r="H186" s="21"/>
      <c r="I186" s="14"/>
      <c r="J186" s="24"/>
      <c r="K186" s="28"/>
      <c r="L186" s="27"/>
      <c r="M186" s="24"/>
      <c r="N186" s="24"/>
      <c r="O186" s="24"/>
      <c r="P186" s="24"/>
      <c r="Q186" s="24"/>
      <c r="R186" s="24"/>
      <c r="S186" s="24"/>
      <c r="T186" s="24"/>
      <c r="U186" s="24"/>
      <c r="V186" s="24"/>
    </row>
    <row r="187">
      <c r="A187" s="24"/>
      <c r="B187" s="25"/>
      <c r="C187" s="26"/>
      <c r="D187" s="24"/>
      <c r="E187" s="14"/>
      <c r="F187" s="24"/>
      <c r="G187" s="21"/>
      <c r="H187" s="21"/>
      <c r="I187" s="14"/>
      <c r="J187" s="24"/>
      <c r="K187" s="28"/>
      <c r="L187" s="27"/>
      <c r="M187" s="24"/>
      <c r="N187" s="24"/>
      <c r="O187" s="24"/>
      <c r="P187" s="24"/>
      <c r="Q187" s="24"/>
      <c r="R187" s="24"/>
      <c r="S187" s="24"/>
      <c r="T187" s="24"/>
      <c r="U187" s="24"/>
      <c r="V187" s="24"/>
    </row>
    <row r="188">
      <c r="A188" s="24"/>
      <c r="B188" s="25"/>
      <c r="C188" s="26"/>
      <c r="D188" s="24"/>
      <c r="E188" s="14"/>
      <c r="F188" s="24"/>
      <c r="G188" s="21"/>
      <c r="H188" s="21"/>
      <c r="I188" s="14"/>
      <c r="J188" s="24"/>
      <c r="K188" s="28"/>
      <c r="L188" s="27"/>
      <c r="M188" s="24"/>
      <c r="N188" s="24"/>
      <c r="O188" s="24"/>
      <c r="P188" s="24"/>
      <c r="Q188" s="24"/>
      <c r="R188" s="24"/>
      <c r="S188" s="24"/>
      <c r="T188" s="24"/>
      <c r="U188" s="24"/>
      <c r="V188" s="24"/>
    </row>
    <row r="189">
      <c r="A189" s="24"/>
      <c r="B189" s="25"/>
      <c r="C189" s="26"/>
      <c r="D189" s="24"/>
      <c r="E189" s="14"/>
      <c r="F189" s="24"/>
      <c r="G189" s="21"/>
      <c r="H189" s="21"/>
      <c r="I189" s="14"/>
      <c r="J189" s="24"/>
      <c r="K189" s="28"/>
      <c r="L189" s="27"/>
      <c r="M189" s="24"/>
      <c r="N189" s="24"/>
      <c r="O189" s="24"/>
      <c r="P189" s="24"/>
      <c r="Q189" s="24"/>
      <c r="R189" s="24"/>
      <c r="S189" s="24"/>
      <c r="T189" s="24"/>
      <c r="U189" s="24"/>
      <c r="V189" s="24"/>
    </row>
    <row r="190">
      <c r="A190" s="24"/>
      <c r="B190" s="25"/>
      <c r="C190" s="26"/>
      <c r="D190" s="24"/>
      <c r="E190" s="14"/>
      <c r="F190" s="24"/>
      <c r="G190" s="21"/>
      <c r="H190" s="21"/>
      <c r="I190" s="14"/>
      <c r="J190" s="24"/>
      <c r="K190" s="28"/>
      <c r="L190" s="27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>
      <c r="A191" s="24"/>
      <c r="B191" s="25"/>
      <c r="C191" s="26"/>
      <c r="D191" s="24"/>
      <c r="E191" s="14"/>
      <c r="F191" s="24"/>
      <c r="G191" s="21"/>
      <c r="H191" s="21"/>
      <c r="I191" s="14"/>
      <c r="J191" s="24"/>
      <c r="K191" s="28"/>
      <c r="L191" s="27"/>
      <c r="M191" s="24"/>
      <c r="N191" s="24"/>
      <c r="O191" s="24"/>
      <c r="P191" s="24"/>
      <c r="Q191" s="24"/>
      <c r="R191" s="24"/>
      <c r="S191" s="24"/>
      <c r="T191" s="24"/>
      <c r="U191" s="24"/>
      <c r="V191" s="24"/>
    </row>
    <row r="192">
      <c r="A192" s="24"/>
      <c r="B192" s="25"/>
      <c r="C192" s="26"/>
      <c r="D192" s="24"/>
      <c r="E192" s="14"/>
      <c r="F192" s="24"/>
      <c r="G192" s="21"/>
      <c r="H192" s="21"/>
      <c r="I192" s="14"/>
      <c r="J192" s="24"/>
      <c r="K192" s="28"/>
      <c r="L192" s="27"/>
      <c r="M192" s="24"/>
      <c r="N192" s="24"/>
      <c r="O192" s="24"/>
      <c r="P192" s="24"/>
      <c r="Q192" s="24"/>
      <c r="R192" s="24"/>
      <c r="S192" s="24"/>
      <c r="T192" s="24"/>
      <c r="U192" s="24"/>
      <c r="V192" s="24"/>
    </row>
    <row r="193">
      <c r="A193" s="24"/>
      <c r="B193" s="25"/>
      <c r="C193" s="26"/>
      <c r="D193" s="24"/>
      <c r="E193" s="14"/>
      <c r="F193" s="24"/>
      <c r="G193" s="21"/>
      <c r="H193" s="21"/>
      <c r="I193" s="14"/>
      <c r="J193" s="24"/>
      <c r="K193" s="28"/>
      <c r="L193" s="27"/>
      <c r="M193" s="24"/>
      <c r="N193" s="24"/>
      <c r="O193" s="24"/>
      <c r="P193" s="24"/>
      <c r="Q193" s="24"/>
      <c r="R193" s="24"/>
      <c r="S193" s="24"/>
      <c r="T193" s="24"/>
      <c r="U193" s="24"/>
      <c r="V193" s="24"/>
    </row>
    <row r="194">
      <c r="A194" s="24"/>
      <c r="B194" s="25"/>
      <c r="C194" s="26"/>
      <c r="D194" s="24"/>
      <c r="E194" s="14"/>
      <c r="F194" s="24"/>
      <c r="G194" s="21"/>
      <c r="H194" s="21"/>
      <c r="I194" s="14"/>
      <c r="J194" s="24"/>
      <c r="K194" s="28"/>
      <c r="L194" s="27"/>
      <c r="M194" s="24"/>
      <c r="N194" s="24"/>
      <c r="O194" s="24"/>
      <c r="P194" s="24"/>
      <c r="Q194" s="24"/>
      <c r="R194" s="24"/>
      <c r="S194" s="24"/>
      <c r="T194" s="24"/>
      <c r="U194" s="24"/>
      <c r="V194" s="24"/>
    </row>
    <row r="195">
      <c r="A195" s="24"/>
      <c r="B195" s="25"/>
      <c r="C195" s="26"/>
      <c r="D195" s="24"/>
      <c r="E195" s="14"/>
      <c r="F195" s="24"/>
      <c r="G195" s="21"/>
      <c r="H195" s="21"/>
      <c r="I195" s="14"/>
      <c r="J195" s="24"/>
      <c r="K195" s="28"/>
      <c r="L195" s="27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>
      <c r="A196" s="24"/>
      <c r="B196" s="25"/>
      <c r="C196" s="26"/>
      <c r="D196" s="24"/>
      <c r="E196" s="14"/>
      <c r="F196" s="24"/>
      <c r="G196" s="21"/>
      <c r="H196" s="21"/>
      <c r="I196" s="14"/>
      <c r="J196" s="24"/>
      <c r="K196" s="28"/>
      <c r="L196" s="27"/>
      <c r="M196" s="24"/>
      <c r="N196" s="24"/>
      <c r="O196" s="24"/>
      <c r="P196" s="24"/>
      <c r="Q196" s="24"/>
      <c r="R196" s="24"/>
      <c r="S196" s="24"/>
      <c r="T196" s="24"/>
      <c r="U196" s="24"/>
      <c r="V196" s="24"/>
    </row>
    <row r="197">
      <c r="A197" s="24"/>
      <c r="B197" s="25"/>
      <c r="C197" s="26"/>
      <c r="D197" s="24"/>
      <c r="E197" s="14"/>
      <c r="F197" s="24"/>
      <c r="G197" s="21"/>
      <c r="H197" s="21"/>
      <c r="I197" s="14"/>
      <c r="J197" s="24"/>
      <c r="K197" s="28"/>
      <c r="L197" s="27"/>
      <c r="M197" s="24"/>
      <c r="N197" s="24"/>
      <c r="O197" s="24"/>
      <c r="P197" s="24"/>
      <c r="Q197" s="24"/>
      <c r="R197" s="24"/>
      <c r="S197" s="24"/>
      <c r="T197" s="24"/>
      <c r="U197" s="24"/>
      <c r="V197" s="24"/>
    </row>
    <row r="198">
      <c r="A198" s="24"/>
      <c r="B198" s="25"/>
      <c r="C198" s="26"/>
      <c r="D198" s="24"/>
      <c r="E198" s="14"/>
      <c r="F198" s="24"/>
      <c r="G198" s="21"/>
      <c r="H198" s="21"/>
      <c r="I198" s="14"/>
      <c r="J198" s="24"/>
      <c r="K198" s="28"/>
      <c r="L198" s="27"/>
      <c r="M198" s="24"/>
      <c r="N198" s="24"/>
      <c r="O198" s="24"/>
      <c r="P198" s="24"/>
      <c r="Q198" s="24"/>
      <c r="R198" s="24"/>
      <c r="S198" s="24"/>
      <c r="T198" s="24"/>
      <c r="U198" s="24"/>
      <c r="V198" s="24"/>
    </row>
    <row r="199">
      <c r="A199" s="24"/>
      <c r="B199" s="25"/>
      <c r="C199" s="26"/>
      <c r="D199" s="24"/>
      <c r="E199" s="14"/>
      <c r="F199" s="24"/>
      <c r="G199" s="21"/>
      <c r="H199" s="21"/>
      <c r="I199" s="14"/>
      <c r="J199" s="24"/>
      <c r="K199" s="28"/>
      <c r="L199" s="27"/>
      <c r="M199" s="24"/>
      <c r="N199" s="24"/>
      <c r="O199" s="24"/>
      <c r="P199" s="24"/>
      <c r="Q199" s="24"/>
      <c r="R199" s="24"/>
      <c r="S199" s="24"/>
      <c r="T199" s="24"/>
      <c r="U199" s="24"/>
      <c r="V199" s="24"/>
    </row>
    <row r="200">
      <c r="A200" s="24"/>
      <c r="B200" s="25"/>
      <c r="C200" s="26"/>
      <c r="D200" s="24"/>
      <c r="E200" s="14"/>
      <c r="F200" s="24"/>
      <c r="G200" s="21"/>
      <c r="H200" s="21"/>
      <c r="I200" s="14"/>
      <c r="J200" s="24"/>
      <c r="K200" s="28"/>
      <c r="L200" s="27"/>
      <c r="M200" s="24"/>
      <c r="N200" s="24"/>
      <c r="O200" s="24"/>
      <c r="P200" s="24"/>
      <c r="Q200" s="24"/>
      <c r="R200" s="24"/>
      <c r="S200" s="24"/>
      <c r="T200" s="24"/>
      <c r="U200" s="24"/>
      <c r="V200" s="24"/>
    </row>
    <row r="201">
      <c r="A201" s="24"/>
      <c r="B201" s="25"/>
      <c r="C201" s="26"/>
      <c r="D201" s="24"/>
      <c r="E201" s="14"/>
      <c r="F201" s="24"/>
      <c r="G201" s="21"/>
      <c r="H201" s="21"/>
      <c r="I201" s="14"/>
      <c r="J201" s="24"/>
      <c r="K201" s="28"/>
      <c r="L201" s="27"/>
      <c r="M201" s="24"/>
      <c r="N201" s="24"/>
      <c r="O201" s="24"/>
      <c r="P201" s="24"/>
      <c r="Q201" s="24"/>
      <c r="R201" s="24"/>
      <c r="S201" s="24"/>
      <c r="T201" s="24"/>
      <c r="U201" s="24"/>
      <c r="V201" s="24"/>
    </row>
    <row r="202">
      <c r="A202" s="24"/>
      <c r="B202" s="25"/>
      <c r="C202" s="26"/>
      <c r="D202" s="24"/>
      <c r="E202" s="14"/>
      <c r="F202" s="24"/>
      <c r="G202" s="21"/>
      <c r="H202" s="21"/>
      <c r="I202" s="14"/>
      <c r="J202" s="24"/>
      <c r="K202" s="28"/>
      <c r="L202" s="27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>
      <c r="A203" s="24"/>
      <c r="B203" s="25"/>
      <c r="C203" s="26"/>
      <c r="D203" s="24"/>
      <c r="E203" s="14"/>
      <c r="F203" s="24"/>
      <c r="G203" s="21"/>
      <c r="H203" s="21"/>
      <c r="I203" s="14"/>
      <c r="J203" s="24"/>
      <c r="K203" s="28"/>
      <c r="L203" s="27"/>
      <c r="M203" s="24"/>
      <c r="N203" s="24"/>
      <c r="O203" s="24"/>
      <c r="P203" s="24"/>
      <c r="Q203" s="24"/>
      <c r="R203" s="24"/>
      <c r="S203" s="24"/>
      <c r="T203" s="24"/>
      <c r="U203" s="24"/>
      <c r="V203" s="24"/>
    </row>
    <row r="204">
      <c r="A204" s="24"/>
      <c r="B204" s="25"/>
      <c r="C204" s="26"/>
      <c r="D204" s="24"/>
      <c r="E204" s="14"/>
      <c r="F204" s="24"/>
      <c r="G204" s="21"/>
      <c r="H204" s="21"/>
      <c r="I204" s="14"/>
      <c r="J204" s="24"/>
      <c r="K204" s="28"/>
      <c r="L204" s="27"/>
      <c r="M204" s="24"/>
      <c r="N204" s="24"/>
      <c r="O204" s="24"/>
      <c r="P204" s="24"/>
      <c r="Q204" s="24"/>
      <c r="R204" s="24"/>
      <c r="S204" s="24"/>
      <c r="T204" s="24"/>
      <c r="U204" s="24"/>
      <c r="V204" s="24"/>
    </row>
    <row r="205">
      <c r="A205" s="24"/>
      <c r="B205" s="25"/>
      <c r="C205" s="26"/>
      <c r="D205" s="24"/>
      <c r="E205" s="14"/>
      <c r="F205" s="24"/>
      <c r="G205" s="21"/>
      <c r="H205" s="21"/>
      <c r="I205" s="14"/>
      <c r="J205" s="24"/>
      <c r="K205" s="28"/>
      <c r="L205" s="27"/>
      <c r="M205" s="24"/>
      <c r="N205" s="24"/>
      <c r="O205" s="24"/>
      <c r="P205" s="24"/>
      <c r="Q205" s="24"/>
      <c r="R205" s="24"/>
      <c r="S205" s="24"/>
      <c r="T205" s="24"/>
      <c r="U205" s="24"/>
      <c r="V205" s="24"/>
    </row>
    <row r="206">
      <c r="A206" s="24"/>
      <c r="B206" s="25"/>
      <c r="C206" s="26"/>
      <c r="D206" s="24"/>
      <c r="E206" s="14"/>
      <c r="F206" s="24"/>
      <c r="G206" s="21"/>
      <c r="H206" s="21"/>
      <c r="I206" s="14"/>
      <c r="J206" s="24"/>
      <c r="K206" s="28"/>
      <c r="L206" s="27"/>
      <c r="M206" s="24"/>
      <c r="N206" s="24"/>
      <c r="O206" s="24"/>
      <c r="P206" s="24"/>
      <c r="Q206" s="24"/>
      <c r="R206" s="24"/>
      <c r="S206" s="24"/>
      <c r="T206" s="24"/>
      <c r="U206" s="24"/>
      <c r="V206" s="24"/>
    </row>
    <row r="207">
      <c r="A207" s="24"/>
      <c r="B207" s="25"/>
      <c r="C207" s="26"/>
      <c r="D207" s="24"/>
      <c r="E207" s="14"/>
      <c r="F207" s="24"/>
      <c r="G207" s="21"/>
      <c r="H207" s="21"/>
      <c r="I207" s="14"/>
      <c r="J207" s="24"/>
      <c r="K207" s="28"/>
      <c r="L207" s="27"/>
      <c r="M207" s="24"/>
      <c r="N207" s="24"/>
      <c r="O207" s="24"/>
      <c r="P207" s="24"/>
      <c r="Q207" s="24"/>
      <c r="R207" s="24"/>
      <c r="S207" s="24"/>
      <c r="T207" s="24"/>
      <c r="U207" s="24"/>
      <c r="V207" s="24"/>
    </row>
    <row r="208">
      <c r="A208" s="24"/>
      <c r="B208" s="25"/>
      <c r="C208" s="26"/>
      <c r="D208" s="24"/>
      <c r="E208" s="14"/>
      <c r="F208" s="24"/>
      <c r="G208" s="21"/>
      <c r="H208" s="21"/>
      <c r="I208" s="14"/>
      <c r="J208" s="24"/>
      <c r="K208" s="28"/>
      <c r="L208" s="27"/>
      <c r="M208" s="24"/>
      <c r="N208" s="24"/>
      <c r="O208" s="24"/>
      <c r="P208" s="24"/>
      <c r="Q208" s="24"/>
      <c r="R208" s="24"/>
      <c r="S208" s="24"/>
      <c r="T208" s="24"/>
      <c r="U208" s="24"/>
      <c r="V208" s="24"/>
    </row>
    <row r="209">
      <c r="A209" s="24"/>
      <c r="B209" s="25"/>
      <c r="C209" s="26"/>
      <c r="D209" s="24"/>
      <c r="E209" s="14"/>
      <c r="F209" s="24"/>
      <c r="G209" s="21"/>
      <c r="H209" s="21"/>
      <c r="I209" s="14"/>
      <c r="J209" s="24"/>
      <c r="K209" s="28"/>
      <c r="L209" s="27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  <row r="210">
      <c r="A210" s="24"/>
      <c r="B210" s="25"/>
      <c r="C210" s="26"/>
      <c r="D210" s="24"/>
      <c r="E210" s="14"/>
      <c r="F210" s="24"/>
      <c r="G210" s="21"/>
      <c r="H210" s="21"/>
      <c r="I210" s="14"/>
      <c r="J210" s="24"/>
      <c r="K210" s="28"/>
      <c r="L210" s="27"/>
      <c r="M210" s="24"/>
      <c r="N210" s="24"/>
      <c r="O210" s="24"/>
      <c r="P210" s="24"/>
      <c r="Q210" s="24"/>
      <c r="R210" s="24"/>
      <c r="S210" s="24"/>
      <c r="T210" s="24"/>
      <c r="U210" s="24"/>
      <c r="V210" s="24"/>
    </row>
    <row r="211">
      <c r="A211" s="24"/>
      <c r="B211" s="25"/>
      <c r="C211" s="26"/>
      <c r="D211" s="24"/>
      <c r="E211" s="14"/>
      <c r="F211" s="24"/>
      <c r="G211" s="21"/>
      <c r="H211" s="21"/>
      <c r="I211" s="14"/>
      <c r="J211" s="24"/>
      <c r="K211" s="28"/>
      <c r="L211" s="27"/>
      <c r="M211" s="24"/>
      <c r="N211" s="24"/>
      <c r="O211" s="24"/>
      <c r="P211" s="24"/>
      <c r="Q211" s="24"/>
      <c r="R211" s="24"/>
      <c r="S211" s="24"/>
      <c r="T211" s="24"/>
      <c r="U211" s="24"/>
      <c r="V211" s="24"/>
    </row>
    <row r="212">
      <c r="A212" s="24"/>
      <c r="B212" s="25"/>
      <c r="C212" s="26"/>
      <c r="D212" s="24"/>
      <c r="E212" s="14"/>
      <c r="F212" s="24"/>
      <c r="G212" s="21"/>
      <c r="H212" s="21"/>
      <c r="I212" s="14"/>
      <c r="J212" s="24"/>
      <c r="K212" s="28"/>
      <c r="L212" s="27"/>
      <c r="M212" s="24"/>
      <c r="N212" s="24"/>
      <c r="O212" s="24"/>
      <c r="P212" s="24"/>
      <c r="Q212" s="24"/>
      <c r="R212" s="24"/>
      <c r="S212" s="24"/>
      <c r="T212" s="24"/>
      <c r="U212" s="24"/>
      <c r="V212" s="24"/>
    </row>
    <row r="213">
      <c r="A213" s="24"/>
      <c r="B213" s="25"/>
      <c r="C213" s="26"/>
      <c r="D213" s="24"/>
      <c r="E213" s="14"/>
      <c r="F213" s="24"/>
      <c r="G213" s="21"/>
      <c r="H213" s="21"/>
      <c r="I213" s="14"/>
      <c r="J213" s="24"/>
      <c r="K213" s="28"/>
      <c r="L213" s="27"/>
      <c r="M213" s="24"/>
      <c r="N213" s="24"/>
      <c r="O213" s="24"/>
      <c r="P213" s="24"/>
      <c r="Q213" s="24"/>
      <c r="R213" s="24"/>
      <c r="S213" s="24"/>
      <c r="T213" s="24"/>
      <c r="U213" s="24"/>
      <c r="V213" s="24"/>
    </row>
    <row r="214">
      <c r="A214" s="24"/>
      <c r="B214" s="25"/>
      <c r="C214" s="26"/>
      <c r="D214" s="24"/>
      <c r="E214" s="14"/>
      <c r="F214" s="24"/>
      <c r="G214" s="21"/>
      <c r="H214" s="21"/>
      <c r="I214" s="14"/>
      <c r="J214" s="24"/>
      <c r="K214" s="28"/>
      <c r="L214" s="27"/>
      <c r="M214" s="24"/>
      <c r="N214" s="24"/>
      <c r="O214" s="24"/>
      <c r="P214" s="24"/>
      <c r="Q214" s="24"/>
      <c r="R214" s="24"/>
      <c r="S214" s="24"/>
      <c r="T214" s="24"/>
      <c r="U214" s="24"/>
      <c r="V214" s="24"/>
    </row>
    <row r="215">
      <c r="A215" s="24"/>
      <c r="B215" s="25"/>
      <c r="C215" s="26"/>
      <c r="D215" s="24"/>
      <c r="E215" s="14"/>
      <c r="F215" s="24"/>
      <c r="G215" s="21"/>
      <c r="H215" s="21"/>
      <c r="I215" s="14"/>
      <c r="J215" s="24"/>
      <c r="K215" s="28"/>
      <c r="L215" s="27"/>
      <c r="M215" s="24"/>
      <c r="N215" s="24"/>
      <c r="O215" s="24"/>
      <c r="P215" s="24"/>
      <c r="Q215" s="24"/>
      <c r="R215" s="24"/>
      <c r="S215" s="24"/>
      <c r="T215" s="24"/>
      <c r="U215" s="24"/>
      <c r="V215" s="24"/>
    </row>
    <row r="216">
      <c r="A216" s="24"/>
      <c r="B216" s="25"/>
      <c r="C216" s="26"/>
      <c r="D216" s="24"/>
      <c r="E216" s="14"/>
      <c r="F216" s="24"/>
      <c r="G216" s="21"/>
      <c r="H216" s="21"/>
      <c r="I216" s="14"/>
      <c r="J216" s="24"/>
      <c r="K216" s="28"/>
      <c r="L216" s="27"/>
      <c r="M216" s="24"/>
      <c r="N216" s="24"/>
      <c r="O216" s="24"/>
      <c r="P216" s="24"/>
      <c r="Q216" s="24"/>
      <c r="R216" s="24"/>
      <c r="S216" s="24"/>
      <c r="T216" s="24"/>
      <c r="U216" s="24"/>
      <c r="V216" s="24"/>
    </row>
    <row r="217">
      <c r="A217" s="24"/>
      <c r="B217" s="25"/>
      <c r="C217" s="26"/>
      <c r="D217" s="24"/>
      <c r="E217" s="14"/>
      <c r="F217" s="24"/>
      <c r="G217" s="21"/>
      <c r="H217" s="21"/>
      <c r="I217" s="14"/>
      <c r="J217" s="24"/>
      <c r="K217" s="28"/>
      <c r="L217" s="27"/>
      <c r="M217" s="24"/>
      <c r="N217" s="24"/>
      <c r="O217" s="24"/>
      <c r="P217" s="24"/>
      <c r="Q217" s="24"/>
      <c r="R217" s="24"/>
      <c r="S217" s="24"/>
      <c r="T217" s="24"/>
      <c r="U217" s="24"/>
      <c r="V217" s="24"/>
    </row>
    <row r="218">
      <c r="A218" s="24"/>
      <c r="B218" s="25"/>
      <c r="C218" s="26"/>
      <c r="D218" s="24"/>
      <c r="E218" s="14"/>
      <c r="F218" s="24"/>
      <c r="G218" s="21"/>
      <c r="H218" s="21"/>
      <c r="I218" s="14"/>
      <c r="J218" s="24"/>
      <c r="K218" s="28"/>
      <c r="L218" s="27"/>
      <c r="M218" s="24"/>
      <c r="N218" s="24"/>
      <c r="O218" s="24"/>
      <c r="P218" s="24"/>
      <c r="Q218" s="24"/>
      <c r="R218" s="24"/>
      <c r="S218" s="24"/>
      <c r="T218" s="24"/>
      <c r="U218" s="24"/>
      <c r="V218" s="24"/>
    </row>
    <row r="219">
      <c r="A219" s="24"/>
      <c r="B219" s="25"/>
      <c r="C219" s="26"/>
      <c r="D219" s="24"/>
      <c r="E219" s="14"/>
      <c r="F219" s="24"/>
      <c r="G219" s="21"/>
      <c r="H219" s="21"/>
      <c r="I219" s="14"/>
      <c r="J219" s="24"/>
      <c r="K219" s="28"/>
      <c r="L219" s="27"/>
      <c r="M219" s="24"/>
      <c r="N219" s="24"/>
      <c r="O219" s="24"/>
      <c r="P219" s="24"/>
      <c r="Q219" s="24"/>
      <c r="R219" s="24"/>
      <c r="S219" s="24"/>
      <c r="T219" s="24"/>
      <c r="U219" s="24"/>
      <c r="V219" s="24"/>
    </row>
    <row r="220">
      <c r="A220" s="24"/>
      <c r="B220" s="25"/>
      <c r="C220" s="26"/>
      <c r="D220" s="24"/>
      <c r="E220" s="14"/>
      <c r="F220" s="24"/>
      <c r="G220" s="21"/>
      <c r="H220" s="21"/>
      <c r="I220" s="14"/>
      <c r="J220" s="24"/>
      <c r="K220" s="28"/>
      <c r="L220" s="27"/>
      <c r="M220" s="24"/>
      <c r="N220" s="24"/>
      <c r="O220" s="24"/>
      <c r="P220" s="24"/>
      <c r="Q220" s="24"/>
      <c r="R220" s="24"/>
      <c r="S220" s="24"/>
      <c r="T220" s="24"/>
      <c r="U220" s="24"/>
      <c r="V220" s="24"/>
    </row>
    <row r="221">
      <c r="A221" s="24"/>
      <c r="B221" s="25"/>
      <c r="C221" s="26"/>
      <c r="D221" s="24"/>
      <c r="E221" s="14"/>
      <c r="F221" s="24"/>
      <c r="G221" s="21"/>
      <c r="H221" s="21"/>
      <c r="I221" s="14"/>
      <c r="J221" s="24"/>
      <c r="K221" s="28"/>
      <c r="L221" s="27"/>
      <c r="M221" s="24"/>
      <c r="N221" s="24"/>
      <c r="O221" s="24"/>
      <c r="P221" s="24"/>
      <c r="Q221" s="24"/>
      <c r="R221" s="24"/>
      <c r="S221" s="24"/>
      <c r="T221" s="24"/>
      <c r="U221" s="24"/>
      <c r="V221" s="24"/>
    </row>
    <row r="222">
      <c r="A222" s="24"/>
      <c r="B222" s="25"/>
      <c r="C222" s="26"/>
      <c r="D222" s="24"/>
      <c r="E222" s="14"/>
      <c r="F222" s="24"/>
      <c r="G222" s="21"/>
      <c r="H222" s="21"/>
      <c r="I222" s="14"/>
      <c r="J222" s="24"/>
      <c r="K222" s="28"/>
      <c r="L222" s="27"/>
      <c r="M222" s="24"/>
      <c r="N222" s="24"/>
      <c r="O222" s="24"/>
      <c r="P222" s="24"/>
      <c r="Q222" s="24"/>
      <c r="R222" s="24"/>
      <c r="S222" s="24"/>
      <c r="T222" s="24"/>
      <c r="U222" s="24"/>
      <c r="V222" s="24"/>
    </row>
    <row r="223">
      <c r="A223" s="24"/>
      <c r="B223" s="25"/>
      <c r="C223" s="26"/>
      <c r="D223" s="24"/>
      <c r="E223" s="14"/>
      <c r="F223" s="24"/>
      <c r="G223" s="21"/>
      <c r="H223" s="21"/>
      <c r="I223" s="14"/>
      <c r="J223" s="24"/>
      <c r="K223" s="28"/>
      <c r="L223" s="27"/>
      <c r="M223" s="24"/>
      <c r="N223" s="24"/>
      <c r="O223" s="24"/>
      <c r="P223" s="24"/>
      <c r="Q223" s="24"/>
      <c r="R223" s="24"/>
      <c r="S223" s="24"/>
      <c r="T223" s="24"/>
      <c r="U223" s="24"/>
      <c r="V223" s="24"/>
    </row>
    <row r="224">
      <c r="A224" s="24"/>
      <c r="B224" s="25"/>
      <c r="C224" s="26"/>
      <c r="D224" s="24"/>
      <c r="E224" s="14"/>
      <c r="F224" s="24"/>
      <c r="G224" s="21"/>
      <c r="H224" s="21"/>
      <c r="I224" s="14"/>
      <c r="J224" s="24"/>
      <c r="K224" s="28"/>
      <c r="L224" s="27"/>
      <c r="M224" s="24"/>
      <c r="N224" s="24"/>
      <c r="O224" s="24"/>
      <c r="P224" s="24"/>
      <c r="Q224" s="24"/>
      <c r="R224" s="24"/>
      <c r="S224" s="24"/>
      <c r="T224" s="24"/>
      <c r="U224" s="24"/>
      <c r="V224" s="24"/>
    </row>
    <row r="225">
      <c r="A225" s="24"/>
      <c r="B225" s="25"/>
      <c r="C225" s="26"/>
      <c r="D225" s="24"/>
      <c r="E225" s="14"/>
      <c r="F225" s="24"/>
      <c r="G225" s="21"/>
      <c r="H225" s="21"/>
      <c r="I225" s="14"/>
      <c r="J225" s="24"/>
      <c r="K225" s="28"/>
      <c r="L225" s="27"/>
      <c r="M225" s="24"/>
      <c r="N225" s="24"/>
      <c r="O225" s="24"/>
      <c r="P225" s="24"/>
      <c r="Q225" s="24"/>
      <c r="R225" s="24"/>
      <c r="S225" s="24"/>
      <c r="T225" s="24"/>
      <c r="U225" s="24"/>
      <c r="V225" s="24"/>
    </row>
    <row r="226">
      <c r="A226" s="24"/>
      <c r="B226" s="25"/>
      <c r="C226" s="26"/>
      <c r="D226" s="24"/>
      <c r="E226" s="14"/>
      <c r="F226" s="24"/>
      <c r="G226" s="21"/>
      <c r="H226" s="21"/>
      <c r="I226" s="14"/>
      <c r="J226" s="24"/>
      <c r="K226" s="28"/>
      <c r="L226" s="27"/>
      <c r="M226" s="24"/>
      <c r="N226" s="24"/>
      <c r="O226" s="24"/>
      <c r="P226" s="24"/>
      <c r="Q226" s="24"/>
      <c r="R226" s="24"/>
      <c r="S226" s="24"/>
      <c r="T226" s="24"/>
      <c r="U226" s="24"/>
      <c r="V226" s="24"/>
    </row>
    <row r="227">
      <c r="A227" s="24"/>
      <c r="B227" s="25"/>
      <c r="C227" s="26"/>
      <c r="D227" s="24"/>
      <c r="E227" s="14"/>
      <c r="F227" s="24"/>
      <c r="G227" s="21"/>
      <c r="H227" s="21"/>
      <c r="I227" s="14"/>
      <c r="J227" s="24"/>
      <c r="K227" s="28"/>
      <c r="L227" s="27"/>
      <c r="M227" s="24"/>
      <c r="N227" s="24"/>
      <c r="O227" s="24"/>
      <c r="P227" s="24"/>
      <c r="Q227" s="24"/>
      <c r="R227" s="24"/>
      <c r="S227" s="24"/>
      <c r="T227" s="24"/>
      <c r="U227" s="24"/>
      <c r="V227" s="24"/>
    </row>
    <row r="228">
      <c r="A228" s="24"/>
      <c r="B228" s="25"/>
      <c r="C228" s="26"/>
      <c r="D228" s="24"/>
      <c r="E228" s="14"/>
      <c r="F228" s="24"/>
      <c r="G228" s="21"/>
      <c r="H228" s="21"/>
      <c r="I228" s="14"/>
      <c r="J228" s="24"/>
      <c r="K228" s="28"/>
      <c r="L228" s="27"/>
      <c r="M228" s="24"/>
      <c r="N228" s="24"/>
      <c r="O228" s="24"/>
      <c r="P228" s="24"/>
      <c r="Q228" s="24"/>
      <c r="R228" s="24"/>
      <c r="S228" s="24"/>
      <c r="T228" s="24"/>
      <c r="U228" s="24"/>
      <c r="V228" s="24"/>
    </row>
    <row r="229">
      <c r="A229" s="24"/>
      <c r="B229" s="25"/>
      <c r="C229" s="26"/>
      <c r="D229" s="24"/>
      <c r="E229" s="14"/>
      <c r="F229" s="24"/>
      <c r="G229" s="21"/>
      <c r="H229" s="21"/>
      <c r="I229" s="14"/>
      <c r="J229" s="24"/>
      <c r="K229" s="28"/>
      <c r="L229" s="27"/>
      <c r="M229" s="24"/>
      <c r="N229" s="24"/>
      <c r="O229" s="24"/>
      <c r="P229" s="24"/>
      <c r="Q229" s="24"/>
      <c r="R229" s="24"/>
      <c r="S229" s="24"/>
      <c r="T229" s="24"/>
      <c r="U229" s="24"/>
      <c r="V229" s="24"/>
    </row>
    <row r="230">
      <c r="A230" s="24"/>
      <c r="B230" s="25"/>
      <c r="C230" s="26"/>
      <c r="D230" s="24"/>
      <c r="E230" s="14"/>
      <c r="F230" s="24"/>
      <c r="G230" s="21"/>
      <c r="H230" s="21"/>
      <c r="I230" s="14"/>
      <c r="J230" s="24"/>
      <c r="K230" s="28"/>
      <c r="L230" s="27"/>
      <c r="M230" s="24"/>
      <c r="N230" s="24"/>
      <c r="O230" s="24"/>
      <c r="P230" s="24"/>
      <c r="Q230" s="24"/>
      <c r="R230" s="24"/>
      <c r="S230" s="24"/>
      <c r="T230" s="24"/>
      <c r="U230" s="24"/>
      <c r="V230" s="24"/>
    </row>
    <row r="231">
      <c r="A231" s="24"/>
      <c r="B231" s="25"/>
      <c r="C231" s="26"/>
      <c r="D231" s="24"/>
      <c r="E231" s="14"/>
      <c r="F231" s="24"/>
      <c r="G231" s="21"/>
      <c r="H231" s="21"/>
      <c r="I231" s="14"/>
      <c r="J231" s="24"/>
      <c r="K231" s="28"/>
      <c r="L231" s="27"/>
      <c r="M231" s="24"/>
      <c r="N231" s="24"/>
      <c r="O231" s="24"/>
      <c r="P231" s="24"/>
      <c r="Q231" s="24"/>
      <c r="R231" s="24"/>
      <c r="S231" s="24"/>
      <c r="T231" s="24"/>
      <c r="U231" s="24"/>
      <c r="V231" s="24"/>
    </row>
    <row r="232">
      <c r="A232" s="24"/>
      <c r="B232" s="25"/>
      <c r="C232" s="26"/>
      <c r="D232" s="24"/>
      <c r="E232" s="14"/>
      <c r="F232" s="24"/>
      <c r="G232" s="21"/>
      <c r="H232" s="21"/>
      <c r="I232" s="14"/>
      <c r="J232" s="24"/>
      <c r="K232" s="28"/>
      <c r="L232" s="27"/>
      <c r="M232" s="24"/>
      <c r="N232" s="24"/>
      <c r="O232" s="24"/>
      <c r="P232" s="24"/>
      <c r="Q232" s="24"/>
      <c r="R232" s="24"/>
      <c r="S232" s="24"/>
      <c r="T232" s="24"/>
      <c r="U232" s="24"/>
      <c r="V232" s="24"/>
    </row>
    <row r="233">
      <c r="A233" s="24"/>
      <c r="B233" s="25"/>
      <c r="C233" s="26"/>
      <c r="D233" s="24"/>
      <c r="E233" s="14"/>
      <c r="F233" s="24"/>
      <c r="G233" s="21"/>
      <c r="H233" s="21"/>
      <c r="I233" s="14"/>
      <c r="J233" s="24"/>
      <c r="K233" s="28"/>
      <c r="L233" s="27"/>
      <c r="M233" s="24"/>
      <c r="N233" s="24"/>
      <c r="O233" s="24"/>
      <c r="P233" s="24"/>
      <c r="Q233" s="24"/>
      <c r="R233" s="24"/>
      <c r="S233" s="24"/>
      <c r="T233" s="24"/>
      <c r="U233" s="24"/>
      <c r="V233" s="24"/>
    </row>
    <row r="234">
      <c r="A234" s="24"/>
      <c r="B234" s="25"/>
      <c r="C234" s="26"/>
      <c r="D234" s="24"/>
      <c r="E234" s="14"/>
      <c r="F234" s="24"/>
      <c r="G234" s="21"/>
      <c r="H234" s="21"/>
      <c r="I234" s="14"/>
      <c r="J234" s="24"/>
      <c r="K234" s="28"/>
      <c r="L234" s="27"/>
      <c r="M234" s="24"/>
      <c r="N234" s="24"/>
      <c r="O234" s="24"/>
      <c r="P234" s="24"/>
      <c r="Q234" s="24"/>
      <c r="R234" s="24"/>
      <c r="S234" s="24"/>
      <c r="T234" s="24"/>
      <c r="U234" s="24"/>
      <c r="V234" s="24"/>
    </row>
    <row r="235">
      <c r="A235" s="24"/>
      <c r="B235" s="25"/>
      <c r="C235" s="26"/>
      <c r="D235" s="24"/>
      <c r="E235" s="14"/>
      <c r="F235" s="24"/>
      <c r="G235" s="21"/>
      <c r="H235" s="21"/>
      <c r="I235" s="14"/>
      <c r="J235" s="24"/>
      <c r="K235" s="28"/>
      <c r="L235" s="27"/>
      <c r="M235" s="24"/>
      <c r="N235" s="24"/>
      <c r="O235" s="24"/>
      <c r="P235" s="24"/>
      <c r="Q235" s="24"/>
      <c r="R235" s="24"/>
      <c r="S235" s="24"/>
      <c r="T235" s="24"/>
      <c r="U235" s="24"/>
      <c r="V235" s="24"/>
    </row>
    <row r="236">
      <c r="A236" s="24"/>
      <c r="B236" s="25"/>
      <c r="C236" s="26"/>
      <c r="D236" s="24"/>
      <c r="E236" s="14"/>
      <c r="F236" s="24"/>
      <c r="G236" s="21"/>
      <c r="H236" s="21"/>
      <c r="I236" s="14"/>
      <c r="J236" s="24"/>
      <c r="K236" s="28"/>
      <c r="L236" s="27"/>
      <c r="M236" s="24"/>
      <c r="N236" s="24"/>
      <c r="O236" s="24"/>
      <c r="P236" s="24"/>
      <c r="Q236" s="24"/>
      <c r="R236" s="24"/>
      <c r="S236" s="24"/>
      <c r="T236" s="24"/>
      <c r="U236" s="24"/>
      <c r="V236" s="24"/>
    </row>
    <row r="237">
      <c r="A237" s="24"/>
      <c r="B237" s="25"/>
      <c r="C237" s="26"/>
      <c r="D237" s="24"/>
      <c r="E237" s="14"/>
      <c r="F237" s="24"/>
      <c r="G237" s="21"/>
      <c r="H237" s="21"/>
      <c r="I237" s="14"/>
      <c r="J237" s="24"/>
      <c r="K237" s="28"/>
      <c r="L237" s="27"/>
      <c r="M237" s="24"/>
      <c r="N237" s="24"/>
      <c r="O237" s="24"/>
      <c r="P237" s="24"/>
      <c r="Q237" s="24"/>
      <c r="R237" s="24"/>
      <c r="S237" s="24"/>
      <c r="T237" s="24"/>
      <c r="U237" s="24"/>
      <c r="V237" s="24"/>
    </row>
    <row r="238">
      <c r="A238" s="24"/>
      <c r="B238" s="25"/>
      <c r="C238" s="26"/>
      <c r="D238" s="24"/>
      <c r="E238" s="14"/>
      <c r="F238" s="24"/>
      <c r="G238" s="21"/>
      <c r="H238" s="21"/>
      <c r="I238" s="14"/>
      <c r="J238" s="24"/>
      <c r="K238" s="28"/>
      <c r="L238" s="27"/>
      <c r="M238" s="24"/>
      <c r="N238" s="24"/>
      <c r="O238" s="24"/>
      <c r="P238" s="24"/>
      <c r="Q238" s="24"/>
      <c r="R238" s="24"/>
      <c r="S238" s="24"/>
      <c r="T238" s="24"/>
      <c r="U238" s="24"/>
      <c r="V238" s="24"/>
    </row>
    <row r="239">
      <c r="A239" s="24"/>
      <c r="B239" s="25"/>
      <c r="C239" s="26"/>
      <c r="D239" s="24"/>
      <c r="E239" s="14"/>
      <c r="F239" s="24"/>
      <c r="G239" s="21"/>
      <c r="H239" s="21"/>
      <c r="I239" s="14"/>
      <c r="J239" s="24"/>
      <c r="K239" s="28"/>
      <c r="L239" s="27"/>
      <c r="M239" s="24"/>
      <c r="N239" s="24"/>
      <c r="O239" s="24"/>
      <c r="P239" s="24"/>
      <c r="Q239" s="24"/>
      <c r="R239" s="24"/>
      <c r="S239" s="24"/>
      <c r="T239" s="24"/>
      <c r="U239" s="24"/>
      <c r="V239" s="24"/>
    </row>
    <row r="240">
      <c r="A240" s="24"/>
      <c r="B240" s="25"/>
      <c r="C240" s="26"/>
      <c r="D240" s="24"/>
      <c r="E240" s="14"/>
      <c r="F240" s="24"/>
      <c r="G240" s="21"/>
      <c r="H240" s="21"/>
      <c r="I240" s="14"/>
      <c r="J240" s="24"/>
      <c r="K240" s="28"/>
      <c r="L240" s="27"/>
      <c r="M240" s="24"/>
      <c r="N240" s="24"/>
      <c r="O240" s="24"/>
      <c r="P240" s="24"/>
      <c r="Q240" s="24"/>
      <c r="R240" s="24"/>
      <c r="S240" s="24"/>
      <c r="T240" s="24"/>
      <c r="U240" s="24"/>
      <c r="V240" s="24"/>
    </row>
    <row r="241">
      <c r="A241" s="24"/>
      <c r="B241" s="25"/>
      <c r="C241" s="26"/>
      <c r="D241" s="24"/>
      <c r="E241" s="14"/>
      <c r="F241" s="24"/>
      <c r="G241" s="21"/>
      <c r="H241" s="21"/>
      <c r="I241" s="14"/>
      <c r="J241" s="24"/>
      <c r="K241" s="28"/>
      <c r="L241" s="27"/>
      <c r="M241" s="24"/>
      <c r="N241" s="24"/>
      <c r="O241" s="24"/>
      <c r="P241" s="24"/>
      <c r="Q241" s="24"/>
      <c r="R241" s="24"/>
      <c r="S241" s="24"/>
      <c r="T241" s="24"/>
      <c r="U241" s="24"/>
      <c r="V241" s="24"/>
    </row>
    <row r="242">
      <c r="A242" s="24"/>
      <c r="B242" s="25"/>
      <c r="C242" s="26"/>
      <c r="D242" s="24"/>
      <c r="E242" s="14"/>
      <c r="F242" s="24"/>
      <c r="G242" s="21"/>
      <c r="H242" s="21"/>
      <c r="I242" s="14"/>
      <c r="J242" s="24"/>
      <c r="K242" s="28"/>
      <c r="L242" s="27"/>
      <c r="M242" s="24"/>
      <c r="N242" s="24"/>
      <c r="O242" s="24"/>
      <c r="P242" s="24"/>
      <c r="Q242" s="24"/>
      <c r="R242" s="24"/>
      <c r="S242" s="24"/>
      <c r="T242" s="24"/>
      <c r="U242" s="24"/>
      <c r="V242" s="24"/>
    </row>
    <row r="243">
      <c r="A243" s="24"/>
      <c r="B243" s="25"/>
      <c r="C243" s="26"/>
      <c r="D243" s="24"/>
      <c r="E243" s="14"/>
      <c r="F243" s="24"/>
      <c r="G243" s="21"/>
      <c r="H243" s="21"/>
      <c r="I243" s="14"/>
      <c r="J243" s="24"/>
      <c r="K243" s="28"/>
      <c r="L243" s="27"/>
      <c r="M243" s="24"/>
      <c r="N243" s="24"/>
      <c r="O243" s="24"/>
      <c r="P243" s="24"/>
      <c r="Q243" s="24"/>
      <c r="R243" s="24"/>
      <c r="S243" s="24"/>
      <c r="T243" s="24"/>
      <c r="U243" s="24"/>
      <c r="V243" s="24"/>
    </row>
    <row r="244">
      <c r="A244" s="24"/>
      <c r="B244" s="25"/>
      <c r="C244" s="26"/>
      <c r="D244" s="24"/>
      <c r="E244" s="14"/>
      <c r="F244" s="24"/>
      <c r="G244" s="21"/>
      <c r="H244" s="21"/>
      <c r="I244" s="14"/>
      <c r="J244" s="24"/>
      <c r="K244" s="28"/>
      <c r="L244" s="27"/>
      <c r="M244" s="24"/>
      <c r="N244" s="24"/>
      <c r="O244" s="24"/>
      <c r="P244" s="24"/>
      <c r="Q244" s="24"/>
      <c r="R244" s="24"/>
      <c r="S244" s="24"/>
      <c r="T244" s="24"/>
      <c r="U244" s="24"/>
      <c r="V244" s="24"/>
    </row>
    <row r="245">
      <c r="A245" s="24"/>
      <c r="B245" s="25"/>
      <c r="C245" s="26"/>
      <c r="D245" s="24"/>
      <c r="E245" s="14"/>
      <c r="F245" s="24"/>
      <c r="G245" s="21"/>
      <c r="H245" s="21"/>
      <c r="I245" s="14"/>
      <c r="J245" s="24"/>
      <c r="K245" s="28"/>
      <c r="L245" s="27"/>
      <c r="M245" s="24"/>
      <c r="N245" s="24"/>
      <c r="O245" s="24"/>
      <c r="P245" s="24"/>
      <c r="Q245" s="24"/>
      <c r="R245" s="24"/>
      <c r="S245" s="24"/>
      <c r="T245" s="24"/>
      <c r="U245" s="24"/>
      <c r="V245" s="24"/>
    </row>
    <row r="246">
      <c r="A246" s="24"/>
      <c r="B246" s="25"/>
      <c r="C246" s="26"/>
      <c r="D246" s="24"/>
      <c r="E246" s="14"/>
      <c r="F246" s="24"/>
      <c r="G246" s="21"/>
      <c r="H246" s="21"/>
      <c r="I246" s="14"/>
      <c r="J246" s="24"/>
      <c r="K246" s="28"/>
      <c r="L246" s="27"/>
      <c r="M246" s="24"/>
      <c r="N246" s="24"/>
      <c r="O246" s="24"/>
      <c r="P246" s="24"/>
      <c r="Q246" s="24"/>
      <c r="R246" s="24"/>
      <c r="S246" s="24"/>
      <c r="T246" s="24"/>
      <c r="U246" s="24"/>
      <c r="V246" s="24"/>
    </row>
    <row r="247">
      <c r="A247" s="24"/>
      <c r="B247" s="25"/>
      <c r="C247" s="26"/>
      <c r="D247" s="24"/>
      <c r="E247" s="14"/>
      <c r="F247" s="24"/>
      <c r="G247" s="21"/>
      <c r="H247" s="21"/>
      <c r="I247" s="14"/>
      <c r="J247" s="24"/>
      <c r="K247" s="28"/>
      <c r="L247" s="27"/>
      <c r="M247" s="24"/>
      <c r="N247" s="24"/>
      <c r="O247" s="24"/>
      <c r="P247" s="24"/>
      <c r="Q247" s="24"/>
      <c r="R247" s="24"/>
      <c r="S247" s="24"/>
      <c r="T247" s="24"/>
      <c r="U247" s="24"/>
      <c r="V247" s="24"/>
    </row>
    <row r="248">
      <c r="A248" s="24"/>
      <c r="B248" s="25"/>
      <c r="C248" s="26"/>
      <c r="D248" s="24"/>
      <c r="E248" s="14"/>
      <c r="F248" s="24"/>
      <c r="G248" s="21"/>
      <c r="H248" s="21"/>
      <c r="I248" s="14"/>
      <c r="J248" s="24"/>
      <c r="K248" s="28"/>
      <c r="L248" s="27"/>
      <c r="M248" s="24"/>
      <c r="N248" s="24"/>
      <c r="O248" s="24"/>
      <c r="P248" s="24"/>
      <c r="Q248" s="24"/>
      <c r="R248" s="24"/>
      <c r="S248" s="24"/>
      <c r="T248" s="24"/>
      <c r="U248" s="24"/>
      <c r="V248" s="24"/>
    </row>
    <row r="249">
      <c r="A249" s="24"/>
      <c r="B249" s="25"/>
      <c r="C249" s="26"/>
      <c r="D249" s="24"/>
      <c r="E249" s="14"/>
      <c r="F249" s="24"/>
      <c r="G249" s="21"/>
      <c r="H249" s="21"/>
      <c r="I249" s="14"/>
      <c r="J249" s="24"/>
      <c r="K249" s="28"/>
      <c r="L249" s="27"/>
      <c r="M249" s="24"/>
      <c r="N249" s="24"/>
      <c r="O249" s="24"/>
      <c r="P249" s="24"/>
      <c r="Q249" s="24"/>
      <c r="R249" s="24"/>
      <c r="S249" s="24"/>
      <c r="T249" s="24"/>
      <c r="U249" s="24"/>
      <c r="V249" s="24"/>
    </row>
    <row r="250">
      <c r="A250" s="24"/>
      <c r="B250" s="25"/>
      <c r="C250" s="26"/>
      <c r="D250" s="24"/>
      <c r="E250" s="14"/>
      <c r="F250" s="24"/>
      <c r="G250" s="21"/>
      <c r="H250" s="21"/>
      <c r="I250" s="14"/>
      <c r="J250" s="24"/>
      <c r="K250" s="28"/>
      <c r="L250" s="27"/>
      <c r="M250" s="24"/>
      <c r="N250" s="24"/>
      <c r="O250" s="24"/>
      <c r="P250" s="24"/>
      <c r="Q250" s="24"/>
      <c r="R250" s="24"/>
      <c r="S250" s="24"/>
      <c r="T250" s="24"/>
      <c r="U250" s="24"/>
      <c r="V250" s="24"/>
    </row>
    <row r="251">
      <c r="A251" s="24"/>
      <c r="B251" s="25"/>
      <c r="C251" s="26"/>
      <c r="D251" s="24"/>
      <c r="E251" s="14"/>
      <c r="F251" s="24"/>
      <c r="G251" s="21"/>
      <c r="H251" s="21"/>
      <c r="I251" s="14"/>
      <c r="J251" s="24"/>
      <c r="K251" s="28"/>
      <c r="L251" s="27"/>
      <c r="M251" s="24"/>
      <c r="N251" s="24"/>
      <c r="O251" s="24"/>
      <c r="P251" s="24"/>
      <c r="Q251" s="24"/>
      <c r="R251" s="24"/>
      <c r="S251" s="24"/>
      <c r="T251" s="24"/>
      <c r="U251" s="24"/>
      <c r="V251" s="24"/>
    </row>
    <row r="252">
      <c r="A252" s="24"/>
      <c r="B252" s="25"/>
      <c r="C252" s="26"/>
      <c r="D252" s="24"/>
      <c r="E252" s="14"/>
      <c r="F252" s="24"/>
      <c r="G252" s="21"/>
      <c r="H252" s="21"/>
      <c r="I252" s="14"/>
      <c r="J252" s="24"/>
      <c r="K252" s="28"/>
      <c r="L252" s="27"/>
      <c r="M252" s="24"/>
      <c r="N252" s="24"/>
      <c r="O252" s="24"/>
      <c r="P252" s="24"/>
      <c r="Q252" s="24"/>
      <c r="R252" s="24"/>
      <c r="S252" s="24"/>
      <c r="T252" s="24"/>
      <c r="U252" s="24"/>
      <c r="V252" s="24"/>
    </row>
    <row r="253">
      <c r="A253" s="24"/>
      <c r="B253" s="25"/>
      <c r="C253" s="26"/>
      <c r="D253" s="24"/>
      <c r="E253" s="14"/>
      <c r="F253" s="24"/>
      <c r="G253" s="21"/>
      <c r="H253" s="21"/>
      <c r="I253" s="14"/>
      <c r="J253" s="24"/>
      <c r="K253" s="28"/>
      <c r="L253" s="27"/>
      <c r="M253" s="24"/>
      <c r="N253" s="24"/>
      <c r="O253" s="24"/>
      <c r="P253" s="24"/>
      <c r="Q253" s="24"/>
      <c r="R253" s="24"/>
      <c r="S253" s="24"/>
      <c r="T253" s="24"/>
      <c r="U253" s="24"/>
      <c r="V253" s="24"/>
    </row>
    <row r="254">
      <c r="A254" s="24"/>
      <c r="B254" s="25"/>
      <c r="C254" s="26"/>
      <c r="D254" s="24"/>
      <c r="E254" s="14"/>
      <c r="F254" s="24"/>
      <c r="G254" s="21"/>
      <c r="H254" s="21"/>
      <c r="I254" s="14"/>
      <c r="J254" s="24"/>
      <c r="K254" s="28"/>
      <c r="L254" s="27"/>
      <c r="M254" s="24"/>
      <c r="N254" s="24"/>
      <c r="O254" s="24"/>
      <c r="P254" s="24"/>
      <c r="Q254" s="24"/>
      <c r="R254" s="24"/>
      <c r="S254" s="24"/>
      <c r="T254" s="24"/>
      <c r="U254" s="24"/>
      <c r="V254" s="24"/>
    </row>
    <row r="255">
      <c r="A255" s="24"/>
      <c r="B255" s="25"/>
      <c r="C255" s="26"/>
      <c r="D255" s="24"/>
      <c r="E255" s="14"/>
      <c r="F255" s="24"/>
      <c r="G255" s="21"/>
      <c r="H255" s="21"/>
      <c r="I255" s="14"/>
      <c r="J255" s="24"/>
      <c r="K255" s="28"/>
      <c r="L255" s="27"/>
      <c r="M255" s="24"/>
      <c r="N255" s="24"/>
      <c r="O255" s="24"/>
      <c r="P255" s="24"/>
      <c r="Q255" s="24"/>
      <c r="R255" s="24"/>
      <c r="S255" s="24"/>
      <c r="T255" s="24"/>
      <c r="U255" s="24"/>
      <c r="V255" s="24"/>
    </row>
    <row r="256">
      <c r="A256" s="24"/>
      <c r="B256" s="25"/>
      <c r="C256" s="26"/>
      <c r="D256" s="24"/>
      <c r="E256" s="14"/>
      <c r="F256" s="24"/>
      <c r="G256" s="21"/>
      <c r="H256" s="21"/>
      <c r="I256" s="14"/>
      <c r="J256" s="24"/>
      <c r="K256" s="28"/>
      <c r="L256" s="27"/>
      <c r="M256" s="24"/>
      <c r="N256" s="24"/>
      <c r="O256" s="24"/>
      <c r="P256" s="24"/>
      <c r="Q256" s="24"/>
      <c r="R256" s="24"/>
      <c r="S256" s="24"/>
      <c r="T256" s="24"/>
      <c r="U256" s="24"/>
      <c r="V256" s="24"/>
    </row>
    <row r="257">
      <c r="A257" s="24"/>
      <c r="B257" s="25"/>
      <c r="C257" s="26"/>
      <c r="D257" s="24"/>
      <c r="E257" s="14"/>
      <c r="F257" s="24"/>
      <c r="G257" s="21"/>
      <c r="H257" s="21"/>
      <c r="I257" s="14"/>
      <c r="J257" s="24"/>
      <c r="K257" s="28"/>
      <c r="L257" s="27"/>
      <c r="M257" s="24"/>
      <c r="N257" s="24"/>
      <c r="O257" s="24"/>
      <c r="P257" s="24"/>
      <c r="Q257" s="24"/>
      <c r="R257" s="24"/>
      <c r="S257" s="24"/>
      <c r="T257" s="24"/>
      <c r="U257" s="24"/>
      <c r="V257" s="24"/>
    </row>
    <row r="258">
      <c r="A258" s="24"/>
      <c r="B258" s="25"/>
      <c r="C258" s="26"/>
      <c r="D258" s="24"/>
      <c r="E258" s="14"/>
      <c r="F258" s="24"/>
      <c r="G258" s="21"/>
      <c r="H258" s="21"/>
      <c r="I258" s="14"/>
      <c r="J258" s="24"/>
      <c r="K258" s="28"/>
      <c r="L258" s="27"/>
      <c r="M258" s="24"/>
      <c r="N258" s="24"/>
      <c r="O258" s="24"/>
      <c r="P258" s="24"/>
      <c r="Q258" s="24"/>
      <c r="R258" s="24"/>
      <c r="S258" s="24"/>
      <c r="T258" s="24"/>
      <c r="U258" s="24"/>
      <c r="V258" s="24"/>
    </row>
    <row r="259">
      <c r="A259" s="24"/>
      <c r="B259" s="25"/>
      <c r="C259" s="26"/>
      <c r="D259" s="24"/>
      <c r="E259" s="14"/>
      <c r="F259" s="24"/>
      <c r="G259" s="21"/>
      <c r="H259" s="21"/>
      <c r="I259" s="14"/>
      <c r="J259" s="24"/>
      <c r="K259" s="28"/>
      <c r="L259" s="27"/>
      <c r="M259" s="24"/>
      <c r="N259" s="24"/>
      <c r="O259" s="24"/>
      <c r="P259" s="24"/>
      <c r="Q259" s="24"/>
      <c r="R259" s="24"/>
      <c r="S259" s="24"/>
      <c r="T259" s="24"/>
      <c r="U259" s="24"/>
      <c r="V259" s="24"/>
    </row>
    <row r="260">
      <c r="A260" s="24"/>
      <c r="B260" s="25"/>
      <c r="C260" s="26"/>
      <c r="D260" s="24"/>
      <c r="E260" s="14"/>
      <c r="F260" s="24"/>
      <c r="G260" s="21"/>
      <c r="H260" s="21"/>
      <c r="I260" s="14"/>
      <c r="J260" s="24"/>
      <c r="K260" s="28"/>
      <c r="L260" s="27"/>
      <c r="M260" s="24"/>
      <c r="N260" s="24"/>
      <c r="O260" s="24"/>
      <c r="P260" s="24"/>
      <c r="Q260" s="24"/>
      <c r="R260" s="24"/>
      <c r="S260" s="24"/>
      <c r="T260" s="24"/>
      <c r="U260" s="24"/>
      <c r="V260" s="24"/>
    </row>
    <row r="261">
      <c r="A261" s="24"/>
      <c r="B261" s="25"/>
      <c r="C261" s="26"/>
      <c r="D261" s="24"/>
      <c r="E261" s="14"/>
      <c r="F261" s="24"/>
      <c r="G261" s="21"/>
      <c r="H261" s="21"/>
      <c r="I261" s="14"/>
      <c r="J261" s="24"/>
      <c r="K261" s="28"/>
      <c r="L261" s="27"/>
      <c r="M261" s="24"/>
      <c r="N261" s="24"/>
      <c r="O261" s="24"/>
      <c r="P261" s="24"/>
      <c r="Q261" s="24"/>
      <c r="R261" s="24"/>
      <c r="S261" s="24"/>
      <c r="T261" s="24"/>
      <c r="U261" s="24"/>
      <c r="V261" s="24"/>
    </row>
    <row r="262">
      <c r="A262" s="24"/>
      <c r="B262" s="25"/>
      <c r="C262" s="26"/>
      <c r="D262" s="24"/>
      <c r="E262" s="14"/>
      <c r="F262" s="24"/>
      <c r="G262" s="21"/>
      <c r="H262" s="21"/>
      <c r="I262" s="14"/>
      <c r="J262" s="24"/>
      <c r="K262" s="28"/>
      <c r="L262" s="27"/>
      <c r="M262" s="24"/>
      <c r="N262" s="24"/>
      <c r="O262" s="24"/>
      <c r="P262" s="24"/>
      <c r="Q262" s="24"/>
      <c r="R262" s="24"/>
      <c r="S262" s="24"/>
      <c r="T262" s="24"/>
      <c r="U262" s="24"/>
      <c r="V262" s="24"/>
    </row>
    <row r="263">
      <c r="A263" s="24"/>
      <c r="B263" s="25"/>
      <c r="C263" s="26"/>
      <c r="D263" s="24"/>
      <c r="E263" s="14"/>
      <c r="F263" s="24"/>
      <c r="G263" s="21"/>
      <c r="H263" s="21"/>
      <c r="I263" s="14"/>
      <c r="J263" s="24"/>
      <c r="K263" s="28"/>
      <c r="L263" s="27"/>
      <c r="M263" s="24"/>
      <c r="N263" s="24"/>
      <c r="O263" s="24"/>
      <c r="P263" s="24"/>
      <c r="Q263" s="24"/>
      <c r="R263" s="24"/>
      <c r="S263" s="24"/>
      <c r="T263" s="24"/>
      <c r="U263" s="24"/>
      <c r="V263" s="24"/>
    </row>
    <row r="264">
      <c r="A264" s="24"/>
      <c r="B264" s="25"/>
      <c r="C264" s="26"/>
      <c r="D264" s="24"/>
      <c r="E264" s="14"/>
      <c r="F264" s="24"/>
      <c r="G264" s="21"/>
      <c r="H264" s="21"/>
      <c r="I264" s="14"/>
      <c r="J264" s="24"/>
      <c r="K264" s="28"/>
      <c r="L264" s="27"/>
      <c r="M264" s="24"/>
      <c r="N264" s="24"/>
      <c r="O264" s="24"/>
      <c r="P264" s="24"/>
      <c r="Q264" s="24"/>
      <c r="R264" s="24"/>
      <c r="S264" s="24"/>
      <c r="T264" s="24"/>
      <c r="U264" s="24"/>
      <c r="V264" s="24"/>
    </row>
    <row r="265">
      <c r="A265" s="24"/>
      <c r="B265" s="25"/>
      <c r="C265" s="26"/>
      <c r="D265" s="24"/>
      <c r="E265" s="14"/>
      <c r="F265" s="24"/>
      <c r="G265" s="21"/>
      <c r="H265" s="21"/>
      <c r="I265" s="14"/>
      <c r="J265" s="24"/>
      <c r="K265" s="28"/>
      <c r="L265" s="27"/>
      <c r="M265" s="24"/>
      <c r="N265" s="24"/>
      <c r="O265" s="24"/>
      <c r="P265" s="24"/>
      <c r="Q265" s="24"/>
      <c r="R265" s="24"/>
      <c r="S265" s="24"/>
      <c r="T265" s="24"/>
      <c r="U265" s="24"/>
      <c r="V265" s="24"/>
    </row>
    <row r="266">
      <c r="A266" s="24"/>
      <c r="B266" s="25"/>
      <c r="C266" s="26"/>
      <c r="D266" s="24"/>
      <c r="E266" s="14"/>
      <c r="F266" s="24"/>
      <c r="G266" s="21"/>
      <c r="H266" s="21"/>
      <c r="I266" s="14"/>
      <c r="J266" s="24"/>
      <c r="K266" s="28"/>
      <c r="L266" s="27"/>
      <c r="M266" s="24"/>
      <c r="N266" s="24"/>
      <c r="O266" s="24"/>
      <c r="P266" s="24"/>
      <c r="Q266" s="24"/>
      <c r="R266" s="24"/>
      <c r="S266" s="24"/>
      <c r="T266" s="24"/>
      <c r="U266" s="24"/>
      <c r="V266" s="24"/>
    </row>
    <row r="267">
      <c r="A267" s="24"/>
      <c r="B267" s="25"/>
      <c r="C267" s="26"/>
      <c r="D267" s="24"/>
      <c r="E267" s="14"/>
      <c r="F267" s="24"/>
      <c r="G267" s="21"/>
      <c r="H267" s="21"/>
      <c r="I267" s="14"/>
      <c r="J267" s="24"/>
      <c r="K267" s="28"/>
      <c r="L267" s="27"/>
      <c r="M267" s="24"/>
      <c r="N267" s="24"/>
      <c r="O267" s="24"/>
      <c r="P267" s="24"/>
      <c r="Q267" s="24"/>
      <c r="R267" s="24"/>
      <c r="S267" s="24"/>
      <c r="T267" s="24"/>
      <c r="U267" s="24"/>
      <c r="V267" s="24"/>
    </row>
    <row r="268">
      <c r="A268" s="24"/>
      <c r="B268" s="25"/>
      <c r="C268" s="26"/>
      <c r="D268" s="24"/>
      <c r="E268" s="14"/>
      <c r="F268" s="24"/>
      <c r="G268" s="21"/>
      <c r="H268" s="21"/>
      <c r="I268" s="14"/>
      <c r="J268" s="24"/>
      <c r="K268" s="28"/>
      <c r="L268" s="27"/>
      <c r="M268" s="24"/>
      <c r="N268" s="24"/>
      <c r="O268" s="24"/>
      <c r="P268" s="24"/>
      <c r="Q268" s="24"/>
      <c r="R268" s="24"/>
      <c r="S268" s="24"/>
      <c r="T268" s="24"/>
      <c r="U268" s="24"/>
      <c r="V268" s="24"/>
    </row>
    <row r="269">
      <c r="A269" s="24"/>
      <c r="B269" s="25"/>
      <c r="C269" s="26"/>
      <c r="D269" s="24"/>
      <c r="E269" s="14"/>
      <c r="F269" s="24"/>
      <c r="G269" s="21"/>
      <c r="H269" s="21"/>
      <c r="I269" s="14"/>
      <c r="J269" s="24"/>
      <c r="K269" s="28"/>
      <c r="L269" s="27"/>
      <c r="M269" s="24"/>
      <c r="N269" s="24"/>
      <c r="O269" s="24"/>
      <c r="P269" s="24"/>
      <c r="Q269" s="24"/>
      <c r="R269" s="24"/>
      <c r="S269" s="24"/>
      <c r="T269" s="24"/>
      <c r="U269" s="24"/>
      <c r="V269" s="24"/>
    </row>
    <row r="270">
      <c r="A270" s="24"/>
      <c r="B270" s="25"/>
      <c r="C270" s="26"/>
      <c r="D270" s="24"/>
      <c r="E270" s="14"/>
      <c r="F270" s="24"/>
      <c r="G270" s="21"/>
      <c r="H270" s="21"/>
      <c r="I270" s="14"/>
      <c r="J270" s="24"/>
      <c r="K270" s="28"/>
      <c r="L270" s="27"/>
      <c r="M270" s="24"/>
      <c r="N270" s="24"/>
      <c r="O270" s="24"/>
      <c r="P270" s="24"/>
      <c r="Q270" s="24"/>
      <c r="R270" s="24"/>
      <c r="S270" s="24"/>
      <c r="T270" s="24"/>
      <c r="U270" s="24"/>
      <c r="V270" s="24"/>
    </row>
    <row r="271">
      <c r="A271" s="24"/>
      <c r="B271" s="25"/>
      <c r="C271" s="26"/>
      <c r="D271" s="24"/>
      <c r="E271" s="14"/>
      <c r="F271" s="24"/>
      <c r="G271" s="21"/>
      <c r="H271" s="21"/>
      <c r="I271" s="14"/>
      <c r="J271" s="24"/>
      <c r="K271" s="28"/>
      <c r="L271" s="27"/>
      <c r="M271" s="24"/>
      <c r="N271" s="24"/>
      <c r="O271" s="24"/>
      <c r="P271" s="24"/>
      <c r="Q271" s="24"/>
      <c r="R271" s="24"/>
      <c r="S271" s="24"/>
      <c r="T271" s="24"/>
      <c r="U271" s="24"/>
      <c r="V271" s="24"/>
    </row>
    <row r="272">
      <c r="A272" s="24"/>
      <c r="B272" s="25"/>
      <c r="C272" s="26"/>
      <c r="D272" s="24"/>
      <c r="E272" s="14"/>
      <c r="F272" s="24"/>
      <c r="G272" s="21"/>
      <c r="H272" s="21"/>
      <c r="I272" s="14"/>
      <c r="J272" s="24"/>
      <c r="K272" s="28"/>
      <c r="L272" s="27"/>
      <c r="M272" s="24"/>
      <c r="N272" s="24"/>
      <c r="O272" s="24"/>
      <c r="P272" s="24"/>
      <c r="Q272" s="24"/>
      <c r="R272" s="24"/>
      <c r="S272" s="24"/>
      <c r="T272" s="24"/>
      <c r="U272" s="24"/>
      <c r="V272" s="24"/>
    </row>
    <row r="273">
      <c r="A273" s="24"/>
      <c r="B273" s="25"/>
      <c r="C273" s="26"/>
      <c r="D273" s="24"/>
      <c r="E273" s="14"/>
      <c r="F273" s="24"/>
      <c r="G273" s="21"/>
      <c r="H273" s="21"/>
      <c r="I273" s="14"/>
      <c r="J273" s="24"/>
      <c r="K273" s="28"/>
      <c r="L273" s="27"/>
      <c r="M273" s="24"/>
      <c r="N273" s="24"/>
      <c r="O273" s="24"/>
      <c r="P273" s="24"/>
      <c r="Q273" s="24"/>
      <c r="R273" s="24"/>
      <c r="S273" s="24"/>
      <c r="T273" s="24"/>
      <c r="U273" s="24"/>
      <c r="V273" s="24"/>
    </row>
    <row r="274">
      <c r="A274" s="24"/>
      <c r="B274" s="25"/>
      <c r="C274" s="26"/>
      <c r="D274" s="24"/>
      <c r="E274" s="14"/>
      <c r="F274" s="24"/>
      <c r="G274" s="21"/>
      <c r="H274" s="21"/>
      <c r="I274" s="14"/>
      <c r="J274" s="24"/>
      <c r="K274" s="28"/>
      <c r="L274" s="27"/>
      <c r="M274" s="24"/>
      <c r="N274" s="24"/>
      <c r="O274" s="24"/>
      <c r="P274" s="24"/>
      <c r="Q274" s="24"/>
      <c r="R274" s="24"/>
      <c r="S274" s="24"/>
      <c r="T274" s="24"/>
      <c r="U274" s="24"/>
      <c r="V274" s="24"/>
    </row>
    <row r="275">
      <c r="A275" s="24"/>
      <c r="B275" s="25"/>
      <c r="C275" s="26"/>
      <c r="D275" s="24"/>
      <c r="E275" s="14"/>
      <c r="F275" s="24"/>
      <c r="G275" s="21"/>
      <c r="H275" s="21"/>
      <c r="I275" s="14"/>
      <c r="J275" s="24"/>
      <c r="K275" s="28"/>
      <c r="L275" s="27"/>
      <c r="M275" s="24"/>
      <c r="N275" s="24"/>
      <c r="O275" s="24"/>
      <c r="P275" s="24"/>
      <c r="Q275" s="24"/>
      <c r="R275" s="24"/>
      <c r="S275" s="24"/>
      <c r="T275" s="24"/>
      <c r="U275" s="24"/>
      <c r="V275" s="24"/>
    </row>
    <row r="276">
      <c r="A276" s="24"/>
      <c r="B276" s="25"/>
      <c r="C276" s="26"/>
      <c r="D276" s="24"/>
      <c r="E276" s="14"/>
      <c r="F276" s="24"/>
      <c r="G276" s="21"/>
      <c r="H276" s="21"/>
      <c r="I276" s="14"/>
      <c r="J276" s="24"/>
      <c r="K276" s="28"/>
      <c r="L276" s="27"/>
      <c r="M276" s="24"/>
      <c r="N276" s="24"/>
      <c r="O276" s="24"/>
      <c r="P276" s="24"/>
      <c r="Q276" s="24"/>
      <c r="R276" s="24"/>
      <c r="S276" s="24"/>
      <c r="T276" s="24"/>
      <c r="U276" s="24"/>
      <c r="V276" s="24"/>
    </row>
    <row r="277">
      <c r="A277" s="24"/>
      <c r="B277" s="25"/>
      <c r="C277" s="26"/>
      <c r="D277" s="24"/>
      <c r="E277" s="14"/>
      <c r="F277" s="24"/>
      <c r="G277" s="21"/>
      <c r="H277" s="21"/>
      <c r="I277" s="14"/>
      <c r="J277" s="24"/>
      <c r="K277" s="28"/>
      <c r="L277" s="27"/>
      <c r="M277" s="24"/>
      <c r="N277" s="24"/>
      <c r="O277" s="24"/>
      <c r="P277" s="24"/>
      <c r="Q277" s="24"/>
      <c r="R277" s="24"/>
      <c r="S277" s="24"/>
      <c r="T277" s="24"/>
      <c r="U277" s="24"/>
      <c r="V277" s="24"/>
    </row>
    <row r="278">
      <c r="A278" s="24"/>
      <c r="B278" s="25"/>
      <c r="C278" s="26"/>
      <c r="D278" s="24"/>
      <c r="E278" s="14"/>
      <c r="F278" s="24"/>
      <c r="G278" s="21"/>
      <c r="H278" s="21"/>
      <c r="I278" s="14"/>
      <c r="J278" s="24"/>
      <c r="K278" s="28"/>
      <c r="L278" s="27"/>
      <c r="M278" s="24"/>
      <c r="N278" s="24"/>
      <c r="O278" s="24"/>
      <c r="P278" s="24"/>
      <c r="Q278" s="24"/>
      <c r="R278" s="24"/>
      <c r="S278" s="24"/>
      <c r="T278" s="24"/>
      <c r="U278" s="24"/>
      <c r="V278" s="24"/>
    </row>
    <row r="279">
      <c r="A279" s="24"/>
      <c r="B279" s="25"/>
      <c r="C279" s="26"/>
      <c r="D279" s="24"/>
      <c r="E279" s="14"/>
      <c r="F279" s="24"/>
      <c r="G279" s="21"/>
      <c r="H279" s="21"/>
      <c r="I279" s="14"/>
      <c r="J279" s="24"/>
      <c r="K279" s="28"/>
      <c r="L279" s="27"/>
      <c r="M279" s="24"/>
      <c r="N279" s="24"/>
      <c r="O279" s="24"/>
      <c r="P279" s="24"/>
      <c r="Q279" s="24"/>
      <c r="R279" s="24"/>
      <c r="S279" s="24"/>
      <c r="T279" s="24"/>
      <c r="U279" s="24"/>
      <c r="V279" s="24"/>
    </row>
    <row r="280">
      <c r="A280" s="24"/>
      <c r="B280" s="25"/>
      <c r="C280" s="26"/>
      <c r="D280" s="24"/>
      <c r="E280" s="14"/>
      <c r="F280" s="24"/>
      <c r="G280" s="21"/>
      <c r="H280" s="21"/>
      <c r="I280" s="14"/>
      <c r="J280" s="24"/>
      <c r="K280" s="28"/>
      <c r="L280" s="27"/>
      <c r="M280" s="24"/>
      <c r="N280" s="24"/>
      <c r="O280" s="24"/>
      <c r="P280" s="24"/>
      <c r="Q280" s="24"/>
      <c r="R280" s="24"/>
      <c r="S280" s="24"/>
      <c r="T280" s="24"/>
      <c r="U280" s="24"/>
      <c r="V280" s="24"/>
    </row>
    <row r="281">
      <c r="A281" s="24"/>
      <c r="B281" s="25"/>
      <c r="C281" s="26"/>
      <c r="D281" s="24"/>
      <c r="E281" s="14"/>
      <c r="F281" s="24"/>
      <c r="G281" s="21"/>
      <c r="H281" s="21"/>
      <c r="I281" s="14"/>
      <c r="J281" s="24"/>
      <c r="K281" s="28"/>
      <c r="L281" s="27"/>
      <c r="M281" s="24"/>
      <c r="N281" s="24"/>
      <c r="O281" s="24"/>
      <c r="P281" s="24"/>
      <c r="Q281" s="24"/>
      <c r="R281" s="24"/>
      <c r="S281" s="24"/>
      <c r="T281" s="24"/>
      <c r="U281" s="24"/>
      <c r="V281" s="24"/>
    </row>
    <row r="282">
      <c r="A282" s="24"/>
      <c r="B282" s="25"/>
      <c r="C282" s="26"/>
      <c r="D282" s="24"/>
      <c r="E282" s="14"/>
      <c r="F282" s="24"/>
      <c r="G282" s="21"/>
      <c r="H282" s="21"/>
      <c r="I282" s="14"/>
      <c r="J282" s="24"/>
      <c r="K282" s="28"/>
      <c r="L282" s="27"/>
      <c r="M282" s="24"/>
      <c r="N282" s="24"/>
      <c r="O282" s="24"/>
      <c r="P282" s="24"/>
      <c r="Q282" s="24"/>
      <c r="R282" s="24"/>
      <c r="S282" s="24"/>
      <c r="T282" s="24"/>
      <c r="U282" s="24"/>
      <c r="V282" s="24"/>
    </row>
    <row r="283">
      <c r="A283" s="24"/>
      <c r="B283" s="25"/>
      <c r="C283" s="26"/>
      <c r="D283" s="24"/>
      <c r="E283" s="14"/>
      <c r="F283" s="24"/>
      <c r="G283" s="21"/>
      <c r="H283" s="21"/>
      <c r="I283" s="14"/>
      <c r="J283" s="24"/>
      <c r="K283" s="28"/>
      <c r="L283" s="27"/>
      <c r="M283" s="24"/>
      <c r="N283" s="24"/>
      <c r="O283" s="24"/>
      <c r="P283" s="24"/>
      <c r="Q283" s="24"/>
      <c r="R283" s="24"/>
      <c r="S283" s="24"/>
      <c r="T283" s="24"/>
      <c r="U283" s="24"/>
      <c r="V283" s="24"/>
    </row>
    <row r="284">
      <c r="A284" s="24"/>
      <c r="B284" s="25"/>
      <c r="C284" s="26"/>
      <c r="D284" s="24"/>
      <c r="E284" s="14"/>
      <c r="F284" s="24"/>
      <c r="G284" s="21"/>
      <c r="H284" s="21"/>
      <c r="I284" s="14"/>
      <c r="J284" s="24"/>
      <c r="K284" s="28"/>
      <c r="L284" s="27"/>
      <c r="M284" s="24"/>
      <c r="N284" s="24"/>
      <c r="O284" s="24"/>
      <c r="P284" s="24"/>
      <c r="Q284" s="24"/>
      <c r="R284" s="24"/>
      <c r="S284" s="24"/>
      <c r="T284" s="24"/>
      <c r="U284" s="24"/>
      <c r="V284" s="24"/>
    </row>
    <row r="285">
      <c r="A285" s="24"/>
      <c r="B285" s="25"/>
      <c r="C285" s="26"/>
      <c r="D285" s="24"/>
      <c r="E285" s="14"/>
      <c r="F285" s="24"/>
      <c r="G285" s="21"/>
      <c r="H285" s="21"/>
      <c r="I285" s="14"/>
      <c r="J285" s="24"/>
      <c r="K285" s="28"/>
      <c r="L285" s="27"/>
      <c r="M285" s="24"/>
      <c r="N285" s="24"/>
      <c r="O285" s="24"/>
      <c r="P285" s="24"/>
      <c r="Q285" s="24"/>
      <c r="R285" s="24"/>
      <c r="S285" s="24"/>
      <c r="T285" s="24"/>
      <c r="U285" s="24"/>
      <c r="V285" s="24"/>
    </row>
    <row r="286">
      <c r="A286" s="24"/>
      <c r="B286" s="25"/>
      <c r="C286" s="26"/>
      <c r="D286" s="24"/>
      <c r="E286" s="14"/>
      <c r="F286" s="24"/>
      <c r="G286" s="21"/>
      <c r="H286" s="21"/>
      <c r="I286" s="14"/>
      <c r="J286" s="24"/>
      <c r="K286" s="28"/>
      <c r="L286" s="27"/>
      <c r="M286" s="24"/>
      <c r="N286" s="24"/>
      <c r="O286" s="24"/>
      <c r="P286" s="24"/>
      <c r="Q286" s="24"/>
      <c r="R286" s="24"/>
      <c r="S286" s="24"/>
      <c r="T286" s="24"/>
      <c r="U286" s="24"/>
      <c r="V286" s="24"/>
    </row>
    <row r="287">
      <c r="A287" s="24"/>
      <c r="B287" s="25"/>
      <c r="C287" s="26"/>
      <c r="D287" s="24"/>
      <c r="E287" s="14"/>
      <c r="F287" s="24"/>
      <c r="G287" s="21"/>
      <c r="H287" s="21"/>
      <c r="I287" s="14"/>
      <c r="J287" s="24"/>
      <c r="K287" s="28"/>
      <c r="L287" s="27"/>
      <c r="M287" s="24"/>
      <c r="N287" s="24"/>
      <c r="O287" s="24"/>
      <c r="P287" s="24"/>
      <c r="Q287" s="24"/>
      <c r="R287" s="24"/>
      <c r="S287" s="24"/>
      <c r="T287" s="24"/>
      <c r="U287" s="24"/>
      <c r="V287" s="24"/>
    </row>
    <row r="288">
      <c r="A288" s="24"/>
      <c r="B288" s="25"/>
      <c r="C288" s="26"/>
      <c r="D288" s="24"/>
      <c r="E288" s="14"/>
      <c r="F288" s="24"/>
      <c r="G288" s="21"/>
      <c r="H288" s="21"/>
      <c r="I288" s="14"/>
      <c r="J288" s="24"/>
      <c r="K288" s="28"/>
      <c r="L288" s="27"/>
      <c r="M288" s="24"/>
      <c r="N288" s="24"/>
      <c r="O288" s="24"/>
      <c r="P288" s="24"/>
      <c r="Q288" s="24"/>
      <c r="R288" s="24"/>
      <c r="S288" s="24"/>
      <c r="T288" s="24"/>
      <c r="U288" s="24"/>
      <c r="V288" s="24"/>
    </row>
    <row r="289">
      <c r="A289" s="24"/>
      <c r="B289" s="25"/>
      <c r="C289" s="26"/>
      <c r="D289" s="24"/>
      <c r="E289" s="14"/>
      <c r="F289" s="24"/>
      <c r="G289" s="21"/>
      <c r="H289" s="21"/>
      <c r="I289" s="14"/>
      <c r="J289" s="24"/>
      <c r="K289" s="28"/>
      <c r="L289" s="27"/>
      <c r="M289" s="24"/>
      <c r="N289" s="24"/>
      <c r="O289" s="24"/>
      <c r="P289" s="24"/>
      <c r="Q289" s="24"/>
      <c r="R289" s="24"/>
      <c r="S289" s="24"/>
      <c r="T289" s="24"/>
      <c r="U289" s="24"/>
      <c r="V289" s="24"/>
    </row>
    <row r="290">
      <c r="A290" s="24"/>
      <c r="B290" s="25"/>
      <c r="C290" s="26"/>
      <c r="D290" s="24"/>
      <c r="E290" s="14"/>
      <c r="F290" s="24"/>
      <c r="G290" s="21"/>
      <c r="H290" s="21"/>
      <c r="I290" s="14"/>
      <c r="J290" s="24"/>
      <c r="K290" s="28"/>
      <c r="L290" s="27"/>
      <c r="M290" s="24"/>
      <c r="N290" s="24"/>
      <c r="O290" s="24"/>
      <c r="P290" s="24"/>
      <c r="Q290" s="24"/>
      <c r="R290" s="24"/>
      <c r="S290" s="24"/>
      <c r="T290" s="24"/>
      <c r="U290" s="24"/>
      <c r="V290" s="24"/>
    </row>
    <row r="291">
      <c r="A291" s="24"/>
      <c r="B291" s="25"/>
      <c r="C291" s="26"/>
      <c r="D291" s="24"/>
      <c r="E291" s="14"/>
      <c r="F291" s="24"/>
      <c r="G291" s="21"/>
      <c r="H291" s="21"/>
      <c r="I291" s="14"/>
      <c r="J291" s="24"/>
      <c r="K291" s="28"/>
      <c r="L291" s="27"/>
      <c r="M291" s="24"/>
      <c r="N291" s="24"/>
      <c r="O291" s="24"/>
      <c r="P291" s="24"/>
      <c r="Q291" s="24"/>
      <c r="R291" s="24"/>
      <c r="S291" s="24"/>
      <c r="T291" s="24"/>
      <c r="U291" s="24"/>
      <c r="V291" s="24"/>
    </row>
    <row r="292">
      <c r="A292" s="24"/>
      <c r="B292" s="25"/>
      <c r="C292" s="26"/>
      <c r="D292" s="24"/>
      <c r="E292" s="14"/>
      <c r="F292" s="24"/>
      <c r="G292" s="21"/>
      <c r="H292" s="21"/>
      <c r="I292" s="14"/>
      <c r="J292" s="24"/>
      <c r="K292" s="28"/>
      <c r="L292" s="27"/>
      <c r="M292" s="24"/>
      <c r="N292" s="24"/>
      <c r="O292" s="24"/>
      <c r="P292" s="24"/>
      <c r="Q292" s="24"/>
      <c r="R292" s="24"/>
      <c r="S292" s="24"/>
      <c r="T292" s="24"/>
      <c r="U292" s="24"/>
      <c r="V292" s="24"/>
    </row>
    <row r="293">
      <c r="A293" s="24"/>
      <c r="B293" s="25"/>
      <c r="C293" s="26"/>
      <c r="D293" s="24"/>
      <c r="E293" s="14"/>
      <c r="F293" s="24"/>
      <c r="G293" s="21"/>
      <c r="H293" s="21"/>
      <c r="I293" s="14"/>
      <c r="J293" s="24"/>
      <c r="K293" s="28"/>
      <c r="L293" s="27"/>
      <c r="M293" s="24"/>
      <c r="N293" s="24"/>
      <c r="O293" s="24"/>
      <c r="P293" s="24"/>
      <c r="Q293" s="24"/>
      <c r="R293" s="24"/>
      <c r="S293" s="24"/>
      <c r="T293" s="24"/>
      <c r="U293" s="24"/>
      <c r="V293" s="24"/>
    </row>
    <row r="294">
      <c r="A294" s="24"/>
      <c r="B294" s="25"/>
      <c r="C294" s="26"/>
      <c r="D294" s="24"/>
      <c r="E294" s="14"/>
      <c r="F294" s="24"/>
      <c r="G294" s="21"/>
      <c r="H294" s="21"/>
      <c r="I294" s="14"/>
      <c r="J294" s="24"/>
      <c r="K294" s="28"/>
      <c r="L294" s="27"/>
      <c r="M294" s="24"/>
      <c r="N294" s="24"/>
      <c r="O294" s="24"/>
      <c r="P294" s="24"/>
      <c r="Q294" s="24"/>
      <c r="R294" s="24"/>
      <c r="S294" s="24"/>
      <c r="T294" s="24"/>
      <c r="U294" s="24"/>
      <c r="V294" s="24"/>
    </row>
    <row r="295">
      <c r="A295" s="24"/>
      <c r="B295" s="25"/>
      <c r="C295" s="26"/>
      <c r="D295" s="24"/>
      <c r="E295" s="14"/>
      <c r="F295" s="24"/>
      <c r="G295" s="21"/>
      <c r="H295" s="21"/>
      <c r="I295" s="14"/>
      <c r="J295" s="24"/>
      <c r="K295" s="28"/>
      <c r="L295" s="27"/>
      <c r="M295" s="24"/>
      <c r="N295" s="24"/>
      <c r="O295" s="24"/>
      <c r="P295" s="24"/>
      <c r="Q295" s="24"/>
      <c r="R295" s="24"/>
      <c r="S295" s="24"/>
      <c r="T295" s="24"/>
      <c r="U295" s="24"/>
      <c r="V295" s="24"/>
    </row>
    <row r="296">
      <c r="A296" s="24"/>
      <c r="B296" s="25"/>
      <c r="C296" s="26"/>
      <c r="D296" s="24"/>
      <c r="E296" s="14"/>
      <c r="F296" s="24"/>
      <c r="G296" s="21"/>
      <c r="H296" s="21"/>
      <c r="I296" s="14"/>
      <c r="J296" s="24"/>
      <c r="K296" s="28"/>
      <c r="L296" s="27"/>
      <c r="M296" s="24"/>
      <c r="N296" s="24"/>
      <c r="O296" s="24"/>
      <c r="P296" s="24"/>
      <c r="Q296" s="24"/>
      <c r="R296" s="24"/>
      <c r="S296" s="24"/>
      <c r="T296" s="24"/>
      <c r="U296" s="24"/>
      <c r="V296" s="24"/>
    </row>
    <row r="297">
      <c r="A297" s="24"/>
      <c r="B297" s="25"/>
      <c r="C297" s="26"/>
      <c r="D297" s="24"/>
      <c r="E297" s="14"/>
      <c r="F297" s="24"/>
      <c r="G297" s="21"/>
      <c r="H297" s="21"/>
      <c r="I297" s="14"/>
      <c r="J297" s="24"/>
      <c r="K297" s="28"/>
      <c r="L297" s="27"/>
      <c r="M297" s="24"/>
      <c r="N297" s="24"/>
      <c r="O297" s="24"/>
      <c r="P297" s="24"/>
      <c r="Q297" s="24"/>
      <c r="R297" s="24"/>
      <c r="S297" s="24"/>
      <c r="T297" s="24"/>
      <c r="U297" s="24"/>
      <c r="V297" s="24"/>
    </row>
    <row r="298">
      <c r="A298" s="24"/>
      <c r="B298" s="25"/>
      <c r="C298" s="26"/>
      <c r="D298" s="24"/>
      <c r="E298" s="14"/>
      <c r="F298" s="24"/>
      <c r="G298" s="21"/>
      <c r="H298" s="21"/>
      <c r="I298" s="14"/>
      <c r="J298" s="24"/>
      <c r="K298" s="28"/>
      <c r="L298" s="27"/>
      <c r="M298" s="24"/>
      <c r="N298" s="24"/>
      <c r="O298" s="24"/>
      <c r="P298" s="24"/>
      <c r="Q298" s="24"/>
      <c r="R298" s="24"/>
      <c r="S298" s="24"/>
      <c r="T298" s="24"/>
      <c r="U298" s="24"/>
      <c r="V298" s="24"/>
    </row>
    <row r="299">
      <c r="A299" s="24"/>
      <c r="B299" s="25"/>
      <c r="C299" s="26"/>
      <c r="D299" s="24"/>
      <c r="E299" s="14"/>
      <c r="F299" s="24"/>
      <c r="G299" s="21"/>
      <c r="H299" s="21"/>
      <c r="I299" s="14"/>
      <c r="J299" s="24"/>
      <c r="K299" s="28"/>
      <c r="L299" s="27"/>
      <c r="M299" s="24"/>
      <c r="N299" s="24"/>
      <c r="O299" s="24"/>
      <c r="P299" s="24"/>
      <c r="Q299" s="24"/>
      <c r="R299" s="24"/>
      <c r="S299" s="24"/>
      <c r="T299" s="24"/>
      <c r="U299" s="24"/>
      <c r="V299" s="24"/>
    </row>
    <row r="300">
      <c r="A300" s="24"/>
      <c r="B300" s="25"/>
      <c r="C300" s="26"/>
      <c r="D300" s="24"/>
      <c r="E300" s="14"/>
      <c r="F300" s="24"/>
      <c r="G300" s="21"/>
      <c r="H300" s="21"/>
      <c r="I300" s="14"/>
      <c r="J300" s="24"/>
      <c r="K300" s="28"/>
      <c r="L300" s="27"/>
      <c r="M300" s="24"/>
      <c r="N300" s="24"/>
      <c r="O300" s="24"/>
      <c r="P300" s="24"/>
      <c r="Q300" s="24"/>
      <c r="R300" s="24"/>
      <c r="S300" s="24"/>
      <c r="T300" s="24"/>
      <c r="U300" s="24"/>
      <c r="V300" s="24"/>
    </row>
    <row r="301">
      <c r="A301" s="24"/>
      <c r="B301" s="25"/>
      <c r="C301" s="26"/>
      <c r="D301" s="24"/>
      <c r="E301" s="14"/>
      <c r="F301" s="24"/>
      <c r="G301" s="21"/>
      <c r="H301" s="21"/>
      <c r="I301" s="14"/>
      <c r="J301" s="24"/>
      <c r="K301" s="28"/>
      <c r="L301" s="27"/>
      <c r="M301" s="24"/>
      <c r="N301" s="24"/>
      <c r="O301" s="24"/>
      <c r="P301" s="24"/>
      <c r="Q301" s="24"/>
      <c r="R301" s="24"/>
      <c r="S301" s="24"/>
      <c r="T301" s="24"/>
      <c r="U301" s="24"/>
      <c r="V301" s="24"/>
    </row>
    <row r="302">
      <c r="A302" s="24"/>
      <c r="B302" s="25"/>
      <c r="C302" s="26"/>
      <c r="D302" s="24"/>
      <c r="E302" s="14"/>
      <c r="F302" s="24"/>
      <c r="G302" s="21"/>
      <c r="H302" s="21"/>
      <c r="I302" s="14"/>
      <c r="J302" s="24"/>
      <c r="K302" s="28"/>
      <c r="L302" s="27"/>
      <c r="M302" s="24"/>
      <c r="N302" s="24"/>
      <c r="O302" s="24"/>
      <c r="P302" s="24"/>
      <c r="Q302" s="24"/>
      <c r="R302" s="24"/>
      <c r="S302" s="24"/>
      <c r="T302" s="24"/>
      <c r="U302" s="24"/>
      <c r="V302" s="24"/>
    </row>
    <row r="303">
      <c r="A303" s="24"/>
      <c r="B303" s="25"/>
      <c r="C303" s="26"/>
      <c r="D303" s="24"/>
      <c r="E303" s="14"/>
      <c r="F303" s="24"/>
      <c r="G303" s="21"/>
      <c r="H303" s="21"/>
      <c r="I303" s="14"/>
      <c r="J303" s="24"/>
      <c r="K303" s="28"/>
      <c r="L303" s="27"/>
      <c r="M303" s="24"/>
      <c r="N303" s="24"/>
      <c r="O303" s="24"/>
      <c r="P303" s="24"/>
      <c r="Q303" s="24"/>
      <c r="R303" s="24"/>
      <c r="S303" s="24"/>
      <c r="T303" s="24"/>
      <c r="U303" s="24"/>
      <c r="V303" s="24"/>
    </row>
    <row r="304">
      <c r="A304" s="24"/>
      <c r="B304" s="25"/>
      <c r="C304" s="26"/>
      <c r="D304" s="24"/>
      <c r="E304" s="14"/>
      <c r="F304" s="24"/>
      <c r="G304" s="21"/>
      <c r="H304" s="21"/>
      <c r="I304" s="14"/>
      <c r="J304" s="24"/>
      <c r="K304" s="28"/>
      <c r="L304" s="27"/>
      <c r="M304" s="24"/>
      <c r="N304" s="24"/>
      <c r="O304" s="24"/>
      <c r="P304" s="24"/>
      <c r="Q304" s="24"/>
      <c r="R304" s="24"/>
      <c r="S304" s="24"/>
      <c r="T304" s="24"/>
      <c r="U304" s="24"/>
      <c r="V304" s="24"/>
    </row>
    <row r="305">
      <c r="A305" s="24"/>
      <c r="B305" s="25"/>
      <c r="C305" s="26"/>
      <c r="D305" s="24"/>
      <c r="E305" s="14"/>
      <c r="F305" s="24"/>
      <c r="G305" s="21"/>
      <c r="H305" s="21"/>
      <c r="I305" s="14"/>
      <c r="J305" s="24"/>
      <c r="K305" s="28"/>
      <c r="L305" s="27"/>
      <c r="M305" s="24"/>
      <c r="N305" s="24"/>
      <c r="O305" s="24"/>
      <c r="P305" s="24"/>
      <c r="Q305" s="24"/>
      <c r="R305" s="24"/>
      <c r="S305" s="24"/>
      <c r="T305" s="24"/>
      <c r="U305" s="24"/>
      <c r="V305" s="24"/>
    </row>
  </sheetData>
  <mergeCells>
    <mergeCell ref="J60:J62"/>
    <mergeCell ref="J8:J9"/>
    <mergeCell ref="J35:J36"/>
  </mergeCells>
  <conditionalFormatting sqref="G1:H1048576">
    <cfRule dxfId="0" priority="2" stopIfTrue="true" timePeriod="last7Days" type="timePeriod">
      <formula>AND(TODAY()-FLOOR(G1,1)&lt;=6,FLOOR(G1,1)&lt;=TODAY())</formula>
    </cfRule>
  </conditionalFormatting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19"/>
    <col collapsed="false" customWidth="true" hidden="false" max="7" min="7" style="0" width="13"/>
    <col collapsed="false" customWidth="true" hidden="false" max="11" min="11" style="0" width="10"/>
    <col collapsed="false" customWidth="true" hidden="false" max="15" min="15" style="0" width="10"/>
    <col collapsed="false" customWidth="true" hidden="false" max="19" min="19" style="0" width="10"/>
    <col collapsed="false" customWidth="true" hidden="false" max="4" min="4" style="0" width="14"/>
    <col collapsed="false" customWidth="true" hidden="true" max="4" min="4" style="0" width="14"/>
    <col collapsed="false" customWidth="true" hidden="false" max="8" min="8" style="0" width="13"/>
    <col collapsed="false" customWidth="true" hidden="false" max="12" min="12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1" min="1" style="0" width="23"/>
    <col collapsed="false" customWidth="true" hidden="false" max="5" min="5" style="0" width="51"/>
    <col collapsed="false" customWidth="true" hidden="false" max="9" min="9" style="0" width="14"/>
    <col collapsed="false" customWidth="true" hidden="false" max="13" min="13" style="0" width="10"/>
    <col collapsed="false" customWidth="true" hidden="false" max="17" min="17" style="0" width="10"/>
    <col collapsed="false" customWidth="true" hidden="false" max="22" min="22" style="0" width="10"/>
    <col collapsed="false" customWidth="true" hidden="false" max="2" min="2" style="0" width="19"/>
    <col collapsed="false" customWidth="true" hidden="false" max="6" min="6" style="0" width="13"/>
    <col collapsed="false" customWidth="true" hidden="false" max="10" min="10" style="0" width="14"/>
    <col collapsed="false" customWidth="true" hidden="false" max="14" min="14" style="0" width="10"/>
    <col collapsed="false" customWidth="true" hidden="false" max="18" min="18" style="0" width="10"/>
    <col collapsed="false" customWidth="true" hidden="false" max="21" min="21" style="0" width="10"/>
  </cols>
  <sheetData>
    <row customHeight="true" ht="22" r="1">
      <c r="A1" s="83" t="s">
        <v>279</v>
      </c>
      <c r="B1" s="84" t="s">
        <v>280</v>
      </c>
      <c r="C1" s="85" t="s">
        <v>281</v>
      </c>
      <c r="D1" s="84" t="s">
        <v>282</v>
      </c>
      <c r="E1" s="86" t="s">
        <v>283</v>
      </c>
      <c r="F1" s="87" t="s">
        <v>284</v>
      </c>
      <c r="G1" s="88" t="s">
        <v>285</v>
      </c>
      <c r="H1" s="89" t="s">
        <v>286</v>
      </c>
      <c r="I1" s="90" t="s">
        <v>287</v>
      </c>
      <c r="J1" s="91" t="s">
        <v>288</v>
      </c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customHeight="true" ht="22" r="2">
      <c r="A2" s="93"/>
      <c r="B2" s="93">
        <v>45869</v>
      </c>
      <c r="C2" s="94">
        <v>6926391404484</v>
      </c>
      <c r="D2" s="84" t="s">
        <v>289</v>
      </c>
      <c r="E2" s="86" t="s">
        <v>290</v>
      </c>
      <c r="F2" s="95"/>
      <c r="G2" s="96">
        <v>180</v>
      </c>
      <c r="H2" s="97"/>
      <c r="I2" s="90">
        <v>18237.6</v>
      </c>
      <c r="J2" s="98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customHeight="true" ht="22" r="3">
      <c r="A3" s="93"/>
      <c r="B3" s="93">
        <v>45869</v>
      </c>
      <c r="C3" s="94">
        <v>6926391404460</v>
      </c>
      <c r="D3" s="84" t="s">
        <v>291</v>
      </c>
      <c r="E3" s="86" t="s">
        <v>292</v>
      </c>
      <c r="F3" s="95"/>
      <c r="G3" s="96">
        <v>100</v>
      </c>
      <c r="H3" s="97"/>
      <c r="I3" s="90">
        <v>17952</v>
      </c>
      <c r="J3" s="98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</row>
    <row customHeight="true" ht="22" r="4">
      <c r="A4" s="93"/>
      <c r="B4" s="93">
        <v>45869</v>
      </c>
      <c r="C4" s="94">
        <v>6926391404439</v>
      </c>
      <c r="D4" s="84" t="s">
        <v>293</v>
      </c>
      <c r="E4" s="86" t="s">
        <v>294</v>
      </c>
      <c r="F4" s="95"/>
      <c r="G4" s="96">
        <v>40</v>
      </c>
      <c r="H4" s="97"/>
      <c r="I4" s="90">
        <v>14266.4</v>
      </c>
      <c r="J4" s="98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</row>
    <row customHeight="true" ht="22" r="5">
      <c r="A5" s="93"/>
      <c r="B5" s="93">
        <v>45869</v>
      </c>
      <c r="C5" s="94">
        <v>6926391404361</v>
      </c>
      <c r="D5" s="84" t="s">
        <v>295</v>
      </c>
      <c r="E5" s="86" t="s">
        <v>296</v>
      </c>
      <c r="F5" s="95"/>
      <c r="G5" s="96">
        <v>20</v>
      </c>
      <c r="H5" s="97"/>
      <c r="I5" s="90">
        <v>4420</v>
      </c>
      <c r="J5" s="98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</row>
    <row customHeight="true" ht="22" r="6">
      <c r="A6" s="93"/>
      <c r="B6" s="93">
        <v>45869</v>
      </c>
      <c r="C6" s="94">
        <v>6926391404736</v>
      </c>
      <c r="D6" s="84" t="s">
        <v>297</v>
      </c>
      <c r="E6" s="86" t="s">
        <v>298</v>
      </c>
      <c r="F6" s="95"/>
      <c r="G6" s="96">
        <v>60</v>
      </c>
      <c r="H6" s="97"/>
      <c r="I6" s="90">
        <v>6528</v>
      </c>
      <c r="J6" s="98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</row>
    <row customHeight="true" ht="22" r="7">
      <c r="A7" s="93"/>
      <c r="B7" s="93">
        <v>45869</v>
      </c>
      <c r="C7" s="94">
        <v>6926391404545</v>
      </c>
      <c r="D7" s="84" t="s">
        <v>299</v>
      </c>
      <c r="E7" s="86" t="s">
        <v>300</v>
      </c>
      <c r="F7" s="95"/>
      <c r="G7" s="96">
        <v>20</v>
      </c>
      <c r="H7" s="97"/>
      <c r="I7" s="90">
        <v>8024</v>
      </c>
      <c r="J7" s="98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</row>
    <row customHeight="true" ht="22" r="8">
      <c r="A8" s="93"/>
      <c r="B8" s="93">
        <v>45869</v>
      </c>
      <c r="C8" s="94">
        <v>6926391404569</v>
      </c>
      <c r="D8" s="84" t="s">
        <v>301</v>
      </c>
      <c r="E8" s="86" t="s">
        <v>302</v>
      </c>
      <c r="F8" s="95"/>
      <c r="G8" s="96">
        <v>80</v>
      </c>
      <c r="H8" s="97"/>
      <c r="I8" s="90">
        <v>14089.6</v>
      </c>
      <c r="J8" s="98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</row>
    <row customHeight="true" ht="22" r="9">
      <c r="A9" s="93"/>
      <c r="B9" s="93">
        <v>45869</v>
      </c>
      <c r="C9" s="94">
        <v>6926391404583</v>
      </c>
      <c r="D9" s="84" t="s">
        <v>303</v>
      </c>
      <c r="E9" s="86" t="s">
        <v>304</v>
      </c>
      <c r="F9" s="95"/>
      <c r="G9" s="96">
        <v>40</v>
      </c>
      <c r="H9" s="97"/>
      <c r="I9" s="90">
        <v>9520</v>
      </c>
      <c r="J9" s="98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</row>
    <row customHeight="true" ht="22" r="10">
      <c r="A10" s="93"/>
      <c r="B10" s="93">
        <v>45869</v>
      </c>
      <c r="C10" s="94">
        <v>6926391404675</v>
      </c>
      <c r="D10" s="84" t="s">
        <v>305</v>
      </c>
      <c r="E10" s="86" t="s">
        <v>306</v>
      </c>
      <c r="F10" s="95"/>
      <c r="G10" s="96">
        <v>96</v>
      </c>
      <c r="H10" s="97"/>
      <c r="I10" s="90">
        <v>20497.92</v>
      </c>
      <c r="J10" s="98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customHeight="true" ht="22" r="11">
      <c r="A11" s="93"/>
      <c r="B11" s="93">
        <v>45869</v>
      </c>
      <c r="C11" s="94">
        <v>6926391404682</v>
      </c>
      <c r="D11" s="84" t="s">
        <v>307</v>
      </c>
      <c r="E11" s="86" t="s">
        <v>308</v>
      </c>
      <c r="F11" s="95"/>
      <c r="G11" s="96">
        <v>32</v>
      </c>
      <c r="H11" s="97"/>
      <c r="I11" s="90">
        <v>18278.4</v>
      </c>
      <c r="J11" s="98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</row>
    <row customHeight="true" ht="22" r="12">
      <c r="A12" s="93"/>
      <c r="B12" s="93">
        <v>45869</v>
      </c>
      <c r="C12" s="94">
        <v>6926391404699</v>
      </c>
      <c r="D12" s="84" t="s">
        <v>309</v>
      </c>
      <c r="E12" s="86" t="s">
        <v>310</v>
      </c>
      <c r="F12" s="95"/>
      <c r="G12" s="96">
        <v>16</v>
      </c>
      <c r="H12" s="97"/>
      <c r="I12" s="90">
        <v>18224</v>
      </c>
      <c r="J12" s="98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</row>
    <row customHeight="true" ht="22" r="13">
      <c r="A13" s="93"/>
      <c r="B13" s="93">
        <v>45869</v>
      </c>
      <c r="C13" s="94">
        <v>6926391404705</v>
      </c>
      <c r="D13" s="84" t="s">
        <v>311</v>
      </c>
      <c r="E13" s="86" t="s">
        <v>312</v>
      </c>
      <c r="F13" s="95"/>
      <c r="G13" s="96">
        <v>112</v>
      </c>
      <c r="H13" s="97"/>
      <c r="I13" s="90">
        <v>8301.44</v>
      </c>
      <c r="J13" s="98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</row>
    <row customHeight="true" ht="22" r="14">
      <c r="A14" s="93"/>
      <c r="B14" s="93">
        <v>45869</v>
      </c>
      <c r="C14" s="94">
        <v>6926391404712</v>
      </c>
      <c r="D14" s="84" t="s">
        <v>313</v>
      </c>
      <c r="E14" s="86" t="s">
        <v>314</v>
      </c>
      <c r="F14" s="95"/>
      <c r="G14" s="96">
        <v>80</v>
      </c>
      <c r="H14" s="97"/>
      <c r="I14" s="90">
        <v>16320</v>
      </c>
      <c r="J14" s="98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</row>
    <row customHeight="true" ht="22" r="15">
      <c r="A15" s="93"/>
      <c r="B15" s="93">
        <v>45869</v>
      </c>
      <c r="C15" s="94">
        <v>6926391404729</v>
      </c>
      <c r="D15" s="84" t="s">
        <v>315</v>
      </c>
      <c r="E15" s="86" t="s">
        <v>316</v>
      </c>
      <c r="F15" s="95"/>
      <c r="G15" s="96">
        <v>16</v>
      </c>
      <c r="H15" s="97"/>
      <c r="I15" s="90">
        <v>5385.6</v>
      </c>
      <c r="J15" s="98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</row>
    <row customHeight="true" ht="22" r="16">
      <c r="A16" s="93"/>
      <c r="B16" s="93">
        <v>45869</v>
      </c>
      <c r="C16" s="94">
        <v>6926391404538</v>
      </c>
      <c r="D16" s="84" t="s">
        <v>317</v>
      </c>
      <c r="E16" s="86" t="s">
        <v>318</v>
      </c>
      <c r="F16" s="95"/>
      <c r="G16" s="96">
        <v>2</v>
      </c>
      <c r="H16" s="97"/>
      <c r="I16" s="90">
        <v>8640</v>
      </c>
      <c r="J16" s="98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</row>
    <row customHeight="true" ht="22" r="17">
      <c r="A17" s="93"/>
      <c r="B17" s="93">
        <v>45869</v>
      </c>
      <c r="C17" s="94">
        <v>6926391404750</v>
      </c>
      <c r="D17" s="84" t="s">
        <v>319</v>
      </c>
      <c r="E17" s="86" t="s">
        <v>320</v>
      </c>
      <c r="F17" s="95"/>
      <c r="G17" s="96">
        <v>24</v>
      </c>
      <c r="H17" s="97"/>
      <c r="I17" s="90">
        <v>4488</v>
      </c>
      <c r="J17" s="98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</row>
    <row customHeight="true" ht="22" r="18">
      <c r="A18" s="93"/>
      <c r="B18" s="93">
        <v>45869</v>
      </c>
      <c r="C18" s="94">
        <v>6926391403227</v>
      </c>
      <c r="D18" s="84" t="s">
        <v>321</v>
      </c>
      <c r="E18" s="86" t="s">
        <v>322</v>
      </c>
      <c r="F18" s="99">
        <v>23.12</v>
      </c>
      <c r="G18" s="96">
        <v>396</v>
      </c>
      <c r="H18" s="97"/>
      <c r="I18" s="90">
        <v>9155.52</v>
      </c>
      <c r="J18" s="98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</row>
    <row customHeight="true" ht="22" r="19">
      <c r="A19" s="93"/>
      <c r="B19" s="93">
        <v>45869</v>
      </c>
      <c r="C19" s="94">
        <v>6926391403029</v>
      </c>
      <c r="D19" s="84" t="s">
        <v>323</v>
      </c>
      <c r="E19" s="86" t="s">
        <v>324</v>
      </c>
      <c r="F19" s="95"/>
      <c r="G19" s="96">
        <v>200</v>
      </c>
      <c r="H19" s="97"/>
      <c r="I19" s="90">
        <v>20264</v>
      </c>
      <c r="J19" s="98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</row>
    <row customHeight="true" ht="22" r="20">
      <c r="A20" s="93"/>
      <c r="B20" s="93">
        <v>45869</v>
      </c>
      <c r="C20" s="94">
        <v>6926391403234</v>
      </c>
      <c r="D20" s="84" t="s">
        <v>325</v>
      </c>
      <c r="E20" s="86" t="s">
        <v>326</v>
      </c>
      <c r="F20" s="95"/>
      <c r="G20" s="96">
        <v>4</v>
      </c>
      <c r="H20" s="97"/>
      <c r="I20" s="90">
        <v>133.28</v>
      </c>
      <c r="J20" s="98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</row>
    <row customHeight="true" ht="22" r="21">
      <c r="A21" s="93"/>
      <c r="B21" s="93">
        <v>45869</v>
      </c>
      <c r="C21" s="94">
        <v>6926391403067</v>
      </c>
      <c r="D21" s="84" t="s">
        <v>327</v>
      </c>
      <c r="E21" s="86" t="s">
        <v>328</v>
      </c>
      <c r="F21" s="95"/>
      <c r="G21" s="96">
        <v>60</v>
      </c>
      <c r="H21" s="97"/>
      <c r="I21" s="90">
        <v>21399.6</v>
      </c>
      <c r="J21" s="98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customHeight="true" ht="22" r="22">
      <c r="A22" s="93"/>
      <c r="B22" s="93">
        <v>45869</v>
      </c>
      <c r="C22" s="94">
        <v>6926391403081</v>
      </c>
      <c r="D22" s="84" t="s">
        <v>329</v>
      </c>
      <c r="E22" s="86" t="s">
        <v>330</v>
      </c>
      <c r="F22" s="95"/>
      <c r="G22" s="96">
        <v>72</v>
      </c>
      <c r="H22" s="97"/>
      <c r="I22" s="90">
        <v>3304.8</v>
      </c>
      <c r="J22" s="98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</row>
    <row customHeight="true" ht="22" r="23">
      <c r="A23" s="93"/>
      <c r="B23" s="93">
        <v>45869</v>
      </c>
      <c r="C23" s="94">
        <v>6926391403098</v>
      </c>
      <c r="D23" s="84" t="s">
        <v>331</v>
      </c>
      <c r="E23" s="86" t="s">
        <v>332</v>
      </c>
      <c r="F23" s="95"/>
      <c r="G23" s="96">
        <v>120</v>
      </c>
      <c r="H23" s="97"/>
      <c r="I23" s="90">
        <v>13056</v>
      </c>
      <c r="J23" s="98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</row>
    <row customHeight="true" ht="22" r="24">
      <c r="A24" s="93"/>
      <c r="B24" s="93">
        <v>45869</v>
      </c>
      <c r="C24" s="94">
        <v>6926391404255</v>
      </c>
      <c r="D24" s="84" t="s">
        <v>333</v>
      </c>
      <c r="E24" s="86" t="s">
        <v>334</v>
      </c>
      <c r="F24" s="95"/>
      <c r="G24" s="96">
        <v>216</v>
      </c>
      <c r="H24" s="97"/>
      <c r="I24" s="90">
        <v>16891.2</v>
      </c>
      <c r="J24" s="98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</row>
    <row customHeight="true" ht="22" r="25">
      <c r="A25" s="93"/>
      <c r="B25" s="93">
        <v>45869</v>
      </c>
      <c r="C25" s="94">
        <v>6926391404262</v>
      </c>
      <c r="D25" s="84" t="s">
        <v>335</v>
      </c>
      <c r="E25" s="86" t="s">
        <v>336</v>
      </c>
      <c r="F25" s="95"/>
      <c r="G25" s="96">
        <v>96</v>
      </c>
      <c r="H25" s="97"/>
      <c r="I25" s="90">
        <v>14949.12</v>
      </c>
      <c r="J25" s="98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</row>
    <row customHeight="true" ht="22" r="26">
      <c r="A26" s="93"/>
      <c r="B26" s="93">
        <v>45869</v>
      </c>
      <c r="C26" s="94">
        <v>6926391404279</v>
      </c>
      <c r="D26" s="84" t="s">
        <v>337</v>
      </c>
      <c r="E26" s="86" t="s">
        <v>338</v>
      </c>
      <c r="F26" s="95"/>
      <c r="G26" s="96">
        <v>36</v>
      </c>
      <c r="H26" s="97"/>
      <c r="I26" s="90">
        <v>11995.2</v>
      </c>
      <c r="J26" s="98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customHeight="true" ht="22" r="27">
      <c r="A27" s="93"/>
      <c r="B27" s="93">
        <v>45869</v>
      </c>
      <c r="C27" s="94">
        <v>6926391404095</v>
      </c>
      <c r="D27" s="84" t="s">
        <v>339</v>
      </c>
      <c r="E27" s="86" t="s">
        <v>340</v>
      </c>
      <c r="F27" s="95"/>
      <c r="G27" s="96">
        <v>16</v>
      </c>
      <c r="H27" s="97"/>
      <c r="I27" s="90">
        <v>9574.4</v>
      </c>
      <c r="J27" s="98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</row>
    <row customHeight="true" ht="22" r="28">
      <c r="A28" s="93"/>
      <c r="B28" s="93">
        <v>45869</v>
      </c>
      <c r="C28" s="94">
        <v>6926391403609</v>
      </c>
      <c r="D28" s="84" t="s">
        <v>341</v>
      </c>
      <c r="E28" s="86" t="s">
        <v>342</v>
      </c>
      <c r="F28" s="95"/>
      <c r="G28" s="96">
        <v>3</v>
      </c>
      <c r="H28" s="97"/>
      <c r="I28" s="90">
        <v>7344</v>
      </c>
      <c r="J28" s="98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</row>
    <row customHeight="true" ht="22" r="29">
      <c r="A29" s="93"/>
      <c r="B29" s="93">
        <v>45869</v>
      </c>
      <c r="C29" s="94">
        <v>6926391403333</v>
      </c>
      <c r="D29" s="84" t="s">
        <v>343</v>
      </c>
      <c r="E29" s="86" t="s">
        <v>344</v>
      </c>
      <c r="F29" s="95"/>
      <c r="G29" s="96">
        <v>128</v>
      </c>
      <c r="H29" s="97"/>
      <c r="I29" s="90">
        <v>9922.56</v>
      </c>
      <c r="J29" s="98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</row>
    <row customHeight="true" ht="22" r="30">
      <c r="A30" s="93"/>
      <c r="B30" s="93">
        <v>45869</v>
      </c>
      <c r="C30" s="94">
        <v>6926391404088</v>
      </c>
      <c r="D30" s="84" t="s">
        <v>345</v>
      </c>
      <c r="E30" s="86" t="s">
        <v>346</v>
      </c>
      <c r="F30" s="95"/>
      <c r="G30" s="96">
        <v>16</v>
      </c>
      <c r="H30" s="97"/>
      <c r="I30" s="90">
        <v>3427.2</v>
      </c>
      <c r="J30" s="98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</row>
    <row customHeight="true" ht="22" r="31">
      <c r="A31" s="93"/>
      <c r="B31" s="93">
        <v>45869</v>
      </c>
      <c r="C31" s="94">
        <v>6926391404101</v>
      </c>
      <c r="D31" s="84" t="s">
        <v>347</v>
      </c>
      <c r="E31" s="86" t="s">
        <v>348</v>
      </c>
      <c r="F31" s="95"/>
      <c r="G31" s="96">
        <v>16</v>
      </c>
      <c r="H31" s="97"/>
      <c r="I31" s="90">
        <v>5820.8</v>
      </c>
      <c r="J31" s="98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</row>
    <row customHeight="true" ht="22" r="32">
      <c r="A32" s="93"/>
      <c r="B32" s="93">
        <v>45869</v>
      </c>
      <c r="C32" s="94">
        <v>6926391401100</v>
      </c>
      <c r="D32" s="84" t="s">
        <v>349</v>
      </c>
      <c r="E32" s="86" t="s">
        <v>350</v>
      </c>
      <c r="F32" s="95"/>
      <c r="G32" s="96">
        <v>48</v>
      </c>
      <c r="H32" s="97"/>
      <c r="I32" s="90">
        <v>29049.6</v>
      </c>
      <c r="J32" s="98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</row>
    <row customHeight="true" ht="22" r="33">
      <c r="A33" s="93"/>
      <c r="B33" s="93">
        <v>45869</v>
      </c>
      <c r="C33" s="94">
        <v>6926391401117</v>
      </c>
      <c r="D33" s="84" t="s">
        <v>351</v>
      </c>
      <c r="E33" s="86" t="s">
        <v>352</v>
      </c>
      <c r="F33" s="95"/>
      <c r="G33" s="96">
        <v>24</v>
      </c>
      <c r="H33" s="97"/>
      <c r="I33" s="90">
        <v>33048</v>
      </c>
      <c r="J33" s="98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</row>
    <row customHeight="true" ht="22" r="34">
      <c r="A34" s="93"/>
      <c r="B34" s="93">
        <v>45869</v>
      </c>
      <c r="C34" s="94">
        <v>6926391401124</v>
      </c>
      <c r="D34" s="84" t="s">
        <v>353</v>
      </c>
      <c r="E34" s="86" t="s">
        <v>354</v>
      </c>
      <c r="F34" s="95"/>
      <c r="G34" s="96">
        <v>24</v>
      </c>
      <c r="H34" s="97"/>
      <c r="I34" s="90">
        <v>2488.8</v>
      </c>
      <c r="J34" s="98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</row>
    <row customHeight="true" ht="22" r="35">
      <c r="A35" s="93"/>
      <c r="B35" s="93">
        <v>45869</v>
      </c>
      <c r="C35" s="94">
        <v>6926391403319</v>
      </c>
      <c r="D35" s="84" t="s">
        <v>355</v>
      </c>
      <c r="E35" s="86" t="s">
        <v>356</v>
      </c>
      <c r="F35" s="95"/>
      <c r="G35" s="96">
        <v>4</v>
      </c>
      <c r="H35" s="97"/>
      <c r="I35" s="90">
        <v>6368</v>
      </c>
      <c r="J35" s="98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</row>
    <row customHeight="true" ht="22" r="36">
      <c r="A36" s="93"/>
      <c r="B36" s="93">
        <v>45869</v>
      </c>
      <c r="C36" s="94">
        <v>6926391403012</v>
      </c>
      <c r="D36" s="84" t="s">
        <v>357</v>
      </c>
      <c r="E36" s="86" t="s">
        <v>358</v>
      </c>
      <c r="F36" s="95"/>
      <c r="G36" s="96">
        <v>4</v>
      </c>
      <c r="H36" s="97"/>
      <c r="I36" s="90">
        <v>6256</v>
      </c>
      <c r="J36" s="98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</row>
    <row customHeight="true" ht="22" r="37">
      <c r="A37" s="93"/>
      <c r="B37" s="93">
        <v>45869</v>
      </c>
      <c r="C37" s="94">
        <v>6926391403494</v>
      </c>
      <c r="D37" s="84" t="s">
        <v>359</v>
      </c>
      <c r="E37" s="86" t="s">
        <v>360</v>
      </c>
      <c r="F37" s="95"/>
      <c r="G37" s="96">
        <v>20</v>
      </c>
      <c r="H37" s="97"/>
      <c r="I37" s="90">
        <v>8800</v>
      </c>
      <c r="J37" s="98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</row>
    <row customHeight="true" ht="22" r="38">
      <c r="A38" s="93"/>
      <c r="B38" s="93">
        <v>45869</v>
      </c>
      <c r="C38" s="94">
        <v>6926391499299</v>
      </c>
      <c r="D38" s="84" t="s">
        <v>361</v>
      </c>
      <c r="E38" s="86" t="s">
        <v>362</v>
      </c>
      <c r="F38" s="95"/>
      <c r="G38" s="96">
        <v>12</v>
      </c>
      <c r="H38" s="97"/>
      <c r="I38" s="90">
        <v>2121.6</v>
      </c>
      <c r="J38" s="98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</row>
    <row customHeight="true" ht="22" r="39">
      <c r="A39" s="93"/>
      <c r="B39" s="93">
        <v>45869</v>
      </c>
      <c r="C39" s="94">
        <v>6926391404132</v>
      </c>
      <c r="D39" s="84" t="s">
        <v>363</v>
      </c>
      <c r="E39" s="86" t="s">
        <v>364</v>
      </c>
      <c r="F39" s="95"/>
      <c r="G39" s="96">
        <v>10</v>
      </c>
      <c r="H39" s="97"/>
      <c r="I39" s="90">
        <v>1251.2</v>
      </c>
      <c r="J39" s="98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</row>
    <row customHeight="true" ht="22" r="40">
      <c r="A40" s="93"/>
      <c r="B40" s="93">
        <v>45869</v>
      </c>
      <c r="C40" s="94">
        <v>6926391498100</v>
      </c>
      <c r="D40" s="84" t="s">
        <v>365</v>
      </c>
      <c r="E40" s="86" t="s">
        <v>366</v>
      </c>
      <c r="F40" s="95"/>
      <c r="G40" s="96">
        <v>10</v>
      </c>
      <c r="H40" s="97"/>
      <c r="I40" s="90">
        <v>6392</v>
      </c>
      <c r="J40" s="98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</row>
    <row customHeight="true" ht="22" r="41">
      <c r="A41" s="93"/>
      <c r="B41" s="93">
        <v>45869</v>
      </c>
      <c r="C41" s="94">
        <v>6926391403364</v>
      </c>
      <c r="D41" s="84" t="s">
        <v>367</v>
      </c>
      <c r="E41" s="86" t="s">
        <v>368</v>
      </c>
      <c r="F41" s="95"/>
      <c r="G41" s="96">
        <v>10</v>
      </c>
      <c r="H41" s="97"/>
      <c r="I41" s="90">
        <v>1530</v>
      </c>
      <c r="J41" s="98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</row>
    <row customHeight="true" ht="22" r="42">
      <c r="A42" s="93"/>
      <c r="B42" s="93">
        <v>45869</v>
      </c>
      <c r="C42" s="94">
        <v>6926391400929</v>
      </c>
      <c r="D42" s="84" t="s">
        <v>369</v>
      </c>
      <c r="E42" s="86" t="s">
        <v>370</v>
      </c>
      <c r="F42" s="95"/>
      <c r="G42" s="96">
        <v>10</v>
      </c>
      <c r="H42" s="97"/>
      <c r="I42" s="90">
        <v>1700</v>
      </c>
      <c r="J42" s="98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</row>
    <row customHeight="true" ht="22" r="43">
      <c r="A43" s="93"/>
      <c r="B43" s="93">
        <v>45869</v>
      </c>
      <c r="C43" s="94">
        <v>6926391402343</v>
      </c>
      <c r="D43" s="84" t="s">
        <v>371</v>
      </c>
      <c r="E43" s="86" t="s">
        <v>372</v>
      </c>
      <c r="F43" s="95"/>
      <c r="G43" s="96">
        <v>40</v>
      </c>
      <c r="H43" s="97"/>
      <c r="I43" s="90">
        <v>5412.8</v>
      </c>
      <c r="J43" s="98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</row>
    <row customHeight="true" ht="22" r="44">
      <c r="A44" s="93"/>
      <c r="B44" s="93">
        <v>45869</v>
      </c>
      <c r="C44" s="94">
        <v>6926391401490</v>
      </c>
      <c r="D44" s="84" t="s">
        <v>373</v>
      </c>
      <c r="E44" s="86" t="s">
        <v>374</v>
      </c>
      <c r="F44" s="95"/>
      <c r="G44" s="96">
        <v>8</v>
      </c>
      <c r="H44" s="97"/>
      <c r="I44" s="90">
        <v>5385.6</v>
      </c>
      <c r="J44" s="98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customHeight="true" ht="22" r="45">
      <c r="A45" s="93"/>
      <c r="B45" s="93">
        <v>45869</v>
      </c>
      <c r="C45" s="94">
        <v>6926391404330</v>
      </c>
      <c r="D45" s="84" t="s">
        <v>375</v>
      </c>
      <c r="E45" s="86" t="s">
        <v>376</v>
      </c>
      <c r="F45" s="95"/>
      <c r="G45" s="96">
        <v>20</v>
      </c>
      <c r="H45" s="97"/>
      <c r="I45" s="90">
        <v>3808</v>
      </c>
      <c r="J45" s="98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</row>
    <row customHeight="true" ht="22" r="46">
      <c r="A46" s="93"/>
      <c r="B46" s="93">
        <v>45869</v>
      </c>
      <c r="C46" s="94">
        <v>6926391404194</v>
      </c>
      <c r="D46" s="84" t="s">
        <v>377</v>
      </c>
      <c r="E46" s="86" t="s">
        <v>378</v>
      </c>
      <c r="F46" s="95"/>
      <c r="G46" s="96">
        <v>24</v>
      </c>
      <c r="H46" s="97"/>
      <c r="I46" s="90">
        <v>7996.8</v>
      </c>
      <c r="J46" s="98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</row>
    <row customHeight="true" ht="22" r="47">
      <c r="A47" s="93"/>
      <c r="B47" s="93">
        <v>45869</v>
      </c>
      <c r="C47" s="94">
        <v>6926391404187</v>
      </c>
      <c r="D47" s="84" t="s">
        <v>379</v>
      </c>
      <c r="E47" s="86" t="s">
        <v>380</v>
      </c>
      <c r="F47" s="95"/>
      <c r="G47" s="96">
        <v>80</v>
      </c>
      <c r="H47" s="97"/>
      <c r="I47" s="90">
        <v>6473.6</v>
      </c>
      <c r="J47" s="98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</row>
    <row customHeight="true" ht="22" r="48">
      <c r="A48" s="93"/>
      <c r="B48" s="93">
        <v>45869</v>
      </c>
      <c r="C48" s="94">
        <v>6926391404200</v>
      </c>
      <c r="D48" s="84" t="s">
        <v>381</v>
      </c>
      <c r="E48" s="86" t="s">
        <v>382</v>
      </c>
      <c r="F48" s="95"/>
      <c r="G48" s="96">
        <v>180</v>
      </c>
      <c r="H48" s="97"/>
      <c r="I48" s="90">
        <v>5385.6</v>
      </c>
      <c r="J48" s="98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</row>
    <row customHeight="true" ht="22" r="49">
      <c r="A49" s="93"/>
      <c r="B49" s="93">
        <v>45869</v>
      </c>
      <c r="C49" s="94">
        <v>6926391402749</v>
      </c>
      <c r="D49" s="84" t="s">
        <v>383</v>
      </c>
      <c r="E49" s="86" t="s">
        <v>384</v>
      </c>
      <c r="F49" s="95"/>
      <c r="G49" s="96">
        <v>100</v>
      </c>
      <c r="H49" s="97"/>
      <c r="I49" s="90">
        <v>8092</v>
      </c>
      <c r="J49" s="98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  <row customHeight="true" ht="22" r="50">
      <c r="A50" s="93"/>
      <c r="B50" s="93">
        <v>45869</v>
      </c>
      <c r="C50" s="94">
        <v>6926391401995</v>
      </c>
      <c r="D50" s="84" t="s">
        <v>385</v>
      </c>
      <c r="E50" s="86" t="s">
        <v>386</v>
      </c>
      <c r="F50" s="95"/>
      <c r="G50" s="96">
        <v>30</v>
      </c>
      <c r="H50" s="97"/>
      <c r="I50" s="90">
        <v>4059.6</v>
      </c>
      <c r="J50" s="98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</row>
    <row customHeight="true" ht="22" r="51">
      <c r="A51" s="93"/>
      <c r="B51" s="93">
        <v>45869</v>
      </c>
      <c r="C51" s="94">
        <v>6926391401971</v>
      </c>
      <c r="D51" s="84" t="s">
        <v>387</v>
      </c>
      <c r="E51" s="86" t="s">
        <v>388</v>
      </c>
      <c r="F51" s="95"/>
      <c r="G51" s="96">
        <v>10</v>
      </c>
      <c r="H51" s="97"/>
      <c r="I51" s="90">
        <v>2992</v>
      </c>
      <c r="J51" s="98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</row>
    <row customHeight="true" ht="22" r="52">
      <c r="A52" s="93"/>
      <c r="B52" s="93">
        <v>45869</v>
      </c>
      <c r="C52" s="94">
        <v>6926391404064</v>
      </c>
      <c r="D52" s="84" t="s">
        <v>389</v>
      </c>
      <c r="E52" s="86" t="s">
        <v>390</v>
      </c>
      <c r="F52" s="95"/>
      <c r="G52" s="96">
        <v>32</v>
      </c>
      <c r="H52" s="97"/>
      <c r="I52" s="90">
        <v>1305.6</v>
      </c>
      <c r="J52" s="98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</row>
    <row customHeight="true" ht="22" r="53">
      <c r="A53" s="93"/>
      <c r="B53" s="93">
        <v>45869</v>
      </c>
      <c r="C53" s="94">
        <v>6926391404057</v>
      </c>
      <c r="D53" s="84" t="s">
        <v>391</v>
      </c>
      <c r="E53" s="86" t="s">
        <v>392</v>
      </c>
      <c r="F53" s="95"/>
      <c r="G53" s="96">
        <v>32</v>
      </c>
      <c r="H53" s="97"/>
      <c r="I53" s="90">
        <v>6310.4</v>
      </c>
      <c r="J53" s="98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</row>
    <row customHeight="true" ht="22" r="54">
      <c r="A54" s="93"/>
      <c r="B54" s="93">
        <v>45869</v>
      </c>
      <c r="C54" s="94">
        <v>6926391403586</v>
      </c>
      <c r="D54" s="84" t="s">
        <v>393</v>
      </c>
      <c r="E54" s="86" t="s">
        <v>394</v>
      </c>
      <c r="F54" s="95"/>
      <c r="G54" s="96">
        <v>10</v>
      </c>
      <c r="H54" s="97"/>
      <c r="I54" s="90">
        <v>4240</v>
      </c>
      <c r="J54" s="98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</row>
    <row customHeight="true" ht="22" r="55">
      <c r="A55" s="93"/>
      <c r="B55" s="93">
        <v>45869</v>
      </c>
      <c r="C55" s="94">
        <v>6926391403951</v>
      </c>
      <c r="D55" s="84" t="s">
        <v>395</v>
      </c>
      <c r="E55" s="86" t="s">
        <v>396</v>
      </c>
      <c r="F55" s="95"/>
      <c r="G55" s="96">
        <v>12</v>
      </c>
      <c r="H55" s="97"/>
      <c r="I55" s="90">
        <v>4814.4</v>
      </c>
      <c r="J55" s="98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</row>
    <row customHeight="true" ht="22" r="56">
      <c r="A56" s="93"/>
      <c r="B56" s="93">
        <v>45869</v>
      </c>
      <c r="C56" s="94">
        <v>6926391402886</v>
      </c>
      <c r="D56" s="84" t="s">
        <v>397</v>
      </c>
      <c r="E56" s="86" t="s">
        <v>398</v>
      </c>
      <c r="F56" s="95"/>
      <c r="G56" s="96">
        <v>40</v>
      </c>
      <c r="H56" s="97"/>
      <c r="I56" s="90">
        <v>3808</v>
      </c>
      <c r="J56" s="98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</row>
    <row customHeight="true" ht="22" r="57">
      <c r="A57" s="93"/>
      <c r="B57" s="93">
        <v>45869</v>
      </c>
      <c r="C57" s="94">
        <v>6926391402565</v>
      </c>
      <c r="D57" s="84" t="s">
        <v>399</v>
      </c>
      <c r="E57" s="86" t="s">
        <v>400</v>
      </c>
      <c r="F57" s="95"/>
      <c r="G57" s="96">
        <v>102</v>
      </c>
      <c r="H57" s="97"/>
      <c r="I57" s="90">
        <v>12138</v>
      </c>
      <c r="J57" s="98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customHeight="true" ht="22" r="58">
      <c r="A58" s="93"/>
      <c r="B58" s="93">
        <v>45869</v>
      </c>
      <c r="C58" s="94">
        <v>6926391402558</v>
      </c>
      <c r="D58" s="84" t="s">
        <v>401</v>
      </c>
      <c r="E58" s="86" t="s">
        <v>402</v>
      </c>
      <c r="F58" s="95"/>
      <c r="G58" s="96">
        <v>3</v>
      </c>
      <c r="H58" s="97"/>
      <c r="I58" s="90">
        <v>612</v>
      </c>
      <c r="J58" s="98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</row>
    <row customHeight="true" ht="22" r="59">
      <c r="A59" s="93"/>
      <c r="B59" s="93">
        <v>45869</v>
      </c>
      <c r="C59" s="94">
        <v>6926391402541</v>
      </c>
      <c r="D59" s="84" t="s">
        <v>403</v>
      </c>
      <c r="E59" s="86" t="s">
        <v>404</v>
      </c>
      <c r="F59" s="95"/>
      <c r="G59" s="96">
        <v>36</v>
      </c>
      <c r="H59" s="97"/>
      <c r="I59" s="90">
        <v>14688</v>
      </c>
      <c r="J59" s="98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</row>
    <row customHeight="true" ht="22" r="60">
      <c r="A60" s="93"/>
      <c r="B60" s="93">
        <v>45869</v>
      </c>
      <c r="C60" s="94">
        <v>6926391400875</v>
      </c>
      <c r="D60" s="84" t="s">
        <v>405</v>
      </c>
      <c r="E60" s="86" t="s">
        <v>406</v>
      </c>
      <c r="F60" s="95"/>
      <c r="G60" s="96">
        <v>6</v>
      </c>
      <c r="H60" s="97"/>
      <c r="I60" s="90">
        <v>8160</v>
      </c>
      <c r="J60" s="98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</row>
    <row customHeight="true" ht="22" r="61">
      <c r="A61" s="93"/>
      <c r="B61" s="93">
        <v>45869</v>
      </c>
      <c r="C61" s="94">
        <v>6926391496823</v>
      </c>
      <c r="D61" s="84" t="s">
        <v>407</v>
      </c>
      <c r="E61" s="86" t="s">
        <v>408</v>
      </c>
      <c r="F61" s="95"/>
      <c r="G61" s="96">
        <v>96</v>
      </c>
      <c r="H61" s="97"/>
      <c r="I61" s="90">
        <v>11424</v>
      </c>
      <c r="J61" s="98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</row>
    <row customHeight="true" ht="22" r="62">
      <c r="A62" s="93"/>
      <c r="B62" s="93">
        <v>45869</v>
      </c>
      <c r="C62" s="94">
        <v>6926391496816</v>
      </c>
      <c r="D62" s="84" t="s">
        <v>409</v>
      </c>
      <c r="E62" s="86" t="s">
        <v>410</v>
      </c>
      <c r="F62" s="95"/>
      <c r="G62" s="96">
        <v>180</v>
      </c>
      <c r="H62" s="97"/>
      <c r="I62" s="90">
        <v>36720</v>
      </c>
      <c r="J62" s="98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</row>
    <row customHeight="true" ht="22" r="63">
      <c r="A63" s="93"/>
      <c r="B63" s="93">
        <v>45869</v>
      </c>
      <c r="C63" s="94">
        <v>6926391496830</v>
      </c>
      <c r="D63" s="84" t="s">
        <v>411</v>
      </c>
      <c r="E63" s="86" t="s">
        <v>412</v>
      </c>
      <c r="F63" s="95"/>
      <c r="G63" s="96">
        <v>48</v>
      </c>
      <c r="H63" s="97"/>
      <c r="I63" s="90">
        <v>13056</v>
      </c>
      <c r="J63" s="98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</row>
    <row customHeight="true" ht="22" r="64">
      <c r="A64" s="93"/>
      <c r="B64" s="93">
        <v>45869</v>
      </c>
      <c r="C64" s="94">
        <v>6926391402619</v>
      </c>
      <c r="D64" s="84" t="s">
        <v>413</v>
      </c>
      <c r="E64" s="86" t="s">
        <v>414</v>
      </c>
      <c r="F64" s="95"/>
      <c r="G64" s="96">
        <v>16</v>
      </c>
      <c r="H64" s="97"/>
      <c r="I64" s="90">
        <v>8154.56</v>
      </c>
      <c r="J64" s="98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</row>
    <row customHeight="true" ht="22" r="65">
      <c r="A65" s="93"/>
      <c r="B65" s="93">
        <v>45869</v>
      </c>
      <c r="C65" s="94">
        <v>6926391498124</v>
      </c>
      <c r="D65" s="84" t="s">
        <v>415</v>
      </c>
      <c r="E65" s="86" t="s">
        <v>416</v>
      </c>
      <c r="F65" s="95"/>
      <c r="G65" s="96">
        <v>10</v>
      </c>
      <c r="H65" s="97"/>
      <c r="I65" s="90">
        <v>8942</v>
      </c>
      <c r="J65" s="98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</row>
    <row customHeight="true" ht="22" r="66">
      <c r="A66" s="93"/>
      <c r="B66" s="93">
        <v>45869</v>
      </c>
      <c r="C66" s="94">
        <v>6926391496267</v>
      </c>
      <c r="D66" s="84" t="s">
        <v>417</v>
      </c>
      <c r="E66" s="86" t="s">
        <v>418</v>
      </c>
      <c r="F66" s="95"/>
      <c r="G66" s="96">
        <v>5</v>
      </c>
      <c r="H66" s="97"/>
      <c r="I66" s="90">
        <v>12342</v>
      </c>
      <c r="J66" s="98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</row>
    <row customHeight="true" ht="22" r="67">
      <c r="A67" s="93"/>
      <c r="B67" s="93">
        <v>45869</v>
      </c>
      <c r="C67" s="94">
        <v>6926391498131</v>
      </c>
      <c r="D67" s="84" t="s">
        <v>419</v>
      </c>
      <c r="E67" s="86" t="s">
        <v>420</v>
      </c>
      <c r="F67" s="95"/>
      <c r="G67" s="96">
        <v>10</v>
      </c>
      <c r="H67" s="97"/>
      <c r="I67" s="90">
        <v>18870</v>
      </c>
      <c r="J67" s="98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</row>
    <row customHeight="true" ht="22" r="68">
      <c r="A68" s="93"/>
      <c r="B68" s="93">
        <v>45869</v>
      </c>
      <c r="C68" s="94">
        <v>6926391402527</v>
      </c>
      <c r="D68" s="84" t="s">
        <v>421</v>
      </c>
      <c r="E68" s="86" t="s">
        <v>422</v>
      </c>
      <c r="F68" s="95"/>
      <c r="G68" s="96">
        <v>3</v>
      </c>
      <c r="H68" s="97"/>
      <c r="I68" s="90">
        <v>13770</v>
      </c>
      <c r="J68" s="98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</row>
    <row customHeight="true" ht="22" r="69">
      <c r="A69" s="93"/>
      <c r="B69" s="93">
        <v>45869</v>
      </c>
      <c r="C69" s="94">
        <v>6926391401315</v>
      </c>
      <c r="D69" s="84" t="s">
        <v>423</v>
      </c>
      <c r="E69" s="86" t="s">
        <v>424</v>
      </c>
      <c r="F69" s="95"/>
      <c r="G69" s="96">
        <v>3</v>
      </c>
      <c r="H69" s="97"/>
      <c r="I69" s="90">
        <v>693.6</v>
      </c>
      <c r="J69" s="98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</row>
    <row customHeight="true" ht="22" r="70">
      <c r="A70" s="93"/>
      <c r="B70" s="93">
        <v>45869</v>
      </c>
      <c r="C70" s="94">
        <v>6926391401278</v>
      </c>
      <c r="D70" s="84" t="s">
        <v>425</v>
      </c>
      <c r="E70" s="86" t="s">
        <v>426</v>
      </c>
      <c r="F70" s="95"/>
      <c r="G70" s="96">
        <v>3</v>
      </c>
      <c r="H70" s="97"/>
      <c r="I70" s="90">
        <v>3345.6</v>
      </c>
      <c r="J70" s="98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</row>
    <row customHeight="true" ht="22" r="71">
      <c r="A71" s="93"/>
      <c r="B71" s="93">
        <v>45869</v>
      </c>
      <c r="C71" s="94">
        <v>6926391404118</v>
      </c>
      <c r="D71" s="84" t="s">
        <v>427</v>
      </c>
      <c r="E71" s="86" t="s">
        <v>428</v>
      </c>
      <c r="F71" s="95"/>
      <c r="G71" s="96">
        <v>5</v>
      </c>
      <c r="H71" s="97"/>
      <c r="I71" s="90">
        <v>850</v>
      </c>
      <c r="J71" s="98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</row>
    <row customHeight="true" ht="22" r="72">
      <c r="A72" s="93"/>
      <c r="B72" s="93">
        <v>45869</v>
      </c>
      <c r="C72" s="94">
        <v>6926391400806</v>
      </c>
      <c r="D72" s="84" t="s">
        <v>429</v>
      </c>
      <c r="E72" s="86" t="s">
        <v>430</v>
      </c>
      <c r="F72" s="95"/>
      <c r="G72" s="96">
        <v>5</v>
      </c>
      <c r="H72" s="97"/>
      <c r="I72" s="90">
        <v>595</v>
      </c>
      <c r="J72" s="98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</row>
    <row customHeight="true" ht="22" r="73">
      <c r="A73" s="93"/>
      <c r="B73" s="93">
        <v>45869</v>
      </c>
      <c r="C73" s="94">
        <v>6926391403623</v>
      </c>
      <c r="D73" s="84" t="s">
        <v>431</v>
      </c>
      <c r="E73" s="86" t="s">
        <v>432</v>
      </c>
      <c r="F73" s="95"/>
      <c r="G73" s="96">
        <v>5</v>
      </c>
      <c r="H73" s="97"/>
      <c r="I73" s="90">
        <v>678.3</v>
      </c>
      <c r="J73" s="98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</row>
    <row customHeight="true" ht="22" r="74">
      <c r="A74" s="93"/>
      <c r="B74" s="93">
        <v>45869</v>
      </c>
      <c r="C74" s="94">
        <v>6926391403616</v>
      </c>
      <c r="D74" s="84" t="s">
        <v>431</v>
      </c>
      <c r="E74" s="86" t="s">
        <v>433</v>
      </c>
      <c r="F74" s="95"/>
      <c r="G74" s="96">
        <v>2</v>
      </c>
      <c r="H74" s="97"/>
      <c r="I74" s="90">
        <v>1356.6</v>
      </c>
      <c r="J74" s="98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</row>
    <row customHeight="true" ht="22" r="75">
      <c r="A75" s="93"/>
      <c r="B75" s="93">
        <v>45869</v>
      </c>
      <c r="C75" s="94">
        <v>6926391400837</v>
      </c>
      <c r="D75" s="84" t="s">
        <v>434</v>
      </c>
      <c r="E75" s="86" t="s">
        <v>435</v>
      </c>
      <c r="F75" s="95"/>
      <c r="G75" s="96">
        <v>2</v>
      </c>
      <c r="H75" s="97"/>
      <c r="I75" s="90">
        <v>5984</v>
      </c>
      <c r="J75" s="98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customHeight="true" ht="22" r="76">
      <c r="A76" s="93"/>
      <c r="B76" s="93">
        <v>45869</v>
      </c>
      <c r="C76" s="94">
        <v>6926391499213</v>
      </c>
      <c r="D76" s="84" t="s">
        <v>436</v>
      </c>
      <c r="E76" s="86" t="s">
        <v>437</v>
      </c>
      <c r="F76" s="95"/>
      <c r="G76" s="96">
        <v>2</v>
      </c>
      <c r="H76" s="97"/>
      <c r="I76" s="90">
        <v>938.4</v>
      </c>
      <c r="J76" s="98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</row>
    <row customHeight="true" ht="22" r="77">
      <c r="A77" s="93"/>
      <c r="B77" s="93">
        <v>45869</v>
      </c>
      <c r="C77" s="94">
        <v>6926391499749</v>
      </c>
      <c r="D77" s="84" t="s">
        <v>438</v>
      </c>
      <c r="E77" s="86" t="s">
        <v>439</v>
      </c>
      <c r="F77" s="95"/>
      <c r="G77" s="96">
        <v>2</v>
      </c>
      <c r="H77" s="97"/>
      <c r="I77" s="90">
        <v>870.4</v>
      </c>
      <c r="J77" s="98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</row>
    <row customHeight="true" ht="22" r="78">
      <c r="A78" s="93"/>
      <c r="B78" s="93">
        <v>45869</v>
      </c>
      <c r="C78" s="94">
        <v>6926391498759</v>
      </c>
      <c r="D78" s="84" t="s">
        <v>440</v>
      </c>
      <c r="E78" s="86" t="s">
        <v>441</v>
      </c>
      <c r="F78" s="95"/>
      <c r="G78" s="96">
        <v>2</v>
      </c>
      <c r="H78" s="97"/>
      <c r="I78" s="90">
        <v>6310.4</v>
      </c>
      <c r="J78" s="98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</row>
    <row customHeight="true" ht="22" r="79">
      <c r="A79" s="93"/>
      <c r="B79" s="93">
        <v>45869</v>
      </c>
      <c r="C79" s="94">
        <v>6926391497639</v>
      </c>
      <c r="D79" s="84" t="s">
        <v>442</v>
      </c>
      <c r="E79" s="86" t="s">
        <v>443</v>
      </c>
      <c r="F79" s="95"/>
      <c r="G79" s="96">
        <v>2</v>
      </c>
      <c r="H79" s="97"/>
      <c r="I79" s="90">
        <v>1142.4</v>
      </c>
      <c r="J79" s="98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</row>
    <row customHeight="true" ht="22" r="80">
      <c r="A80" s="93"/>
      <c r="B80" s="93">
        <v>45869</v>
      </c>
      <c r="C80" s="94">
        <v>6926391400172</v>
      </c>
      <c r="D80" s="84" t="s">
        <v>444</v>
      </c>
      <c r="E80" s="86" t="s">
        <v>445</v>
      </c>
      <c r="F80" s="95"/>
      <c r="G80" s="96">
        <v>2</v>
      </c>
      <c r="H80" s="97"/>
      <c r="I80" s="90">
        <v>2298.4</v>
      </c>
      <c r="J80" s="98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customHeight="true" ht="22" r="81">
      <c r="A81" s="93"/>
      <c r="B81" s="93">
        <v>45869</v>
      </c>
      <c r="C81" s="94">
        <v>6926391400189</v>
      </c>
      <c r="D81" s="84" t="s">
        <v>446</v>
      </c>
      <c r="E81" s="86" t="s">
        <v>447</v>
      </c>
      <c r="F81" s="95"/>
      <c r="G81" s="96">
        <v>2</v>
      </c>
      <c r="H81" s="97"/>
      <c r="I81" s="90">
        <v>4936.8</v>
      </c>
      <c r="J81" s="98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</row>
    <row customHeight="true" ht="22" r="82">
      <c r="A82" s="93"/>
      <c r="B82" s="93">
        <v>45869</v>
      </c>
      <c r="C82" s="94">
        <v>6926391498148</v>
      </c>
      <c r="D82" s="84" t="s">
        <v>448</v>
      </c>
      <c r="E82" s="86" t="s">
        <v>449</v>
      </c>
      <c r="F82" s="95"/>
      <c r="G82" s="96">
        <v>72</v>
      </c>
      <c r="H82" s="97"/>
      <c r="I82" s="90">
        <v>16156.8</v>
      </c>
      <c r="J82" s="98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</row>
    <row customHeight="true" ht="22" r="83">
      <c r="A83" s="93"/>
      <c r="B83" s="93">
        <v>45869</v>
      </c>
      <c r="C83" s="100">
        <v>6926391498179</v>
      </c>
      <c r="D83" s="84" t="s">
        <v>448</v>
      </c>
      <c r="E83" s="86" t="s">
        <v>450</v>
      </c>
      <c r="F83" s="95"/>
      <c r="G83" s="96">
        <v>2</v>
      </c>
      <c r="H83" s="97"/>
      <c r="I83" s="90">
        <v>2692.8</v>
      </c>
      <c r="J83" s="98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</row>
    <row customHeight="true" ht="22" r="84">
      <c r="A84" s="93"/>
      <c r="B84" s="93">
        <v>45869</v>
      </c>
      <c r="C84" s="94">
        <v>6926391400141</v>
      </c>
      <c r="D84" s="84" t="s">
        <v>451</v>
      </c>
      <c r="E84" s="86" t="s">
        <v>452</v>
      </c>
      <c r="F84" s="95"/>
      <c r="G84" s="96">
        <v>2</v>
      </c>
      <c r="H84" s="97"/>
      <c r="I84" s="90">
        <v>1074.4</v>
      </c>
      <c r="J84" s="98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</row>
    <row customHeight="true" ht="22" r="85">
      <c r="A85" s="93"/>
      <c r="B85" s="93">
        <v>45869</v>
      </c>
      <c r="C85" s="94">
        <v>6926391404170</v>
      </c>
      <c r="D85" s="84" t="s">
        <v>453</v>
      </c>
      <c r="E85" s="86" t="s">
        <v>454</v>
      </c>
      <c r="F85" s="95"/>
      <c r="G85" s="96">
        <v>4</v>
      </c>
      <c r="H85" s="97"/>
      <c r="I85" s="90">
        <v>6772.8</v>
      </c>
      <c r="J85" s="98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</row>
    <row customHeight="true" ht="22" r="86">
      <c r="A86" s="93"/>
      <c r="B86" s="93">
        <v>45869</v>
      </c>
      <c r="C86" s="94">
        <v>6926391403401</v>
      </c>
      <c r="D86" s="84" t="s">
        <v>455</v>
      </c>
      <c r="E86" s="86" t="s">
        <v>456</v>
      </c>
      <c r="F86" s="95"/>
      <c r="G86" s="96">
        <v>2</v>
      </c>
      <c r="H86" s="97"/>
      <c r="I86" s="90">
        <v>2720</v>
      </c>
      <c r="J86" s="98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</row>
    <row customHeight="true" ht="22" r="87">
      <c r="A87" s="93"/>
      <c r="B87" s="93">
        <v>45869</v>
      </c>
      <c r="C87" s="94">
        <v>6926391402053</v>
      </c>
      <c r="D87" s="84" t="s">
        <v>457</v>
      </c>
      <c r="E87" s="86" t="s">
        <v>458</v>
      </c>
      <c r="F87" s="95"/>
      <c r="G87" s="96">
        <v>2</v>
      </c>
      <c r="H87" s="97"/>
      <c r="I87" s="90">
        <v>4066.4</v>
      </c>
      <c r="J87" s="98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</row>
    <row customHeight="true" ht="22" r="88">
      <c r="A88" s="93"/>
      <c r="B88" s="93">
        <v>45869</v>
      </c>
      <c r="C88" s="94">
        <v>6926391404309</v>
      </c>
      <c r="D88" s="84" t="s">
        <v>459</v>
      </c>
      <c r="E88" s="86" t="s">
        <v>460</v>
      </c>
      <c r="F88" s="95"/>
      <c r="G88" s="96">
        <v>2</v>
      </c>
      <c r="H88" s="97"/>
      <c r="I88" s="90">
        <v>666.4</v>
      </c>
      <c r="J88" s="98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</row>
    <row customHeight="true" ht="22" r="89">
      <c r="A89" s="93"/>
      <c r="B89" s="93">
        <v>45869</v>
      </c>
      <c r="C89" s="94">
        <v>6926391404378</v>
      </c>
      <c r="D89" s="84" t="s">
        <v>461</v>
      </c>
      <c r="E89" s="86" t="s">
        <v>462</v>
      </c>
      <c r="F89" s="95"/>
      <c r="G89" s="96">
        <v>2</v>
      </c>
      <c r="H89" s="97"/>
      <c r="I89" s="90">
        <v>421.6</v>
      </c>
      <c r="J89" s="98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</row>
    <row customHeight="true" ht="22" r="90">
      <c r="A90" s="93"/>
      <c r="B90" s="93">
        <v>45869</v>
      </c>
      <c r="C90" s="94">
        <v>6926391404033</v>
      </c>
      <c r="D90" s="84" t="s">
        <v>463</v>
      </c>
      <c r="E90" s="86" t="s">
        <v>464</v>
      </c>
      <c r="F90" s="95"/>
      <c r="G90" s="96">
        <v>4</v>
      </c>
      <c r="H90" s="97"/>
      <c r="I90" s="90">
        <v>13760</v>
      </c>
      <c r="J90" s="98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</row>
    <row customHeight="true" ht="22" r="91">
      <c r="A91" s="93"/>
      <c r="B91" s="93">
        <v>45876</v>
      </c>
      <c r="C91" s="94">
        <v>6926391404231</v>
      </c>
      <c r="D91" s="84" t="s">
        <v>465</v>
      </c>
      <c r="E91" s="101" t="s">
        <v>466</v>
      </c>
      <c r="F91" s="95"/>
      <c r="G91" s="96">
        <v>2</v>
      </c>
      <c r="H91" s="97"/>
      <c r="I91" s="90">
        <v>11424</v>
      </c>
      <c r="J91" s="98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</row>
    <row customHeight="true" ht="22" r="92">
      <c r="A92" s="93"/>
      <c r="B92" s="93">
        <v>45876</v>
      </c>
      <c r="C92" s="94">
        <v>6926391404507</v>
      </c>
      <c r="D92" s="84" t="s">
        <v>467</v>
      </c>
      <c r="E92" s="86" t="s">
        <v>468</v>
      </c>
      <c r="F92" s="95"/>
      <c r="G92" s="96">
        <v>12</v>
      </c>
      <c r="H92" s="97"/>
      <c r="I92" s="90">
        <v>16320</v>
      </c>
      <c r="J92" s="98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</row>
    <row customHeight="true" ht="22" r="93">
      <c r="A93" s="93"/>
      <c r="B93" s="93">
        <v>45876</v>
      </c>
      <c r="C93" s="94">
        <v>6926391404514</v>
      </c>
      <c r="D93" s="84" t="s">
        <v>469</v>
      </c>
      <c r="E93" s="86" t="s">
        <v>470</v>
      </c>
      <c r="F93" s="95"/>
      <c r="G93" s="96">
        <v>30</v>
      </c>
      <c r="H93" s="97"/>
      <c r="I93" s="90">
        <v>6120</v>
      </c>
      <c r="J93" s="98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</row>
    <row customHeight="true" ht="22" r="94">
      <c r="A94" s="93"/>
      <c r="B94" s="93">
        <v>45876</v>
      </c>
      <c r="C94" s="94">
        <v>6926391404521</v>
      </c>
      <c r="D94" s="84" t="s">
        <v>471</v>
      </c>
      <c r="E94" s="86" t="s">
        <v>472</v>
      </c>
      <c r="F94" s="95"/>
      <c r="G94" s="96">
        <v>60</v>
      </c>
      <c r="H94" s="97"/>
      <c r="I94" s="90">
        <v>7140</v>
      </c>
      <c r="J94" s="98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</row>
    <row customHeight="true" ht="22" r="95">
      <c r="A95" s="93"/>
      <c r="B95" s="93">
        <v>45876</v>
      </c>
      <c r="C95" s="94">
        <v>6926391400325</v>
      </c>
      <c r="D95" s="84" t="s">
        <v>473</v>
      </c>
      <c r="E95" s="86" t="s">
        <v>474</v>
      </c>
      <c r="F95" s="95"/>
      <c r="G95" s="96">
        <v>6</v>
      </c>
      <c r="H95" s="97"/>
      <c r="I95" s="90">
        <v>1199.52</v>
      </c>
      <c r="J95" s="98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</row>
    <row customHeight="true" ht="22" r="96">
      <c r="A96" s="93"/>
      <c r="B96" s="93">
        <v>45876</v>
      </c>
      <c r="C96" s="84">
        <v>2508080001</v>
      </c>
      <c r="D96" s="84" t="s">
        <v>475</v>
      </c>
      <c r="E96" s="86" t="s">
        <v>476</v>
      </c>
      <c r="F96" s="95"/>
      <c r="G96" s="96">
        <v>20</v>
      </c>
      <c r="H96" s="97"/>
      <c r="I96" s="90">
        <v>4000</v>
      </c>
      <c r="J96" s="98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</row>
    <row customHeight="true" ht="22" r="97">
      <c r="A97" s="93"/>
      <c r="B97" s="93">
        <v>45877</v>
      </c>
      <c r="C97" s="84" t="s">
        <v>477</v>
      </c>
      <c r="D97" s="84" t="s">
        <v>477</v>
      </c>
      <c r="E97" s="86" t="s">
        <v>478</v>
      </c>
      <c r="F97" s="95"/>
      <c r="G97" s="96">
        <v>100</v>
      </c>
      <c r="H97" s="97"/>
      <c r="I97" s="90">
        <v>100</v>
      </c>
      <c r="J97" s="98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</row>
    <row customHeight="true" ht="22" r="98">
      <c r="A98" s="93"/>
      <c r="B98" s="93">
        <v>45877</v>
      </c>
      <c r="C98" s="84" t="s">
        <v>477</v>
      </c>
      <c r="D98" s="84" t="s">
        <v>477</v>
      </c>
      <c r="E98" s="86" t="s">
        <v>479</v>
      </c>
      <c r="F98" s="95"/>
      <c r="G98" s="96">
        <v>100</v>
      </c>
      <c r="H98" s="97"/>
      <c r="I98" s="90">
        <v>260</v>
      </c>
      <c r="J98" s="98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</row>
    <row customHeight="true" ht="22" r="99">
      <c r="A99" s="93"/>
      <c r="B99" s="93">
        <v>45877</v>
      </c>
      <c r="C99" s="84" t="s">
        <v>477</v>
      </c>
      <c r="D99" s="84" t="s">
        <v>477</v>
      </c>
      <c r="E99" s="86" t="s">
        <v>480</v>
      </c>
      <c r="F99" s="95"/>
      <c r="G99" s="96">
        <v>4000</v>
      </c>
      <c r="H99" s="97"/>
      <c r="I99" s="90">
        <v>680</v>
      </c>
      <c r="J99" s="98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</row>
    <row customHeight="true" ht="22" r="100">
      <c r="A100" s="93"/>
      <c r="B100" s="93">
        <v>45877</v>
      </c>
      <c r="C100" s="84" t="s">
        <v>477</v>
      </c>
      <c r="D100" s="84" t="s">
        <v>477</v>
      </c>
      <c r="E100" s="86" t="s">
        <v>481</v>
      </c>
      <c r="F100" s="95"/>
      <c r="G100" s="96">
        <v>50</v>
      </c>
      <c r="H100" s="97"/>
      <c r="I100" s="90">
        <v>400</v>
      </c>
      <c r="J100" s="98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</row>
    <row customHeight="true" ht="22" r="101">
      <c r="A101" s="93"/>
      <c r="B101" s="93">
        <v>45877</v>
      </c>
      <c r="C101" s="84" t="s">
        <v>477</v>
      </c>
      <c r="D101" s="84" t="s">
        <v>477</v>
      </c>
      <c r="E101" s="86" t="s">
        <v>482</v>
      </c>
      <c r="F101" s="95"/>
      <c r="G101" s="96">
        <v>200</v>
      </c>
      <c r="H101" s="97"/>
      <c r="I101" s="90">
        <v>820</v>
      </c>
      <c r="J101" s="98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</row>
    <row customHeight="true" ht="22" r="102">
      <c r="A102" s="93"/>
      <c r="B102" s="93">
        <v>45877</v>
      </c>
      <c r="C102" s="84" t="s">
        <v>477</v>
      </c>
      <c r="D102" s="84" t="s">
        <v>477</v>
      </c>
      <c r="E102" s="86" t="s">
        <v>483</v>
      </c>
      <c r="F102" s="95"/>
      <c r="G102" s="96">
        <v>200</v>
      </c>
      <c r="H102" s="97"/>
      <c r="I102" s="90">
        <v>520</v>
      </c>
      <c r="J102" s="98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</row>
    <row customHeight="true" ht="22" r="103">
      <c r="A103" s="102"/>
      <c r="B103" s="102">
        <v>45902</v>
      </c>
      <c r="C103" s="94">
        <v>6926391402725</v>
      </c>
      <c r="D103" s="84" t="s">
        <v>484</v>
      </c>
      <c r="E103" s="86" t="s">
        <v>485</v>
      </c>
      <c r="F103" s="95"/>
      <c r="G103" s="96">
        <v>6</v>
      </c>
      <c r="H103" s="89">
        <v>6</v>
      </c>
      <c r="I103" s="90">
        <v>1627.92</v>
      </c>
      <c r="J103" s="98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</row>
    <row customHeight="true" ht="22" r="104">
      <c r="A104" s="102"/>
      <c r="B104" s="102">
        <v>45902</v>
      </c>
      <c r="C104" s="94">
        <v>6978840240037</v>
      </c>
      <c r="D104" s="84" t="s">
        <v>486</v>
      </c>
      <c r="E104" s="86" t="s">
        <v>487</v>
      </c>
      <c r="F104" s="95"/>
      <c r="G104" s="96">
        <v>10</v>
      </c>
      <c r="H104" s="89">
        <v>10</v>
      </c>
      <c r="I104" s="90">
        <v>1292</v>
      </c>
      <c r="J104" s="98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</row>
    <row customHeight="true" ht="22" r="105">
      <c r="A105" s="102"/>
      <c r="B105" s="102">
        <v>45902</v>
      </c>
      <c r="C105" s="94">
        <v>6978840240006</v>
      </c>
      <c r="D105" s="84" t="s">
        <v>488</v>
      </c>
      <c r="E105" s="86" t="s">
        <v>489</v>
      </c>
      <c r="F105" s="95"/>
      <c r="G105" s="96">
        <v>10</v>
      </c>
      <c r="H105" s="89">
        <v>10</v>
      </c>
      <c r="I105" s="90">
        <v>3672</v>
      </c>
      <c r="J105" s="98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</row>
    <row customHeight="true" ht="22" r="106">
      <c r="A106" s="102"/>
      <c r="B106" s="102">
        <v>45902</v>
      </c>
      <c r="C106" s="94">
        <v>6978840240013</v>
      </c>
      <c r="D106" s="84" t="s">
        <v>490</v>
      </c>
      <c r="E106" s="86" t="s">
        <v>491</v>
      </c>
      <c r="F106" s="95"/>
      <c r="G106" s="96">
        <v>20</v>
      </c>
      <c r="H106" s="89">
        <v>20</v>
      </c>
      <c r="I106" s="90">
        <v>3060</v>
      </c>
      <c r="J106" s="98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</row>
    <row customHeight="true" ht="22" r="107">
      <c r="A107" s="102"/>
      <c r="B107" s="102">
        <v>45902</v>
      </c>
      <c r="C107" s="94">
        <v>6926391404361</v>
      </c>
      <c r="D107" s="84" t="s">
        <v>295</v>
      </c>
      <c r="E107" s="86" t="s">
        <v>296</v>
      </c>
      <c r="F107" s="95"/>
      <c r="G107" s="96">
        <v>20</v>
      </c>
      <c r="H107" s="89">
        <v>20</v>
      </c>
      <c r="I107" s="90">
        <v>4420</v>
      </c>
      <c r="J107" s="98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</row>
    <row customHeight="true" ht="22" r="108">
      <c r="A108" s="102"/>
      <c r="B108" s="102">
        <v>45902</v>
      </c>
      <c r="C108" s="94">
        <v>6926391403227</v>
      </c>
      <c r="D108" s="84" t="s">
        <v>321</v>
      </c>
      <c r="E108" s="86" t="s">
        <v>322</v>
      </c>
      <c r="F108" s="99">
        <v>23.12</v>
      </c>
      <c r="G108" s="96">
        <f>36*2</f>
      </c>
      <c r="H108" s="89">
        <v>72</v>
      </c>
      <c r="I108" s="90">
        <v>1664.64</v>
      </c>
      <c r="J108" s="98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</row>
    <row customHeight="true" ht="22" r="109">
      <c r="A109" s="102"/>
      <c r="B109" s="102">
        <v>45902</v>
      </c>
      <c r="C109" s="94">
        <v>6926391403081</v>
      </c>
      <c r="D109" s="84" t="s">
        <v>329</v>
      </c>
      <c r="E109" s="86" t="s">
        <v>330</v>
      </c>
      <c r="F109" s="95"/>
      <c r="G109" s="96">
        <f>24*7</f>
      </c>
      <c r="H109" s="89">
        <v>168</v>
      </c>
      <c r="I109" s="90">
        <v>7711.2</v>
      </c>
      <c r="J109" s="98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</row>
    <row customHeight="true" ht="22" r="110">
      <c r="A110" s="102"/>
      <c r="B110" s="102">
        <v>45902</v>
      </c>
      <c r="C110" s="94">
        <v>6926391403098</v>
      </c>
      <c r="D110" s="84" t="s">
        <v>331</v>
      </c>
      <c r="E110" s="86" t="s">
        <v>332</v>
      </c>
      <c r="F110" s="95"/>
      <c r="G110" s="96">
        <f>24*2</f>
      </c>
      <c r="H110" s="89">
        <v>48</v>
      </c>
      <c r="I110" s="90">
        <v>5222.4</v>
      </c>
      <c r="J110" s="98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</row>
    <row customHeight="true" ht="22" r="111">
      <c r="A111" s="102"/>
      <c r="B111" s="102">
        <v>45902</v>
      </c>
      <c r="C111" s="94">
        <v>6926391401124</v>
      </c>
      <c r="D111" s="84" t="s">
        <v>353</v>
      </c>
      <c r="E111" s="86" t="s">
        <v>354</v>
      </c>
      <c r="F111" s="95"/>
      <c r="G111" s="96">
        <f>24</f>
      </c>
      <c r="H111" s="89">
        <v>24</v>
      </c>
      <c r="I111" s="90">
        <v>2488.8</v>
      </c>
      <c r="J111" s="98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</row>
    <row customHeight="true" ht="22" r="112">
      <c r="A112" s="102"/>
      <c r="B112" s="102">
        <v>45902</v>
      </c>
      <c r="C112" s="94">
        <v>6926391404132</v>
      </c>
      <c r="D112" s="84" t="s">
        <v>363</v>
      </c>
      <c r="E112" s="86" t="s">
        <v>364</v>
      </c>
      <c r="F112" s="95"/>
      <c r="G112" s="96">
        <f>20</f>
      </c>
      <c r="H112" s="89">
        <v>20</v>
      </c>
      <c r="I112" s="90">
        <v>2502.4</v>
      </c>
      <c r="J112" s="98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</row>
    <row customHeight="true" ht="22" r="113">
      <c r="A113" s="102"/>
      <c r="B113" s="102">
        <v>45902</v>
      </c>
      <c r="C113" s="94">
        <v>6926391403364</v>
      </c>
      <c r="D113" s="84" t="s">
        <v>367</v>
      </c>
      <c r="E113" s="86" t="s">
        <v>368</v>
      </c>
      <c r="F113" s="95"/>
      <c r="G113" s="96">
        <v>50</v>
      </c>
      <c r="H113" s="89">
        <v>50</v>
      </c>
      <c r="I113" s="90">
        <v>7650</v>
      </c>
      <c r="J113" s="98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</row>
    <row customHeight="true" ht="22" r="114">
      <c r="A114" s="102"/>
      <c r="B114" s="102">
        <v>45902</v>
      </c>
      <c r="C114" s="94">
        <v>6926391401490</v>
      </c>
      <c r="D114" s="84" t="s">
        <v>373</v>
      </c>
      <c r="E114" s="86" t="s">
        <v>374</v>
      </c>
      <c r="F114" s="95"/>
      <c r="G114" s="96">
        <v>8</v>
      </c>
      <c r="H114" s="89">
        <v>8</v>
      </c>
      <c r="I114" s="90">
        <v>5385.6</v>
      </c>
      <c r="J114" s="98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</row>
    <row customHeight="true" ht="22" r="115">
      <c r="A115" s="102"/>
      <c r="B115" s="102">
        <v>45902</v>
      </c>
      <c r="C115" s="94">
        <v>6926391404200</v>
      </c>
      <c r="D115" s="84" t="s">
        <v>381</v>
      </c>
      <c r="E115" s="86" t="s">
        <v>382</v>
      </c>
      <c r="F115" s="95"/>
      <c r="G115" s="96">
        <v>60</v>
      </c>
      <c r="H115" s="89">
        <v>60</v>
      </c>
      <c r="I115" s="90">
        <v>1795.2</v>
      </c>
      <c r="J115" s="98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</row>
    <row customHeight="true" ht="22" r="116">
      <c r="A116" s="102"/>
      <c r="B116" s="102">
        <v>45902</v>
      </c>
      <c r="C116" s="94">
        <v>6926391402541</v>
      </c>
      <c r="D116" s="84" t="s">
        <v>403</v>
      </c>
      <c r="E116" s="86" t="s">
        <v>404</v>
      </c>
      <c r="F116" s="95"/>
      <c r="G116" s="96">
        <v>12</v>
      </c>
      <c r="H116" s="89">
        <v>12</v>
      </c>
      <c r="I116" s="90">
        <v>4896</v>
      </c>
      <c r="J116" s="98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</row>
    <row customHeight="true" ht="22" r="117">
      <c r="A117" s="102"/>
      <c r="B117" s="102">
        <v>45902</v>
      </c>
      <c r="C117" s="94">
        <v>6926391496816</v>
      </c>
      <c r="D117" s="84" t="s">
        <v>409</v>
      </c>
      <c r="E117" s="86" t="s">
        <v>410</v>
      </c>
      <c r="F117" s="95"/>
      <c r="G117" s="96">
        <v>12</v>
      </c>
      <c r="H117" s="89">
        <v>12</v>
      </c>
      <c r="I117" s="90">
        <v>2448</v>
      </c>
      <c r="J117" s="98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</row>
    <row customHeight="true" ht="22" r="118">
      <c r="A118" s="102"/>
      <c r="B118" s="102">
        <v>45902</v>
      </c>
      <c r="C118" s="94">
        <v>6926391402619</v>
      </c>
      <c r="D118" s="84" t="s">
        <v>413</v>
      </c>
      <c r="E118" s="86" t="s">
        <v>414</v>
      </c>
      <c r="F118" s="95"/>
      <c r="G118" s="96">
        <v>8</v>
      </c>
      <c r="H118" s="89">
        <v>8</v>
      </c>
      <c r="I118" s="90">
        <v>4077.28</v>
      </c>
      <c r="J118" s="98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</row>
    <row customHeight="true" ht="22" r="119">
      <c r="A119" s="102"/>
      <c r="B119" s="102">
        <v>45902</v>
      </c>
      <c r="C119" s="94">
        <v>6926391400325</v>
      </c>
      <c r="D119" s="84" t="s">
        <v>473</v>
      </c>
      <c r="E119" s="86" t="s">
        <v>474</v>
      </c>
      <c r="F119" s="95"/>
      <c r="G119" s="96">
        <v>6</v>
      </c>
      <c r="H119" s="89">
        <v>6</v>
      </c>
      <c r="I119" s="90">
        <v>1199.52</v>
      </c>
      <c r="J119" s="98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</row>
    <row customHeight="true" ht="22" r="120">
      <c r="A120" s="102"/>
      <c r="B120" s="102">
        <v>45902</v>
      </c>
      <c r="C120" s="94">
        <v>6926391401278</v>
      </c>
      <c r="D120" s="84" t="s">
        <v>425</v>
      </c>
      <c r="E120" s="86" t="s">
        <v>426</v>
      </c>
      <c r="F120" s="95"/>
      <c r="G120" s="96">
        <v>3</v>
      </c>
      <c r="H120" s="89">
        <v>3</v>
      </c>
      <c r="I120" s="90">
        <v>3345.6</v>
      </c>
      <c r="J120" s="98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</row>
    <row customHeight="true" ht="22" r="121">
      <c r="A121" s="102"/>
      <c r="B121" s="102">
        <v>45902</v>
      </c>
      <c r="C121" s="94">
        <v>6926391400806</v>
      </c>
      <c r="D121" s="84" t="s">
        <v>429</v>
      </c>
      <c r="E121" s="86" t="s">
        <v>430</v>
      </c>
      <c r="F121" s="95"/>
      <c r="G121" s="96">
        <v>5</v>
      </c>
      <c r="H121" s="89">
        <v>5</v>
      </c>
      <c r="I121" s="90">
        <v>595</v>
      </c>
      <c r="J121" s="98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</row>
    <row customHeight="true" ht="22" r="122">
      <c r="A122" s="102"/>
      <c r="B122" s="102">
        <v>45902</v>
      </c>
      <c r="C122" s="94">
        <v>6926391403623</v>
      </c>
      <c r="D122" s="84" t="s">
        <v>431</v>
      </c>
      <c r="E122" s="86" t="s">
        <v>432</v>
      </c>
      <c r="F122" s="95"/>
      <c r="G122" s="96">
        <v>20</v>
      </c>
      <c r="H122" s="89">
        <v>20</v>
      </c>
      <c r="I122" s="90">
        <v>2713.2</v>
      </c>
      <c r="J122" s="98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</row>
    <row customHeight="true" ht="22" r="123">
      <c r="A123" s="102"/>
      <c r="B123" s="102">
        <v>45902</v>
      </c>
      <c r="C123" s="94">
        <v>6926391400837</v>
      </c>
      <c r="D123" s="84" t="s">
        <v>434</v>
      </c>
      <c r="E123" s="86" t="s">
        <v>435</v>
      </c>
      <c r="F123" s="95"/>
      <c r="G123" s="96">
        <v>3</v>
      </c>
      <c r="H123" s="89">
        <v>3</v>
      </c>
      <c r="I123" s="90">
        <v>8976</v>
      </c>
      <c r="J123" s="98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</row>
    <row customHeight="true" ht="22" r="124">
      <c r="A124" s="102"/>
      <c r="B124" s="102">
        <v>45902</v>
      </c>
      <c r="C124" s="94">
        <v>6926391499749</v>
      </c>
      <c r="D124" s="84" t="s">
        <v>438</v>
      </c>
      <c r="E124" s="86" t="s">
        <v>439</v>
      </c>
      <c r="F124" s="95"/>
      <c r="G124" s="96">
        <v>2</v>
      </c>
      <c r="H124" s="89">
        <v>2</v>
      </c>
      <c r="I124" s="90">
        <v>870.4</v>
      </c>
      <c r="J124" s="98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</row>
    <row customHeight="true" ht="22" r="125">
      <c r="A125" s="102"/>
      <c r="B125" s="102">
        <v>45902</v>
      </c>
      <c r="C125" s="94">
        <v>6926391498759</v>
      </c>
      <c r="D125" s="84" t="s">
        <v>440</v>
      </c>
      <c r="E125" s="86" t="s">
        <v>441</v>
      </c>
      <c r="F125" s="95"/>
      <c r="G125" s="96">
        <v>2</v>
      </c>
      <c r="H125" s="89">
        <v>2</v>
      </c>
      <c r="I125" s="90">
        <v>6310.4</v>
      </c>
      <c r="J125" s="98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</row>
    <row customHeight="true" ht="22" r="126">
      <c r="A126" s="102"/>
      <c r="B126" s="102">
        <v>45902</v>
      </c>
      <c r="C126" s="94">
        <v>6926391400172</v>
      </c>
      <c r="D126" s="84" t="s">
        <v>444</v>
      </c>
      <c r="E126" s="86" t="s">
        <v>445</v>
      </c>
      <c r="F126" s="95"/>
      <c r="G126" s="96">
        <v>3</v>
      </c>
      <c r="H126" s="89">
        <v>3</v>
      </c>
      <c r="I126" s="90">
        <v>3447.6</v>
      </c>
      <c r="J126" s="98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</row>
    <row customHeight="true" ht="22" r="127">
      <c r="A127" s="102"/>
      <c r="B127" s="102">
        <v>45902</v>
      </c>
      <c r="C127" s="94">
        <v>6926391400141</v>
      </c>
      <c r="D127" s="84" t="s">
        <v>451</v>
      </c>
      <c r="E127" s="86" t="s">
        <v>452</v>
      </c>
      <c r="F127" s="95"/>
      <c r="G127" s="96">
        <v>3</v>
      </c>
      <c r="H127" s="89">
        <v>3</v>
      </c>
      <c r="I127" s="90">
        <v>1611.6</v>
      </c>
      <c r="J127" s="98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</row>
    <row customHeight="true" ht="22" r="128">
      <c r="A128" s="102"/>
      <c r="B128" s="102">
        <v>45902</v>
      </c>
      <c r="C128" s="94">
        <v>6926391404170</v>
      </c>
      <c r="D128" s="84" t="s">
        <v>453</v>
      </c>
      <c r="E128" s="86" t="s">
        <v>454</v>
      </c>
      <c r="F128" s="95"/>
      <c r="G128" s="96">
        <v>4</v>
      </c>
      <c r="H128" s="89">
        <v>4</v>
      </c>
      <c r="I128" s="90">
        <v>6772.8</v>
      </c>
      <c r="J128" s="98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</row>
    <row customHeight="true" ht="22" r="129">
      <c r="A129" s="102"/>
      <c r="B129" s="102">
        <v>45902</v>
      </c>
      <c r="C129" s="94">
        <v>6926391403401</v>
      </c>
      <c r="D129" s="84" t="s">
        <v>455</v>
      </c>
      <c r="E129" s="86" t="s">
        <v>456</v>
      </c>
      <c r="F129" s="95"/>
      <c r="G129" s="96">
        <v>2</v>
      </c>
      <c r="H129" s="89">
        <v>2</v>
      </c>
      <c r="I129" s="90">
        <v>2720</v>
      </c>
      <c r="J129" s="98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</row>
    <row customHeight="true" ht="22" r="130">
      <c r="A130" s="102"/>
      <c r="B130" s="102">
        <v>45902</v>
      </c>
      <c r="C130" s="94">
        <v>6926391404309</v>
      </c>
      <c r="D130" s="84" t="s">
        <v>459</v>
      </c>
      <c r="E130" s="86" t="s">
        <v>460</v>
      </c>
      <c r="F130" s="95"/>
      <c r="G130" s="96">
        <v>6</v>
      </c>
      <c r="H130" s="89">
        <v>6</v>
      </c>
      <c r="I130" s="90">
        <v>1999.2</v>
      </c>
      <c r="J130" s="98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</row>
    <row customHeight="true" ht="22" r="131">
      <c r="A131" s="102"/>
      <c r="B131" s="102">
        <v>45902</v>
      </c>
      <c r="C131" s="94">
        <v>6926391404378</v>
      </c>
      <c r="D131" s="84" t="s">
        <v>461</v>
      </c>
      <c r="E131" s="86" t="s">
        <v>462</v>
      </c>
      <c r="F131" s="95"/>
      <c r="G131" s="96">
        <v>6</v>
      </c>
      <c r="H131" s="103">
        <v>6</v>
      </c>
      <c r="I131" s="104">
        <v>1264.8</v>
      </c>
      <c r="J131" s="98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</row>
    <row customHeight="true" ht="22" r="132">
      <c r="A132" s="102"/>
      <c r="B132" s="102">
        <v>45902</v>
      </c>
      <c r="C132" s="105">
        <v>2509080001</v>
      </c>
      <c r="D132" s="106" t="s">
        <v>492</v>
      </c>
      <c r="E132" s="107" t="s">
        <v>493</v>
      </c>
      <c r="F132" s="108"/>
      <c r="G132" s="109">
        <v>1</v>
      </c>
      <c r="H132" s="89">
        <v>1</v>
      </c>
      <c r="I132" s="110">
        <v>0</v>
      </c>
      <c r="J132" s="98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</row>
    <row customHeight="true" ht="22" r="133">
      <c r="A133" s="102"/>
      <c r="B133" s="102">
        <v>45902</v>
      </c>
      <c r="C133" s="111">
        <v>2508050001</v>
      </c>
      <c r="D133" s="106"/>
      <c r="E133" s="112" t="s">
        <v>494</v>
      </c>
      <c r="F133" s="108"/>
      <c r="G133" s="109">
        <v>2</v>
      </c>
      <c r="H133" s="89">
        <v>2</v>
      </c>
      <c r="I133" s="110">
        <v>0</v>
      </c>
      <c r="J133" s="98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</row>
    <row customHeight="true" ht="22" r="134">
      <c r="A134" s="93"/>
      <c r="B134" s="93">
        <v>45904</v>
      </c>
      <c r="C134" s="94">
        <v>6926391403364</v>
      </c>
      <c r="D134" s="84" t="s">
        <v>367</v>
      </c>
      <c r="E134" s="86" t="s">
        <v>368</v>
      </c>
      <c r="F134" s="113"/>
      <c r="G134" s="114">
        <v>900</v>
      </c>
      <c r="H134" s="89">
        <v>900</v>
      </c>
      <c r="I134" s="90">
        <v>137700</v>
      </c>
      <c r="J134" s="98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</row>
    <row customHeight="true" ht="22" r="135">
      <c r="A135" s="93"/>
      <c r="B135" s="93">
        <v>45904</v>
      </c>
      <c r="C135" s="94">
        <v>6926391403364</v>
      </c>
      <c r="D135" s="84" t="s">
        <v>367</v>
      </c>
      <c r="E135" s="86" t="s">
        <v>368</v>
      </c>
      <c r="F135" s="90"/>
      <c r="G135" s="115">
        <v>100</v>
      </c>
      <c r="H135" s="89">
        <v>100</v>
      </c>
      <c r="I135" s="90">
        <v>0</v>
      </c>
      <c r="J135" s="98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</row>
    <row r="136">
      <c r="A136" s="116"/>
      <c r="B136" s="116">
        <v>45915</v>
      </c>
      <c r="C136" s="117">
        <v>6978840240266</v>
      </c>
      <c r="D136" s="84" t="s">
        <v>495</v>
      </c>
      <c r="E136" s="118" t="s">
        <v>496</v>
      </c>
      <c r="F136" s="119"/>
      <c r="G136" s="120">
        <v>1800</v>
      </c>
      <c r="H136" s="97"/>
      <c r="I136" s="90">
        <v>177840</v>
      </c>
      <c r="J136" s="98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</row>
    <row r="137">
      <c r="A137" s="116"/>
      <c r="B137" s="116">
        <v>45915</v>
      </c>
      <c r="C137" s="117">
        <v>6978840240259</v>
      </c>
      <c r="D137" s="84" t="s">
        <v>497</v>
      </c>
      <c r="E137" s="118" t="s">
        <v>498</v>
      </c>
      <c r="F137" s="119"/>
      <c r="G137" s="120">
        <v>6000</v>
      </c>
      <c r="H137" s="89">
        <v>6000</v>
      </c>
      <c r="I137" s="90">
        <v>15600</v>
      </c>
      <c r="J137" s="98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</row>
    <row r="138">
      <c r="A138" s="121"/>
      <c r="B138" s="121">
        <v>45915</v>
      </c>
      <c r="C138" s="122">
        <v>6978840240242</v>
      </c>
      <c r="D138" s="123" t="s">
        <v>499</v>
      </c>
      <c r="E138" s="124" t="s">
        <v>500</v>
      </c>
      <c r="F138" s="119"/>
      <c r="G138" s="120">
        <v>6000</v>
      </c>
      <c r="H138" s="97"/>
      <c r="I138" s="90">
        <v>358200</v>
      </c>
      <c r="J138" s="125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</row>
    <row r="139">
      <c r="A139" s="121"/>
      <c r="B139" s="121">
        <v>45915</v>
      </c>
      <c r="C139" s="122">
        <v>6978840240235</v>
      </c>
      <c r="D139" s="123" t="s">
        <v>501</v>
      </c>
      <c r="E139" s="124" t="s">
        <v>502</v>
      </c>
      <c r="F139" s="119"/>
      <c r="G139" s="120">
        <v>3000</v>
      </c>
      <c r="H139" s="97"/>
      <c r="I139" s="90">
        <v>339300</v>
      </c>
      <c r="J139" s="125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</row>
    <row r="140">
      <c r="A140" s="121"/>
      <c r="B140" s="121">
        <v>45915</v>
      </c>
      <c r="C140" s="122">
        <v>6978840240228</v>
      </c>
      <c r="D140" s="123" t="s">
        <v>503</v>
      </c>
      <c r="E140" s="124" t="s">
        <v>504</v>
      </c>
      <c r="F140" s="119"/>
      <c r="G140" s="120">
        <v>4200</v>
      </c>
      <c r="H140" s="97"/>
      <c r="I140" s="90">
        <v>294000</v>
      </c>
      <c r="J140" s="125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</row>
    <row r="141">
      <c r="A141" s="121"/>
      <c r="B141" s="121">
        <v>45915</v>
      </c>
      <c r="C141" s="122">
        <v>6978840240273</v>
      </c>
      <c r="D141" s="123" t="s">
        <v>505</v>
      </c>
      <c r="E141" s="124" t="s">
        <v>506</v>
      </c>
      <c r="F141" s="119"/>
      <c r="G141" s="120">
        <v>3000</v>
      </c>
      <c r="H141" s="97"/>
      <c r="I141" s="90">
        <v>243900</v>
      </c>
      <c r="J141" s="125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</row>
    <row r="142">
      <c r="A142" s="127"/>
      <c r="B142" s="127">
        <v>45929</v>
      </c>
      <c r="C142" s="128">
        <v>6926391404255</v>
      </c>
      <c r="D142" s="129" t="s">
        <v>333</v>
      </c>
      <c r="E142" s="124" t="s">
        <v>334</v>
      </c>
      <c r="F142" s="130"/>
      <c r="G142" s="131">
        <v>144</v>
      </c>
      <c r="H142" s="132">
        <v>144</v>
      </c>
      <c r="I142" s="133">
        <v>11260.8</v>
      </c>
      <c r="J142" s="125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</row>
    <row r="143">
      <c r="A143" s="121"/>
      <c r="B143" s="121">
        <v>45939</v>
      </c>
      <c r="C143" s="134">
        <v>6926391496816</v>
      </c>
      <c r="D143" s="129" t="s">
        <v>409</v>
      </c>
      <c r="E143" s="124" t="s">
        <v>410</v>
      </c>
      <c r="F143" s="135"/>
      <c r="G143" s="136">
        <v>300</v>
      </c>
      <c r="H143" s="137">
        <v>300</v>
      </c>
      <c r="I143" s="135">
        <v>61200</v>
      </c>
      <c r="J143" s="125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</row>
    <row r="144">
      <c r="A144" s="121"/>
      <c r="B144" s="121">
        <v>45939</v>
      </c>
      <c r="C144" s="134">
        <v>6926391402541</v>
      </c>
      <c r="D144" s="129" t="s">
        <v>403</v>
      </c>
      <c r="E144" s="124" t="s">
        <v>404</v>
      </c>
      <c r="F144" s="135"/>
      <c r="G144" s="136">
        <v>50</v>
      </c>
      <c r="H144" s="137">
        <v>50</v>
      </c>
      <c r="I144" s="135">
        <v>20400</v>
      </c>
      <c r="J144" s="125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</row>
    <row r="145">
      <c r="A145" s="121"/>
      <c r="B145" s="121">
        <v>45939</v>
      </c>
      <c r="C145" s="134">
        <v>6926391404088</v>
      </c>
      <c r="D145" s="129" t="s">
        <v>345</v>
      </c>
      <c r="E145" s="124" t="s">
        <v>346</v>
      </c>
      <c r="F145" s="135"/>
      <c r="G145" s="136">
        <v>25</v>
      </c>
      <c r="H145" s="137">
        <v>25</v>
      </c>
      <c r="I145" s="135">
        <v>5355</v>
      </c>
      <c r="J145" s="125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</row>
    <row r="146">
      <c r="A146" s="121"/>
      <c r="B146" s="121">
        <v>45939</v>
      </c>
      <c r="C146" s="134">
        <v>6926391404262</v>
      </c>
      <c r="D146" s="129" t="s">
        <v>335</v>
      </c>
      <c r="E146" s="124" t="s">
        <v>336</v>
      </c>
      <c r="F146" s="135"/>
      <c r="G146" s="136">
        <v>15</v>
      </c>
      <c r="H146" s="137">
        <v>15</v>
      </c>
      <c r="I146" s="135">
        <v>2335.8</v>
      </c>
      <c r="J146" s="125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</row>
    <row r="147">
      <c r="A147" s="121"/>
      <c r="B147" s="121">
        <v>45939</v>
      </c>
      <c r="C147" s="134">
        <v>6926391404132</v>
      </c>
      <c r="D147" s="129" t="s">
        <v>363</v>
      </c>
      <c r="E147" s="124" t="s">
        <v>364</v>
      </c>
      <c r="F147" s="135"/>
      <c r="G147" s="136">
        <v>20</v>
      </c>
      <c r="H147" s="137">
        <v>20</v>
      </c>
      <c r="I147" s="135">
        <v>2502.4</v>
      </c>
      <c r="J147" s="125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</row>
    <row r="148">
      <c r="A148" s="121"/>
      <c r="B148" s="121">
        <v>45939</v>
      </c>
      <c r="C148" s="134">
        <v>6926391404064</v>
      </c>
      <c r="D148" s="129" t="s">
        <v>389</v>
      </c>
      <c r="E148" s="124" t="s">
        <v>390</v>
      </c>
      <c r="F148" s="135"/>
      <c r="G148" s="136">
        <v>30</v>
      </c>
      <c r="H148" s="137">
        <v>30</v>
      </c>
      <c r="I148" s="135">
        <v>1224</v>
      </c>
      <c r="J148" s="125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</row>
    <row r="149">
      <c r="A149" s="121"/>
      <c r="B149" s="121">
        <v>45939</v>
      </c>
      <c r="C149" s="134">
        <v>6926391404200</v>
      </c>
      <c r="D149" s="129" t="s">
        <v>381</v>
      </c>
      <c r="E149" s="124" t="s">
        <v>382</v>
      </c>
      <c r="F149" s="135"/>
      <c r="G149" s="136">
        <v>20</v>
      </c>
      <c r="H149" s="137">
        <v>20</v>
      </c>
      <c r="I149" s="135">
        <v>598.4</v>
      </c>
      <c r="J149" s="125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</row>
    <row r="150">
      <c r="A150" s="127"/>
      <c r="B150" s="127">
        <v>45940</v>
      </c>
      <c r="C150" s="117">
        <v>692639140015800</v>
      </c>
      <c r="D150" s="138" t="s">
        <v>507</v>
      </c>
      <c r="E150" s="139" t="s">
        <v>508</v>
      </c>
      <c r="F150" s="99"/>
      <c r="G150" s="140">
        <v>5</v>
      </c>
      <c r="H150" s="141">
        <v>5</v>
      </c>
      <c r="I150" s="135">
        <v>5525</v>
      </c>
      <c r="J150" s="98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</row>
    <row r="151">
      <c r="A151" s="127"/>
      <c r="B151" s="127">
        <v>45940</v>
      </c>
      <c r="C151" s="117">
        <v>692639140451400</v>
      </c>
      <c r="D151" s="138" t="s">
        <v>469</v>
      </c>
      <c r="E151" s="118" t="s">
        <v>470</v>
      </c>
      <c r="F151" s="135"/>
      <c r="G151" s="136">
        <v>42</v>
      </c>
      <c r="H151" s="141">
        <v>42</v>
      </c>
      <c r="I151" s="142">
        <v>8568</v>
      </c>
      <c r="J151" s="98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</row>
    <row r="152">
      <c r="A152" s="127"/>
      <c r="B152" s="127">
        <v>45940</v>
      </c>
      <c r="C152" s="117">
        <v>692639140234300</v>
      </c>
      <c r="D152" s="138" t="s">
        <v>371</v>
      </c>
      <c r="E152" s="118" t="s">
        <v>372</v>
      </c>
      <c r="F152" s="135"/>
      <c r="G152" s="136">
        <v>10</v>
      </c>
      <c r="H152" s="141">
        <v>10</v>
      </c>
      <c r="I152" s="142">
        <v>1353.2</v>
      </c>
      <c r="J152" s="98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</row>
    <row r="153">
      <c r="A153" s="127"/>
      <c r="B153" s="127">
        <v>45940</v>
      </c>
      <c r="C153" s="117">
        <v>692639140419400</v>
      </c>
      <c r="D153" s="138" t="s">
        <v>377</v>
      </c>
      <c r="E153" s="118" t="s">
        <v>378</v>
      </c>
      <c r="F153" s="135"/>
      <c r="G153" s="136">
        <v>4</v>
      </c>
      <c r="H153" s="141">
        <v>4</v>
      </c>
      <c r="I153" s="142">
        <v>1332.8</v>
      </c>
      <c r="J153" s="98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</row>
    <row r="154">
      <c r="A154" s="127"/>
      <c r="B154" s="127">
        <v>45940</v>
      </c>
      <c r="C154" s="117">
        <v>692639140427900</v>
      </c>
      <c r="D154" s="138" t="s">
        <v>337</v>
      </c>
      <c r="E154" s="118" t="s">
        <v>338</v>
      </c>
      <c r="F154" s="135"/>
      <c r="G154" s="136">
        <v>60</v>
      </c>
      <c r="H154" s="141">
        <v>60</v>
      </c>
      <c r="I154" s="142">
        <v>19992</v>
      </c>
      <c r="J154" s="98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</row>
    <row r="155">
      <c r="A155" s="127"/>
      <c r="B155" s="127">
        <v>45940</v>
      </c>
      <c r="C155" s="117">
        <v>692639140333300</v>
      </c>
      <c r="D155" s="138" t="s">
        <v>343</v>
      </c>
      <c r="E155" s="118" t="s">
        <v>344</v>
      </c>
      <c r="F155" s="135"/>
      <c r="G155" s="136">
        <v>496</v>
      </c>
      <c r="H155" s="141">
        <v>496</v>
      </c>
      <c r="I155" s="142">
        <v>38449.92</v>
      </c>
      <c r="J155" s="98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</row>
    <row r="156">
      <c r="A156" s="127"/>
      <c r="B156" s="127">
        <v>45940</v>
      </c>
      <c r="C156" s="117">
        <v>692639140473600</v>
      </c>
      <c r="D156" s="138" t="s">
        <v>297</v>
      </c>
      <c r="E156" s="118" t="s">
        <v>298</v>
      </c>
      <c r="F156" s="135"/>
      <c r="G156" s="136">
        <v>15</v>
      </c>
      <c r="H156" s="141">
        <v>15</v>
      </c>
      <c r="I156" s="142">
        <v>1632</v>
      </c>
      <c r="J156" s="98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</row>
    <row r="157">
      <c r="A157" s="127"/>
      <c r="B157" s="127">
        <v>45940</v>
      </c>
      <c r="C157" s="117">
        <v>692639140418700</v>
      </c>
      <c r="D157" s="138" t="s">
        <v>379</v>
      </c>
      <c r="E157" s="118" t="s">
        <v>380</v>
      </c>
      <c r="F157" s="135"/>
      <c r="G157" s="136">
        <v>160</v>
      </c>
      <c r="H157" s="141">
        <v>160</v>
      </c>
      <c r="I157" s="142">
        <v>12947.2</v>
      </c>
      <c r="J157" s="98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</row>
    <row r="158">
      <c r="A158" s="127"/>
      <c r="B158" s="127">
        <v>45940</v>
      </c>
      <c r="C158" s="117">
        <v>692639140417000</v>
      </c>
      <c r="D158" s="138" t="s">
        <v>453</v>
      </c>
      <c r="E158" s="118" t="s">
        <v>454</v>
      </c>
      <c r="F158" s="135"/>
      <c r="G158" s="136">
        <v>2</v>
      </c>
      <c r="H158" s="141">
        <v>2</v>
      </c>
      <c r="I158" s="142">
        <v>3386.4</v>
      </c>
      <c r="J158" s="98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</row>
    <row r="159">
      <c r="A159" s="127"/>
      <c r="B159" s="127">
        <v>45940</v>
      </c>
      <c r="C159" s="117">
        <v>692639140475000</v>
      </c>
      <c r="D159" s="138" t="s">
        <v>319</v>
      </c>
      <c r="E159" s="118" t="s">
        <v>320</v>
      </c>
      <c r="F159" s="135"/>
      <c r="G159" s="136">
        <v>32</v>
      </c>
      <c r="H159" s="141">
        <v>32</v>
      </c>
      <c r="I159" s="142">
        <v>5984</v>
      </c>
      <c r="J159" s="98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</row>
    <row r="160">
      <c r="A160" s="127"/>
      <c r="B160" s="127">
        <v>45940</v>
      </c>
      <c r="C160" s="117">
        <v>692639140112400</v>
      </c>
      <c r="D160" s="138" t="s">
        <v>353</v>
      </c>
      <c r="E160" s="118" t="s">
        <v>354</v>
      </c>
      <c r="F160" s="135"/>
      <c r="G160" s="136">
        <v>96</v>
      </c>
      <c r="H160" s="141">
        <v>96</v>
      </c>
      <c r="I160" s="142">
        <v>9955.2</v>
      </c>
      <c r="J160" s="98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</row>
    <row r="161">
      <c r="A161" s="127"/>
      <c r="B161" s="127">
        <v>45940</v>
      </c>
      <c r="C161" s="117">
        <v>692639140340100</v>
      </c>
      <c r="D161" s="138" t="s">
        <v>455</v>
      </c>
      <c r="E161" s="118" t="s">
        <v>456</v>
      </c>
      <c r="F161" s="135"/>
      <c r="G161" s="136">
        <v>1</v>
      </c>
      <c r="H161" s="141">
        <v>1</v>
      </c>
      <c r="I161" s="142">
        <v>1360</v>
      </c>
      <c r="J161" s="98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</row>
    <row r="162">
      <c r="A162" s="127"/>
      <c r="B162" s="127">
        <v>45940</v>
      </c>
      <c r="C162" s="117">
        <v>692639140467500</v>
      </c>
      <c r="D162" s="138" t="s">
        <v>305</v>
      </c>
      <c r="E162" s="118" t="s">
        <v>306</v>
      </c>
      <c r="F162" s="135"/>
      <c r="G162" s="136">
        <v>16</v>
      </c>
      <c r="H162" s="141">
        <v>16</v>
      </c>
      <c r="I162" s="142">
        <v>3416.32</v>
      </c>
      <c r="J162" s="98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</row>
    <row r="163">
      <c r="A163" s="127"/>
      <c r="B163" s="127">
        <v>45940</v>
      </c>
      <c r="C163" s="117">
        <v>692639140302900</v>
      </c>
      <c r="D163" s="138" t="s">
        <v>323</v>
      </c>
      <c r="E163" s="118" t="s">
        <v>324</v>
      </c>
      <c r="F163" s="135"/>
      <c r="G163" s="136">
        <v>460</v>
      </c>
      <c r="H163" s="141">
        <v>460</v>
      </c>
      <c r="I163" s="142">
        <v>46607.2</v>
      </c>
      <c r="J163" s="98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</row>
    <row r="164">
      <c r="A164" s="127"/>
      <c r="B164" s="127">
        <v>45940</v>
      </c>
      <c r="C164" s="117">
        <v>692639140456900</v>
      </c>
      <c r="D164" s="138" t="s">
        <v>301</v>
      </c>
      <c r="E164" s="118" t="s">
        <v>302</v>
      </c>
      <c r="F164" s="135"/>
      <c r="G164" s="136">
        <v>20</v>
      </c>
      <c r="H164" s="141">
        <v>20</v>
      </c>
      <c r="I164" s="142">
        <v>3522.4</v>
      </c>
      <c r="J164" s="98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</row>
    <row r="165">
      <c r="A165" s="127"/>
      <c r="B165" s="127">
        <v>45940</v>
      </c>
      <c r="C165" s="117">
        <v>692639140433000</v>
      </c>
      <c r="D165" s="138" t="s">
        <v>375</v>
      </c>
      <c r="E165" s="118" t="s">
        <v>376</v>
      </c>
      <c r="F165" s="135"/>
      <c r="G165" s="136">
        <v>20</v>
      </c>
      <c r="H165" s="141">
        <v>20</v>
      </c>
      <c r="I165" s="142">
        <v>3808</v>
      </c>
      <c r="J165" s="98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</row>
    <row r="166">
      <c r="A166" s="127"/>
      <c r="B166" s="127">
        <v>45940</v>
      </c>
      <c r="C166" s="117">
        <v>692639140308100</v>
      </c>
      <c r="D166" s="138" t="s">
        <v>329</v>
      </c>
      <c r="E166" s="118" t="s">
        <v>330</v>
      </c>
      <c r="F166" s="135"/>
      <c r="G166" s="136">
        <v>552</v>
      </c>
      <c r="H166" s="141">
        <v>552</v>
      </c>
      <c r="I166" s="142">
        <v>25336.8</v>
      </c>
      <c r="J166" s="98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</row>
    <row r="167">
      <c r="A167" s="127"/>
      <c r="B167" s="127">
        <v>45940</v>
      </c>
      <c r="C167" s="117">
        <v>692639140336400</v>
      </c>
      <c r="D167" s="138" t="s">
        <v>367</v>
      </c>
      <c r="E167" s="118" t="s">
        <v>368</v>
      </c>
      <c r="F167" s="135"/>
      <c r="G167" s="136">
        <v>15</v>
      </c>
      <c r="H167" s="141">
        <v>15</v>
      </c>
      <c r="I167" s="142">
        <v>2295</v>
      </c>
      <c r="J167" s="98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</row>
    <row r="168">
      <c r="A168" s="127"/>
      <c r="B168" s="127">
        <v>45940</v>
      </c>
      <c r="C168" s="117">
        <v>692639140425500</v>
      </c>
      <c r="D168" s="138" t="s">
        <v>333</v>
      </c>
      <c r="E168" s="118" t="s">
        <v>334</v>
      </c>
      <c r="F168" s="143"/>
      <c r="G168" s="144">
        <v>504</v>
      </c>
      <c r="H168" s="145">
        <v>504</v>
      </c>
      <c r="I168" s="142">
        <v>39412.8</v>
      </c>
      <c r="J168" s="98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</row>
    <row r="169">
      <c r="A169" s="127"/>
      <c r="B169" s="127">
        <v>45940</v>
      </c>
      <c r="C169" s="117">
        <v>692639140405700</v>
      </c>
      <c r="D169" s="138" t="s">
        <v>391</v>
      </c>
      <c r="E169" s="118" t="s">
        <v>392</v>
      </c>
      <c r="F169" s="135"/>
      <c r="G169" s="136">
        <v>20</v>
      </c>
      <c r="H169" s="141">
        <v>20</v>
      </c>
      <c r="I169" s="142">
        <v>3944</v>
      </c>
      <c r="J169" s="98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</row>
    <row r="170">
      <c r="A170" s="127"/>
      <c r="B170" s="127">
        <v>45940</v>
      </c>
      <c r="C170" s="117">
        <v>692639149683000</v>
      </c>
      <c r="D170" s="138" t="s">
        <v>411</v>
      </c>
      <c r="E170" s="118" t="s">
        <v>412</v>
      </c>
      <c r="F170" s="135"/>
      <c r="G170" s="136">
        <v>24</v>
      </c>
      <c r="H170" s="141">
        <v>24</v>
      </c>
      <c r="I170" s="142">
        <v>6528</v>
      </c>
      <c r="J170" s="98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</row>
    <row r="171">
      <c r="A171" s="127"/>
      <c r="B171" s="127">
        <v>45940</v>
      </c>
      <c r="C171" s="117">
        <v>692639149810000</v>
      </c>
      <c r="D171" s="138" t="s">
        <v>365</v>
      </c>
      <c r="E171" s="118" t="s">
        <v>366</v>
      </c>
      <c r="F171" s="135"/>
      <c r="G171" s="136">
        <v>2</v>
      </c>
      <c r="H171" s="141">
        <v>2</v>
      </c>
      <c r="I171" s="142">
        <v>1278.4</v>
      </c>
      <c r="J171" s="98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</row>
    <row r="172">
      <c r="A172" s="127"/>
      <c r="B172" s="127">
        <v>45940</v>
      </c>
      <c r="C172" s="117">
        <v>692639140149000</v>
      </c>
      <c r="D172" s="138" t="s">
        <v>373</v>
      </c>
      <c r="E172" s="118" t="s">
        <v>374</v>
      </c>
      <c r="F172" s="135"/>
      <c r="G172" s="136">
        <v>2</v>
      </c>
      <c r="H172" s="141">
        <v>2</v>
      </c>
      <c r="I172" s="142">
        <v>1346.4</v>
      </c>
      <c r="J172" s="98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</row>
    <row r="173">
      <c r="A173" s="127"/>
      <c r="B173" s="127">
        <v>45940</v>
      </c>
      <c r="C173" s="117">
        <v>692639140309800</v>
      </c>
      <c r="D173" s="138" t="s">
        <v>331</v>
      </c>
      <c r="E173" s="118" t="s">
        <v>332</v>
      </c>
      <c r="F173" s="135"/>
      <c r="G173" s="136">
        <v>312</v>
      </c>
      <c r="H173" s="141">
        <v>312</v>
      </c>
      <c r="I173" s="142">
        <v>33945.6</v>
      </c>
      <c r="J173" s="98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</row>
    <row r="174">
      <c r="A174" s="127"/>
      <c r="B174" s="127">
        <v>45940</v>
      </c>
      <c r="C174" s="117">
        <v>692639140349400</v>
      </c>
      <c r="D174" s="138" t="s">
        <v>359</v>
      </c>
      <c r="E174" s="118" t="s">
        <v>360</v>
      </c>
      <c r="F174" s="135"/>
      <c r="G174" s="136">
        <v>2</v>
      </c>
      <c r="H174" s="141">
        <v>2</v>
      </c>
      <c r="I174" s="142">
        <v>880</v>
      </c>
      <c r="J174" s="98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</row>
    <row r="175">
      <c r="A175" s="127"/>
      <c r="B175" s="127">
        <v>45940</v>
      </c>
      <c r="C175" s="117">
        <v>692639140261900</v>
      </c>
      <c r="D175" s="138" t="s">
        <v>413</v>
      </c>
      <c r="E175" s="118" t="s">
        <v>414</v>
      </c>
      <c r="F175" s="135"/>
      <c r="G175" s="136">
        <v>2</v>
      </c>
      <c r="H175" s="141">
        <v>2</v>
      </c>
      <c r="I175" s="142">
        <v>1019.32</v>
      </c>
      <c r="J175" s="98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</row>
    <row r="176">
      <c r="A176" s="127"/>
      <c r="B176" s="127">
        <v>45940</v>
      </c>
      <c r="C176" s="117">
        <v>692639140110000</v>
      </c>
      <c r="D176" s="138" t="s">
        <v>349</v>
      </c>
      <c r="E176" s="118" t="s">
        <v>350</v>
      </c>
      <c r="F176" s="135"/>
      <c r="G176" s="136">
        <v>24</v>
      </c>
      <c r="H176" s="141">
        <v>24</v>
      </c>
      <c r="I176" s="142">
        <v>14524.8</v>
      </c>
      <c r="J176" s="98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</row>
    <row r="177">
      <c r="A177" s="127"/>
      <c r="B177" s="127">
        <v>45940</v>
      </c>
      <c r="C177" s="117">
        <v>692639140409500</v>
      </c>
      <c r="D177" s="138" t="s">
        <v>339</v>
      </c>
      <c r="E177" s="118" t="s">
        <v>340</v>
      </c>
      <c r="F177" s="135"/>
      <c r="G177" s="136">
        <v>16</v>
      </c>
      <c r="H177" s="141">
        <v>16</v>
      </c>
      <c r="I177" s="142">
        <v>9574.4</v>
      </c>
      <c r="J177" s="98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</row>
    <row r="178">
      <c r="A178" s="127"/>
      <c r="B178" s="127">
        <v>45940</v>
      </c>
      <c r="C178" s="117">
        <v>692639140454500</v>
      </c>
      <c r="D178" s="138" t="s">
        <v>299</v>
      </c>
      <c r="E178" s="118" t="s">
        <v>300</v>
      </c>
      <c r="F178" s="135"/>
      <c r="G178" s="136">
        <v>2</v>
      </c>
      <c r="H178" s="141">
        <v>2</v>
      </c>
      <c r="I178" s="142">
        <v>802.4</v>
      </c>
      <c r="J178" s="98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</row>
    <row r="179">
      <c r="A179" s="127"/>
      <c r="B179" s="127">
        <v>45940</v>
      </c>
      <c r="C179" s="117">
        <v>692639140306700</v>
      </c>
      <c r="D179" s="138" t="s">
        <v>327</v>
      </c>
      <c r="E179" s="118" t="s">
        <v>328</v>
      </c>
      <c r="F179" s="99">
        <v>356.66</v>
      </c>
      <c r="G179" s="136">
        <v>20</v>
      </c>
      <c r="H179" s="141">
        <v>20</v>
      </c>
      <c r="I179" s="142">
        <v>7133.2</v>
      </c>
      <c r="J179" s="98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</row>
    <row r="180">
      <c r="A180" s="127"/>
      <c r="B180" s="127">
        <v>45940</v>
      </c>
      <c r="C180" s="117">
        <v>692639140256500</v>
      </c>
      <c r="D180" s="138" t="s">
        <v>399</v>
      </c>
      <c r="E180" s="118" t="s">
        <v>400</v>
      </c>
      <c r="F180" s="99">
        <v>119</v>
      </c>
      <c r="G180" s="136">
        <v>48</v>
      </c>
      <c r="H180" s="141">
        <v>48</v>
      </c>
      <c r="I180" s="142">
        <v>5712</v>
      </c>
      <c r="J180" s="98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</row>
    <row r="181">
      <c r="A181" s="127"/>
      <c r="B181" s="127">
        <v>45940</v>
      </c>
      <c r="C181" s="117">
        <v>692639140358600</v>
      </c>
      <c r="D181" s="138" t="s">
        <v>393</v>
      </c>
      <c r="E181" s="118" t="s">
        <v>394</v>
      </c>
      <c r="F181" s="99">
        <v>424</v>
      </c>
      <c r="G181" s="136">
        <v>2</v>
      </c>
      <c r="H181" s="141">
        <v>2</v>
      </c>
      <c r="I181" s="142">
        <v>848</v>
      </c>
      <c r="J181" s="98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</row>
    <row r="182">
      <c r="A182" s="127"/>
      <c r="B182" s="127">
        <v>45940</v>
      </c>
      <c r="C182" s="117">
        <v>692639140322700</v>
      </c>
      <c r="D182" s="138" t="s">
        <v>321</v>
      </c>
      <c r="E182" s="118" t="s">
        <v>322</v>
      </c>
      <c r="F182" s="99">
        <v>23.12</v>
      </c>
      <c r="G182" s="136">
        <v>504</v>
      </c>
      <c r="H182" s="141">
        <v>504</v>
      </c>
      <c r="I182" s="142">
        <v>11652.48</v>
      </c>
      <c r="J182" s="98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</row>
    <row r="183">
      <c r="A183" s="127"/>
      <c r="B183" s="127">
        <v>45940</v>
      </c>
      <c r="C183" s="117">
        <v>692639149682300</v>
      </c>
      <c r="D183" s="138" t="s">
        <v>407</v>
      </c>
      <c r="E183" s="118" t="s">
        <v>408</v>
      </c>
      <c r="F183" s="99">
        <v>119</v>
      </c>
      <c r="G183" s="136">
        <v>102</v>
      </c>
      <c r="H183" s="141">
        <v>102</v>
      </c>
      <c r="I183" s="142">
        <v>12138</v>
      </c>
      <c r="J183" s="98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</row>
    <row r="184">
      <c r="A184" s="127"/>
      <c r="B184" s="127">
        <v>45940</v>
      </c>
      <c r="C184" s="117">
        <v>692639140410100</v>
      </c>
      <c r="D184" s="138" t="s">
        <v>347</v>
      </c>
      <c r="E184" s="118" t="s">
        <v>348</v>
      </c>
      <c r="F184" s="99">
        <v>363.8</v>
      </c>
      <c r="G184" s="136">
        <v>2</v>
      </c>
      <c r="H184" s="141">
        <v>2</v>
      </c>
      <c r="I184" s="142">
        <v>727.6</v>
      </c>
      <c r="J184" s="98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</row>
    <row r="185">
      <c r="A185" s="127"/>
      <c r="B185" s="127">
        <v>45940</v>
      </c>
      <c r="C185" s="117">
        <v>692639140360900</v>
      </c>
      <c r="D185" s="138" t="s">
        <v>341</v>
      </c>
      <c r="E185" s="118" t="s">
        <v>342</v>
      </c>
      <c r="F185" s="99">
        <v>2448</v>
      </c>
      <c r="G185" s="136">
        <v>1</v>
      </c>
      <c r="H185" s="141">
        <v>1</v>
      </c>
      <c r="I185" s="142">
        <v>2448</v>
      </c>
      <c r="J185" s="98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</row>
    <row r="186">
      <c r="A186" s="127"/>
      <c r="B186" s="127">
        <v>45940</v>
      </c>
      <c r="C186" s="117">
        <v>692639140032500</v>
      </c>
      <c r="D186" s="138" t="s">
        <v>473</v>
      </c>
      <c r="E186" s="118" t="s">
        <v>474</v>
      </c>
      <c r="F186" s="135">
        <v>199.92</v>
      </c>
      <c r="G186" s="136">
        <v>18</v>
      </c>
      <c r="H186" s="141">
        <v>18</v>
      </c>
      <c r="I186" s="142">
        <v>3598.56</v>
      </c>
      <c r="J186" s="98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</row>
    <row r="187">
      <c r="A187" s="127"/>
      <c r="B187" s="127">
        <v>45940</v>
      </c>
      <c r="C187" s="117">
        <v>692639140092900</v>
      </c>
      <c r="D187" s="138" t="s">
        <v>369</v>
      </c>
      <c r="E187" s="118" t="s">
        <v>370</v>
      </c>
      <c r="F187" s="99">
        <v>170</v>
      </c>
      <c r="G187" s="136">
        <v>20</v>
      </c>
      <c r="H187" s="141">
        <v>20</v>
      </c>
      <c r="I187" s="142">
        <v>3400</v>
      </c>
      <c r="J187" s="98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</row>
    <row r="188">
      <c r="A188" s="127"/>
      <c r="B188" s="127">
        <v>45940</v>
      </c>
      <c r="C188" s="117">
        <v>692639149929900</v>
      </c>
      <c r="D188" s="138" t="s">
        <v>361</v>
      </c>
      <c r="E188" s="118" t="s">
        <v>362</v>
      </c>
      <c r="F188" s="99">
        <v>176.8</v>
      </c>
      <c r="G188" s="136">
        <v>12</v>
      </c>
      <c r="H188" s="141">
        <v>12</v>
      </c>
      <c r="I188" s="142">
        <v>2121.6</v>
      </c>
      <c r="J188" s="98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</row>
    <row r="189">
      <c r="A189" s="127"/>
      <c r="B189" s="127">
        <v>45940</v>
      </c>
      <c r="C189" s="117">
        <v>692639140411800</v>
      </c>
      <c r="D189" s="138" t="s">
        <v>427</v>
      </c>
      <c r="E189" s="118" t="s">
        <v>428</v>
      </c>
      <c r="F189" s="99">
        <v>170</v>
      </c>
      <c r="G189" s="136">
        <v>20</v>
      </c>
      <c r="H189" s="141">
        <v>20</v>
      </c>
      <c r="I189" s="142">
        <v>3400</v>
      </c>
      <c r="J189" s="98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</row>
    <row r="190">
      <c r="A190" s="127"/>
      <c r="B190" s="127">
        <v>45940</v>
      </c>
      <c r="C190" s="117">
        <v>692639140395100</v>
      </c>
      <c r="D190" s="138" t="s">
        <v>395</v>
      </c>
      <c r="E190" s="118" t="s">
        <v>396</v>
      </c>
      <c r="F190" s="146">
        <v>401.2</v>
      </c>
      <c r="G190" s="136">
        <v>1</v>
      </c>
      <c r="H190" s="141">
        <v>1</v>
      </c>
      <c r="I190" s="142">
        <v>401.2</v>
      </c>
      <c r="J190" s="98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</row>
    <row r="191">
      <c r="A191" s="127"/>
      <c r="B191" s="127">
        <v>45940</v>
      </c>
      <c r="C191" s="117">
        <v>697884024003700</v>
      </c>
      <c r="D191" s="138" t="s">
        <v>486</v>
      </c>
      <c r="E191" s="118" t="s">
        <v>487</v>
      </c>
      <c r="F191" s="147">
        <v>129.2</v>
      </c>
      <c r="G191" s="144">
        <v>50</v>
      </c>
      <c r="H191" s="145">
        <v>50</v>
      </c>
      <c r="I191" s="142">
        <v>6460</v>
      </c>
      <c r="J191" s="98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</row>
    <row r="192">
      <c r="A192" s="127"/>
      <c r="B192" s="127">
        <v>45940</v>
      </c>
      <c r="C192" s="117">
        <v>2509280001</v>
      </c>
      <c r="D192" s="138" t="s">
        <v>509</v>
      </c>
      <c r="E192" s="118" t="s">
        <v>510</v>
      </c>
      <c r="F192" s="99">
        <v>16</v>
      </c>
      <c r="G192" s="136">
        <v>500</v>
      </c>
      <c r="H192" s="141">
        <v>500</v>
      </c>
      <c r="I192" s="142">
        <v>8000</v>
      </c>
      <c r="J192" s="98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</row>
    <row r="193">
      <c r="A193" s="127"/>
      <c r="B193" s="127">
        <v>45940</v>
      </c>
      <c r="C193" s="117">
        <v>2508080001</v>
      </c>
      <c r="D193" s="138" t="s">
        <v>475</v>
      </c>
      <c r="E193" s="118" t="s">
        <v>476</v>
      </c>
      <c r="F193" s="99">
        <v>200</v>
      </c>
      <c r="G193" s="136">
        <v>150</v>
      </c>
      <c r="H193" s="141">
        <f>62+88</f>
      </c>
      <c r="I193" s="142">
        <v>30000</v>
      </c>
      <c r="J193" s="98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</row>
    <row r="194">
      <c r="A194" s="127"/>
      <c r="B194" s="127">
        <v>45940</v>
      </c>
      <c r="C194" s="106">
        <v>2509080001</v>
      </c>
      <c r="D194" s="106" t="s">
        <v>492</v>
      </c>
      <c r="E194" s="148" t="s">
        <v>493</v>
      </c>
      <c r="F194" s="149">
        <v>0</v>
      </c>
      <c r="G194" s="150">
        <v>5</v>
      </c>
      <c r="H194" s="151">
        <v>5</v>
      </c>
      <c r="I194" s="152">
        <v>0</v>
      </c>
      <c r="J194" s="98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</row>
    <row r="195">
      <c r="A195" s="127"/>
      <c r="B195" s="127">
        <v>45940</v>
      </c>
      <c r="C195" s="106">
        <v>2508050003</v>
      </c>
      <c r="D195" s="106" t="s">
        <v>511</v>
      </c>
      <c r="E195" s="148" t="s">
        <v>512</v>
      </c>
      <c r="F195" s="149">
        <v>0</v>
      </c>
      <c r="G195" s="150">
        <v>2</v>
      </c>
      <c r="H195" s="151">
        <v>2</v>
      </c>
      <c r="I195" s="152">
        <v>0</v>
      </c>
      <c r="J195" s="98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</row>
    <row r="196">
      <c r="A196" s="127"/>
      <c r="B196" s="127">
        <v>45940</v>
      </c>
      <c r="C196" s="106">
        <v>2508050005</v>
      </c>
      <c r="D196" s="106" t="s">
        <v>513</v>
      </c>
      <c r="E196" s="148" t="s">
        <v>514</v>
      </c>
      <c r="F196" s="149">
        <v>0</v>
      </c>
      <c r="G196" s="150">
        <v>4</v>
      </c>
      <c r="H196" s="151">
        <v>4</v>
      </c>
      <c r="I196" s="152">
        <v>0</v>
      </c>
      <c r="J196" s="98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</row>
    <row r="197">
      <c r="A197" s="153"/>
      <c r="B197" s="153">
        <v>45945</v>
      </c>
      <c r="C197" s="154">
        <v>697884024025900</v>
      </c>
      <c r="D197" s="155" t="s">
        <v>497</v>
      </c>
      <c r="E197" s="156" t="s">
        <v>498</v>
      </c>
      <c r="F197" s="157">
        <v>2.6</v>
      </c>
      <c r="G197" s="158">
        <v>3000</v>
      </c>
      <c r="H197" s="159">
        <v>3000</v>
      </c>
      <c r="I197" s="157">
        <v>7800</v>
      </c>
      <c r="J197" s="160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</row>
    <row r="198">
      <c r="A198" s="162"/>
      <c r="B198" s="162">
        <v>45945</v>
      </c>
      <c r="C198" s="163">
        <v>697884024022800</v>
      </c>
      <c r="D198" s="164" t="s">
        <v>503</v>
      </c>
      <c r="E198" s="165" t="s">
        <v>504</v>
      </c>
      <c r="F198" s="166">
        <v>70</v>
      </c>
      <c r="G198" s="167">
        <v>416</v>
      </c>
      <c r="H198" s="168">
        <v>416</v>
      </c>
      <c r="I198" s="166">
        <v>29120</v>
      </c>
      <c r="J198" s="160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</row>
    <row r="199">
      <c r="A199" s="169"/>
      <c r="B199" s="169">
        <v>45950</v>
      </c>
      <c r="C199" s="170">
        <v>692639140331900</v>
      </c>
      <c r="D199" s="171" t="s">
        <v>355</v>
      </c>
      <c r="E199" s="172" t="s">
        <v>356</v>
      </c>
      <c r="F199" s="173">
        <v>1592</v>
      </c>
      <c r="G199" s="174">
        <v>2</v>
      </c>
      <c r="H199" s="175">
        <v>2</v>
      </c>
      <c r="I199" s="176">
        <v>3184</v>
      </c>
      <c r="J199" s="98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</row>
    <row r="200">
      <c r="A200" s="169"/>
      <c r="B200" s="169">
        <v>45950</v>
      </c>
      <c r="C200" s="170">
        <v>692639140395100</v>
      </c>
      <c r="D200" s="171" t="s">
        <v>395</v>
      </c>
      <c r="E200" s="172" t="s">
        <v>515</v>
      </c>
      <c r="F200" s="146">
        <v>401.2</v>
      </c>
      <c r="G200" s="177">
        <v>10</v>
      </c>
      <c r="H200" s="178">
        <v>10</v>
      </c>
      <c r="I200" s="179">
        <v>4012</v>
      </c>
      <c r="J200" s="98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</row>
    <row r="201">
      <c r="A201" s="169"/>
      <c r="B201" s="169">
        <v>45950</v>
      </c>
      <c r="C201" s="170">
        <v>692639140430900</v>
      </c>
      <c r="D201" s="171" t="s">
        <v>459</v>
      </c>
      <c r="E201" s="172" t="s">
        <v>516</v>
      </c>
      <c r="F201" s="146">
        <v>333.2</v>
      </c>
      <c r="G201" s="177">
        <v>4</v>
      </c>
      <c r="H201" s="178">
        <v>4</v>
      </c>
      <c r="I201" s="179">
        <v>1332.812</v>
      </c>
      <c r="J201" s="98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</row>
    <row r="202">
      <c r="A202" s="180"/>
      <c r="B202" s="180">
        <v>45951</v>
      </c>
      <c r="C202" s="117">
        <v>692639140420000</v>
      </c>
      <c r="D202" s="138" t="s">
        <v>381</v>
      </c>
      <c r="E202" s="118" t="s">
        <v>517</v>
      </c>
      <c r="F202" s="99">
        <v>29.92</v>
      </c>
      <c r="G202" s="136">
        <v>4</v>
      </c>
      <c r="H202" s="137">
        <v>4</v>
      </c>
      <c r="I202" s="181">
        <v>119.68</v>
      </c>
      <c r="J202" s="98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</row>
    <row r="203">
      <c r="A203" s="180"/>
      <c r="B203" s="180">
        <v>45951</v>
      </c>
      <c r="C203" s="117">
        <v>692639140426200</v>
      </c>
      <c r="D203" s="138" t="s">
        <v>335</v>
      </c>
      <c r="E203" s="118" t="s">
        <v>336</v>
      </c>
      <c r="F203" s="99">
        <v>155.72</v>
      </c>
      <c r="G203" s="136">
        <v>42</v>
      </c>
      <c r="H203" s="137">
        <v>42</v>
      </c>
      <c r="I203" s="142">
        <v>6540.24</v>
      </c>
      <c r="J203" s="98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</row>
    <row r="204">
      <c r="A204" s="180"/>
      <c r="B204" s="180">
        <v>45951</v>
      </c>
      <c r="C204" s="117">
        <v>692639140358600</v>
      </c>
      <c r="D204" s="138" t="s">
        <v>393</v>
      </c>
      <c r="E204" s="118" t="s">
        <v>394</v>
      </c>
      <c r="F204" s="99">
        <v>424</v>
      </c>
      <c r="G204" s="136">
        <v>6</v>
      </c>
      <c r="H204" s="137">
        <v>6</v>
      </c>
      <c r="I204" s="142">
        <v>2544</v>
      </c>
      <c r="J204" s="98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</row>
    <row r="205">
      <c r="A205" s="180"/>
      <c r="B205" s="180">
        <v>45951</v>
      </c>
      <c r="C205" s="117">
        <v>692639140131500</v>
      </c>
      <c r="D205" s="138" t="s">
        <v>423</v>
      </c>
      <c r="E205" s="118" t="s">
        <v>424</v>
      </c>
      <c r="F205" s="99">
        <v>231.2</v>
      </c>
      <c r="G205" s="136">
        <v>2</v>
      </c>
      <c r="H205" s="137">
        <v>2</v>
      </c>
      <c r="I205" s="142">
        <v>462.4</v>
      </c>
      <c r="J205" s="98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</row>
    <row r="206">
      <c r="A206" s="180"/>
      <c r="B206" s="180">
        <v>45951</v>
      </c>
      <c r="C206" s="117">
        <v>692639140413200</v>
      </c>
      <c r="D206" s="138" t="s">
        <v>363</v>
      </c>
      <c r="E206" s="118" t="s">
        <v>364</v>
      </c>
      <c r="F206" s="99">
        <v>135.32</v>
      </c>
      <c r="G206" s="136">
        <v>10</v>
      </c>
      <c r="H206" s="137">
        <v>10</v>
      </c>
      <c r="I206" s="142">
        <v>1353.2</v>
      </c>
      <c r="J206" s="98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</row>
    <row r="207">
      <c r="A207" s="180"/>
      <c r="B207" s="180">
        <v>45951</v>
      </c>
      <c r="C207" s="117">
        <v>692639140454500</v>
      </c>
      <c r="D207" s="138" t="s">
        <v>299</v>
      </c>
      <c r="E207" s="118" t="s">
        <v>300</v>
      </c>
      <c r="F207" s="99">
        <v>401.2</v>
      </c>
      <c r="G207" s="136">
        <v>4</v>
      </c>
      <c r="H207" s="137">
        <v>4</v>
      </c>
      <c r="I207" s="142">
        <v>1604.8</v>
      </c>
      <c r="J207" s="98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</row>
    <row r="208">
      <c r="A208" s="180"/>
      <c r="B208" s="180">
        <v>45951</v>
      </c>
      <c r="C208" s="117">
        <v>692639149682300</v>
      </c>
      <c r="D208" s="138" t="s">
        <v>407</v>
      </c>
      <c r="E208" s="118" t="s">
        <v>408</v>
      </c>
      <c r="F208" s="99">
        <v>119</v>
      </c>
      <c r="G208" s="136">
        <v>30</v>
      </c>
      <c r="H208" s="137">
        <v>30</v>
      </c>
      <c r="I208" s="142">
        <v>3570.01</v>
      </c>
      <c r="J208" s="98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</row>
    <row r="209">
      <c r="A209" s="180"/>
      <c r="B209" s="180">
        <v>45951</v>
      </c>
      <c r="C209" s="117">
        <v>692639149681600</v>
      </c>
      <c r="D209" s="138" t="s">
        <v>409</v>
      </c>
      <c r="E209" s="118" t="s">
        <v>410</v>
      </c>
      <c r="F209" s="99">
        <v>204</v>
      </c>
      <c r="G209" s="136">
        <v>420</v>
      </c>
      <c r="H209" s="137">
        <v>420</v>
      </c>
      <c r="I209" s="142">
        <v>85680</v>
      </c>
      <c r="J209" s="98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</row>
    <row r="210">
      <c r="A210" s="180"/>
      <c r="B210" s="180">
        <v>45951</v>
      </c>
      <c r="C210" s="117">
        <v>692639140436100</v>
      </c>
      <c r="D210" s="138" t="s">
        <v>295</v>
      </c>
      <c r="E210" s="118" t="s">
        <v>518</v>
      </c>
      <c r="F210" s="147">
        <v>221</v>
      </c>
      <c r="G210" s="144">
        <v>140</v>
      </c>
      <c r="H210" s="145">
        <v>100</v>
      </c>
      <c r="I210" s="142">
        <v>30940</v>
      </c>
      <c r="J210" s="98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</row>
    <row r="211">
      <c r="A211" s="180"/>
      <c r="B211" s="180">
        <v>45951</v>
      </c>
      <c r="C211" s="117">
        <v>692639149763900</v>
      </c>
      <c r="D211" s="138" t="s">
        <v>442</v>
      </c>
      <c r="E211" s="118" t="s">
        <v>443</v>
      </c>
      <c r="F211" s="99">
        <v>571.2</v>
      </c>
      <c r="G211" s="136">
        <v>1</v>
      </c>
      <c r="H211" s="137">
        <v>1</v>
      </c>
      <c r="I211" s="142">
        <v>571.2</v>
      </c>
      <c r="J211" s="98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</row>
    <row r="212">
      <c r="A212" s="180"/>
      <c r="B212" s="180">
        <v>45951</v>
      </c>
      <c r="C212" s="117">
        <v>692639140088200</v>
      </c>
      <c r="D212" s="138" t="s">
        <v>519</v>
      </c>
      <c r="E212" s="118" t="s">
        <v>520</v>
      </c>
      <c r="F212" s="99">
        <v>204</v>
      </c>
      <c r="G212" s="136">
        <v>50</v>
      </c>
      <c r="H212" s="137">
        <v>50</v>
      </c>
      <c r="I212" s="142">
        <v>10200</v>
      </c>
      <c r="J212" s="98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</row>
    <row customHeight="true" ht="20" r="213">
      <c r="A213" s="180"/>
      <c r="B213" s="180">
        <v>45951</v>
      </c>
      <c r="C213" s="106">
        <v>2508050001</v>
      </c>
      <c r="D213" s="106" t="s">
        <v>295</v>
      </c>
      <c r="E213" s="148" t="s">
        <v>521</v>
      </c>
      <c r="F213" s="149">
        <v>0</v>
      </c>
      <c r="G213" s="150">
        <v>14</v>
      </c>
      <c r="H213" s="182">
        <v>14</v>
      </c>
      <c r="I213" s="152">
        <v>0</v>
      </c>
      <c r="J213" s="98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</row>
    <row r="214">
      <c r="A214" s="180"/>
      <c r="B214" s="180">
        <v>45951</v>
      </c>
      <c r="C214" s="117">
        <v>697884024025900</v>
      </c>
      <c r="D214" s="138" t="s">
        <v>497</v>
      </c>
      <c r="E214" s="118" t="s">
        <v>498</v>
      </c>
      <c r="F214" s="183">
        <v>2.6</v>
      </c>
      <c r="G214" s="184">
        <v>10000</v>
      </c>
      <c r="H214" s="185">
        <v>10000</v>
      </c>
      <c r="I214" s="142">
        <v>26000</v>
      </c>
      <c r="J214" s="98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</row>
    <row r="215">
      <c r="A215" s="169"/>
      <c r="B215" s="169">
        <v>45952</v>
      </c>
      <c r="C215" s="117">
        <v>692639149918300</v>
      </c>
      <c r="D215" s="138" t="s">
        <v>436</v>
      </c>
      <c r="E215" s="186" t="s">
        <v>437</v>
      </c>
      <c r="F215" s="99">
        <v>469.2</v>
      </c>
      <c r="G215" s="136">
        <v>3</v>
      </c>
      <c r="H215" s="141">
        <v>3</v>
      </c>
      <c r="I215" s="142">
        <v>1407.6</v>
      </c>
      <c r="J215" s="98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</row>
    <row r="216">
      <c r="A216" s="169"/>
      <c r="B216" s="169">
        <v>45952</v>
      </c>
      <c r="C216" s="117">
        <v>692639140361600</v>
      </c>
      <c r="D216" s="138" t="s">
        <v>431</v>
      </c>
      <c r="E216" s="118" t="s">
        <v>433</v>
      </c>
      <c r="F216" s="187">
        <v>678.3</v>
      </c>
      <c r="G216" s="136">
        <v>2</v>
      </c>
      <c r="H216" s="141">
        <v>2</v>
      </c>
      <c r="I216" s="142">
        <v>1356.6</v>
      </c>
      <c r="J216" s="98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</row>
    <row r="217">
      <c r="A217" s="180"/>
      <c r="B217" s="180">
        <v>45958</v>
      </c>
      <c r="C217" s="117">
        <v>2510270001</v>
      </c>
      <c r="D217" s="138" t="s">
        <v>522</v>
      </c>
      <c r="E217" s="118" t="s">
        <v>523</v>
      </c>
      <c r="F217" s="99">
        <v>70</v>
      </c>
      <c r="G217" s="136">
        <v>2</v>
      </c>
      <c r="H217" s="141">
        <v>2</v>
      </c>
      <c r="I217" s="142">
        <v>140</v>
      </c>
      <c r="J217" s="125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</row>
    <row r="218">
      <c r="A218" s="188"/>
      <c r="B218" s="188">
        <v>45958</v>
      </c>
      <c r="C218" s="189">
        <v>2510270002</v>
      </c>
      <c r="D218" s="190" t="s">
        <v>524</v>
      </c>
      <c r="E218" s="191" t="s">
        <v>525</v>
      </c>
      <c r="F218" s="99">
        <v>70</v>
      </c>
      <c r="G218" s="136">
        <v>2</v>
      </c>
      <c r="H218" s="141">
        <v>2</v>
      </c>
      <c r="I218" s="142">
        <v>140</v>
      </c>
      <c r="J218" s="125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</row>
    <row r="219">
      <c r="A219" s="180"/>
      <c r="B219" s="180">
        <v>45958</v>
      </c>
      <c r="C219" s="192">
        <v>692639140406400</v>
      </c>
      <c r="D219" s="193" t="s">
        <v>389</v>
      </c>
      <c r="E219" s="194" t="s">
        <v>390</v>
      </c>
      <c r="F219" s="195">
        <v>40.8</v>
      </c>
      <c r="G219" s="196">
        <v>20</v>
      </c>
      <c r="H219" s="141">
        <v>20</v>
      </c>
      <c r="I219" s="142">
        <v>816</v>
      </c>
      <c r="J219" s="125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</row>
    <row r="220">
      <c r="A220" s="180"/>
      <c r="B220" s="180">
        <v>45958</v>
      </c>
      <c r="C220" s="192">
        <v>692639140092900</v>
      </c>
      <c r="D220" s="193" t="s">
        <v>369</v>
      </c>
      <c r="E220" s="194" t="s">
        <v>370</v>
      </c>
      <c r="F220" s="195">
        <v>170</v>
      </c>
      <c r="G220" s="196">
        <v>10</v>
      </c>
      <c r="H220" s="141">
        <v>10</v>
      </c>
      <c r="I220" s="142">
        <v>1700</v>
      </c>
      <c r="J220" s="125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</row>
    <row r="221">
      <c r="A221" s="180"/>
      <c r="B221" s="180">
        <v>45958</v>
      </c>
      <c r="C221" s="192">
        <v>692639140454500</v>
      </c>
      <c r="D221" s="193" t="s">
        <v>299</v>
      </c>
      <c r="E221" s="194" t="s">
        <v>300</v>
      </c>
      <c r="F221" s="99">
        <v>401.2</v>
      </c>
      <c r="G221" s="196">
        <v>6</v>
      </c>
      <c r="H221" s="141">
        <v>6</v>
      </c>
      <c r="I221" s="142">
        <v>2407.2</v>
      </c>
      <c r="J221" s="125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</row>
    <row r="222">
      <c r="A222" s="180"/>
      <c r="B222" s="180">
        <v>45958</v>
      </c>
      <c r="C222" s="192">
        <v>692639140426200</v>
      </c>
      <c r="D222" s="193" t="s">
        <v>335</v>
      </c>
      <c r="E222" s="194" t="s">
        <v>336</v>
      </c>
      <c r="F222" s="195">
        <v>155.72</v>
      </c>
      <c r="G222" s="196">
        <v>20</v>
      </c>
      <c r="H222" s="141">
        <v>20</v>
      </c>
      <c r="I222" s="142">
        <v>3114.4</v>
      </c>
      <c r="J222" s="125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</row>
    <row r="223">
      <c r="A223" s="180"/>
      <c r="B223" s="180">
        <v>45958</v>
      </c>
      <c r="C223" s="192">
        <v>692639140362300</v>
      </c>
      <c r="D223" s="193" t="s">
        <v>431</v>
      </c>
      <c r="E223" s="194" t="s">
        <v>432</v>
      </c>
      <c r="F223" s="99">
        <v>135.66</v>
      </c>
      <c r="G223" s="196">
        <v>4</v>
      </c>
      <c r="H223" s="141">
        <v>4</v>
      </c>
      <c r="I223" s="142">
        <v>542.64</v>
      </c>
      <c r="J223" s="125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</row>
    <row r="224">
      <c r="A224" s="197"/>
      <c r="B224" s="197">
        <v>45964</v>
      </c>
      <c r="C224" s="192">
        <v>692639140413200</v>
      </c>
      <c r="D224" s="193" t="s">
        <v>363</v>
      </c>
      <c r="E224" s="194" t="s">
        <v>364</v>
      </c>
      <c r="F224" s="195">
        <v>135.32</v>
      </c>
      <c r="G224" s="196">
        <v>20</v>
      </c>
      <c r="H224" s="129">
        <v>20</v>
      </c>
      <c r="I224" s="90">
        <v>2706.4</v>
      </c>
      <c r="J224" s="98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</row>
    <row r="225">
      <c r="A225" s="197"/>
      <c r="B225" s="197">
        <v>45964</v>
      </c>
      <c r="C225" s="192">
        <v>692639140254100</v>
      </c>
      <c r="D225" s="193" t="s">
        <v>403</v>
      </c>
      <c r="E225" s="194" t="s">
        <v>404</v>
      </c>
      <c r="F225" s="195">
        <v>408</v>
      </c>
      <c r="G225" s="196">
        <v>30</v>
      </c>
      <c r="H225" s="129">
        <v>30</v>
      </c>
      <c r="I225" s="90">
        <v>12239.93</v>
      </c>
      <c r="J225" s="98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</row>
    <row r="226">
      <c r="A226" s="197"/>
      <c r="B226" s="197">
        <v>45964</v>
      </c>
      <c r="C226" s="192">
        <v>692639140361600</v>
      </c>
      <c r="D226" s="193" t="s">
        <v>431</v>
      </c>
      <c r="E226" s="194" t="s">
        <v>433</v>
      </c>
      <c r="F226" s="187">
        <v>678.3</v>
      </c>
      <c r="G226" s="196">
        <v>2</v>
      </c>
      <c r="H226" s="129">
        <v>2</v>
      </c>
      <c r="I226" s="90">
        <v>1356.6</v>
      </c>
      <c r="J226" s="98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</row>
    <row r="227">
      <c r="A227" s="197"/>
      <c r="B227" s="197">
        <v>45964</v>
      </c>
      <c r="C227" s="193">
        <v>692639140426200</v>
      </c>
      <c r="D227" s="193" t="s">
        <v>335</v>
      </c>
      <c r="E227" s="194" t="s">
        <v>336</v>
      </c>
      <c r="F227" s="195">
        <v>155.72</v>
      </c>
      <c r="G227" s="196">
        <v>36</v>
      </c>
      <c r="H227" s="129">
        <v>36</v>
      </c>
      <c r="I227" s="90">
        <v>5605.92</v>
      </c>
      <c r="J227" s="98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</row>
    <row r="228">
      <c r="A228" s="197"/>
      <c r="B228" s="197">
        <v>45964</v>
      </c>
      <c r="C228" s="192">
        <v>692639140358600</v>
      </c>
      <c r="D228" s="193" t="s">
        <v>393</v>
      </c>
      <c r="E228" s="194" t="s">
        <v>394</v>
      </c>
      <c r="F228" s="195">
        <v>424</v>
      </c>
      <c r="G228" s="196">
        <v>4</v>
      </c>
      <c r="H228" s="129">
        <v>4</v>
      </c>
      <c r="I228" s="90">
        <v>1695.99</v>
      </c>
      <c r="J228" s="98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</row>
    <row r="229">
      <c r="A229" s="197"/>
      <c r="B229" s="197">
        <v>45964</v>
      </c>
      <c r="C229" s="192">
        <v>692639140362300</v>
      </c>
      <c r="D229" s="193" t="s">
        <v>431</v>
      </c>
      <c r="E229" s="194" t="s">
        <v>432</v>
      </c>
      <c r="F229" s="99">
        <v>135.66</v>
      </c>
      <c r="G229" s="196">
        <v>5</v>
      </c>
      <c r="H229" s="129">
        <v>5</v>
      </c>
      <c r="I229" s="90">
        <v>678.3</v>
      </c>
      <c r="J229" s="98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</row>
    <row r="230">
      <c r="A230" s="197"/>
      <c r="B230" s="197">
        <v>45964</v>
      </c>
      <c r="C230" s="192">
        <v>692639140092900</v>
      </c>
      <c r="D230" s="193" t="s">
        <v>369</v>
      </c>
      <c r="E230" s="194" t="s">
        <v>370</v>
      </c>
      <c r="F230" s="195">
        <v>170</v>
      </c>
      <c r="G230" s="196">
        <v>8</v>
      </c>
      <c r="H230" s="129">
        <v>8</v>
      </c>
      <c r="I230" s="90">
        <v>1360</v>
      </c>
      <c r="J230" s="98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</row>
    <row r="231">
      <c r="A231" s="197"/>
      <c r="B231" s="197">
        <v>45964</v>
      </c>
      <c r="C231" s="192">
        <v>692639149814800</v>
      </c>
      <c r="D231" s="193" t="s">
        <v>448</v>
      </c>
      <c r="E231" s="194" t="s">
        <v>449</v>
      </c>
      <c r="F231" s="195">
        <v>224.4</v>
      </c>
      <c r="G231" s="196">
        <v>10</v>
      </c>
      <c r="H231" s="129">
        <v>10</v>
      </c>
      <c r="I231" s="90">
        <v>2243.95</v>
      </c>
      <c r="J231" s="98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</row>
    <row r="232">
      <c r="A232" s="180"/>
      <c r="B232" s="180">
        <v>45972</v>
      </c>
      <c r="C232" s="192">
        <v>692639149683000</v>
      </c>
      <c r="D232" s="193" t="s">
        <v>411</v>
      </c>
      <c r="E232" s="194" t="s">
        <v>412</v>
      </c>
      <c r="F232" s="195">
        <v>272</v>
      </c>
      <c r="G232" s="196">
        <v>12</v>
      </c>
      <c r="H232" s="198">
        <v>12</v>
      </c>
      <c r="I232" s="135">
        <v>3264</v>
      </c>
      <c r="J232" s="98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</row>
    <row r="233">
      <c r="A233" s="180"/>
      <c r="B233" s="180">
        <v>45972</v>
      </c>
      <c r="C233" s="192">
        <v>692639140092900</v>
      </c>
      <c r="D233" s="193" t="s">
        <v>369</v>
      </c>
      <c r="E233" s="194" t="s">
        <v>370</v>
      </c>
      <c r="F233" s="195">
        <v>170</v>
      </c>
      <c r="G233" s="196">
        <v>25</v>
      </c>
      <c r="H233" s="198">
        <v>25</v>
      </c>
      <c r="I233" s="135">
        <v>4250</v>
      </c>
      <c r="J233" s="98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</row>
    <row r="234">
      <c r="A234" s="180"/>
      <c r="B234" s="180">
        <v>45972</v>
      </c>
      <c r="C234" s="192">
        <v>692639149814800</v>
      </c>
      <c r="D234" s="193" t="s">
        <v>448</v>
      </c>
      <c r="E234" s="194" t="s">
        <v>449</v>
      </c>
      <c r="F234" s="195">
        <v>224.4</v>
      </c>
      <c r="G234" s="196">
        <v>12</v>
      </c>
      <c r="H234" s="198">
        <v>12</v>
      </c>
      <c r="I234" s="135">
        <v>2692.8</v>
      </c>
      <c r="J234" s="98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</row>
    <row r="235">
      <c r="A235" s="180"/>
      <c r="B235" s="180">
        <v>45972</v>
      </c>
      <c r="C235" s="192">
        <v>692639140254100</v>
      </c>
      <c r="D235" s="193" t="s">
        <v>403</v>
      </c>
      <c r="E235" s="194" t="s">
        <v>404</v>
      </c>
      <c r="F235" s="195">
        <v>408</v>
      </c>
      <c r="G235" s="196">
        <v>24</v>
      </c>
      <c r="H235" s="198">
        <v>24</v>
      </c>
      <c r="I235" s="135">
        <v>9792</v>
      </c>
      <c r="J235" s="98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</row>
    <row r="236">
      <c r="A236" s="180"/>
      <c r="B236" s="180">
        <v>45972</v>
      </c>
      <c r="C236" s="199">
        <v>692639140433000</v>
      </c>
      <c r="D236" s="200" t="s">
        <v>375</v>
      </c>
      <c r="E236" s="201" t="s">
        <v>376</v>
      </c>
      <c r="F236" s="99" t="s">
        <v>526</v>
      </c>
      <c r="G236" s="136">
        <v>10</v>
      </c>
      <c r="H236" s="129">
        <v>10</v>
      </c>
      <c r="I236" s="135">
        <v>1904.05</v>
      </c>
      <c r="J236" s="98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</row>
    <row r="237">
      <c r="A237" s="180"/>
      <c r="B237" s="180">
        <v>45972</v>
      </c>
      <c r="C237" s="117">
        <v>692639140322700</v>
      </c>
      <c r="D237" s="138" t="s">
        <v>321</v>
      </c>
      <c r="E237" s="118" t="s">
        <v>322</v>
      </c>
      <c r="F237" s="99">
        <v>23.12</v>
      </c>
      <c r="G237" s="136">
        <v>36</v>
      </c>
      <c r="H237" s="129">
        <v>36</v>
      </c>
      <c r="I237" s="135">
        <v>832.32</v>
      </c>
      <c r="J237" s="98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</row>
    <row r="238">
      <c r="A238" s="180"/>
      <c r="B238" s="180">
        <v>45972</v>
      </c>
      <c r="C238" s="117">
        <v>692639149682300</v>
      </c>
      <c r="D238" s="138" t="s">
        <v>407</v>
      </c>
      <c r="E238" s="118" t="s">
        <v>408</v>
      </c>
      <c r="F238" s="99">
        <v>119</v>
      </c>
      <c r="G238" s="136">
        <v>54</v>
      </c>
      <c r="H238" s="129">
        <v>54</v>
      </c>
      <c r="I238" s="135">
        <v>6426</v>
      </c>
      <c r="J238" s="98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</row>
    <row r="239">
      <c r="A239" s="180"/>
      <c r="B239" s="180">
        <v>45972</v>
      </c>
      <c r="C239" s="117">
        <v>692639140272500</v>
      </c>
      <c r="D239" s="138" t="s">
        <v>484</v>
      </c>
      <c r="E239" s="118" t="s">
        <v>485</v>
      </c>
      <c r="F239" s="135">
        <v>271.32</v>
      </c>
      <c r="G239" s="136">
        <v>4</v>
      </c>
      <c r="H239" s="129">
        <v>4</v>
      </c>
      <c r="I239" s="135">
        <v>1085.28</v>
      </c>
      <c r="J239" s="98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</row>
    <row r="240">
      <c r="A240" s="180"/>
      <c r="B240" s="180">
        <v>45972</v>
      </c>
      <c r="C240" s="117">
        <v>692639140410100</v>
      </c>
      <c r="D240" s="138" t="s">
        <v>347</v>
      </c>
      <c r="E240" s="118" t="s">
        <v>348</v>
      </c>
      <c r="F240" s="99">
        <v>363.8</v>
      </c>
      <c r="G240" s="136">
        <v>4</v>
      </c>
      <c r="H240" s="129">
        <v>4</v>
      </c>
      <c r="I240" s="135">
        <v>1455.2</v>
      </c>
      <c r="J240" s="98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</row>
    <row r="241">
      <c r="A241" s="180"/>
      <c r="B241" s="180">
        <v>45972</v>
      </c>
      <c r="C241" s="117">
        <v>692639140362300</v>
      </c>
      <c r="D241" s="138" t="s">
        <v>431</v>
      </c>
      <c r="E241" s="118" t="s">
        <v>432</v>
      </c>
      <c r="F241" s="99">
        <v>135.66</v>
      </c>
      <c r="G241" s="136">
        <v>9</v>
      </c>
      <c r="H241" s="129">
        <v>9</v>
      </c>
      <c r="I241" s="135">
        <v>1220.94</v>
      </c>
      <c r="J241" s="98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</row>
    <row r="242">
      <c r="A242" s="180"/>
      <c r="B242" s="180">
        <v>45972</v>
      </c>
      <c r="C242" s="117">
        <v>692639140454500</v>
      </c>
      <c r="D242" s="138" t="s">
        <v>299</v>
      </c>
      <c r="E242" s="118" t="s">
        <v>300</v>
      </c>
      <c r="F242" s="99">
        <v>401.2</v>
      </c>
      <c r="G242" s="136">
        <v>15</v>
      </c>
      <c r="H242" s="129">
        <v>15</v>
      </c>
      <c r="I242" s="135">
        <v>6018</v>
      </c>
      <c r="J242" s="98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</row>
    <row r="243">
      <c r="A243" s="180"/>
      <c r="B243" s="180">
        <v>45972</v>
      </c>
      <c r="C243" s="117">
        <v>692639140406400</v>
      </c>
      <c r="D243" s="138" t="s">
        <v>389</v>
      </c>
      <c r="E243" s="118" t="s">
        <v>390</v>
      </c>
      <c r="F243" s="99">
        <v>40.8</v>
      </c>
      <c r="G243" s="136">
        <v>32</v>
      </c>
      <c r="H243" s="129">
        <v>32</v>
      </c>
      <c r="I243" s="135">
        <v>1305.6</v>
      </c>
      <c r="J243" s="98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</row>
    <row r="244">
      <c r="A244" s="180"/>
      <c r="B244" s="180">
        <v>45972</v>
      </c>
      <c r="C244" s="117">
        <v>692639140426200</v>
      </c>
      <c r="D244" s="138" t="s">
        <v>335</v>
      </c>
      <c r="E244" s="118" t="s">
        <v>336</v>
      </c>
      <c r="F244" s="99">
        <v>155.72</v>
      </c>
      <c r="G244" s="136">
        <v>36</v>
      </c>
      <c r="H244" s="129">
        <v>36</v>
      </c>
      <c r="I244" s="135">
        <v>5605.92</v>
      </c>
      <c r="J244" s="98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</row>
    <row r="245">
      <c r="A245" s="180"/>
      <c r="B245" s="180">
        <v>45972</v>
      </c>
      <c r="C245" s="117">
        <v>692639140413200</v>
      </c>
      <c r="D245" s="138" t="s">
        <v>363</v>
      </c>
      <c r="E245" s="118" t="s">
        <v>364</v>
      </c>
      <c r="F245" s="99">
        <v>135.32</v>
      </c>
      <c r="G245" s="136">
        <v>30</v>
      </c>
      <c r="H245" s="129">
        <v>30</v>
      </c>
      <c r="I245" s="135">
        <v>4059.6</v>
      </c>
      <c r="J245" s="98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</row>
    <row r="246">
      <c r="A246" s="180"/>
      <c r="B246" s="180">
        <v>45972</v>
      </c>
      <c r="C246" s="117">
        <v>692639140451400</v>
      </c>
      <c r="D246" s="138" t="s">
        <v>469</v>
      </c>
      <c r="E246" s="118" t="s">
        <v>470</v>
      </c>
      <c r="F246" s="99">
        <v>204</v>
      </c>
      <c r="G246" s="136">
        <v>6</v>
      </c>
      <c r="H246" s="129">
        <v>6</v>
      </c>
      <c r="I246" s="135">
        <v>1224</v>
      </c>
      <c r="J246" s="98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</row>
    <row r="247">
      <c r="A247" s="180"/>
      <c r="B247" s="180">
        <v>45972</v>
      </c>
      <c r="C247" s="117">
        <v>692639140336400</v>
      </c>
      <c r="D247" s="138" t="s">
        <v>367</v>
      </c>
      <c r="E247" s="118" t="s">
        <v>527</v>
      </c>
      <c r="F247" s="99">
        <v>153</v>
      </c>
      <c r="G247" s="136">
        <v>5</v>
      </c>
      <c r="H247" s="129">
        <v>5</v>
      </c>
      <c r="I247" s="135">
        <v>765</v>
      </c>
      <c r="J247" s="98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</row>
    <row r="248">
      <c r="A248" s="180"/>
      <c r="B248" s="180">
        <v>45972</v>
      </c>
      <c r="C248" s="117">
        <v>692639140361600</v>
      </c>
      <c r="D248" s="138" t="s">
        <v>431</v>
      </c>
      <c r="E248" s="118" t="s">
        <v>433</v>
      </c>
      <c r="F248" s="135">
        <f>F241*5</f>
      </c>
      <c r="G248" s="136">
        <v>5</v>
      </c>
      <c r="H248" s="129">
        <v>5</v>
      </c>
      <c r="I248" s="135">
        <v>3391.5</v>
      </c>
      <c r="J248" s="98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</row>
    <row r="249">
      <c r="A249" s="180"/>
      <c r="B249" s="180">
        <v>45972</v>
      </c>
      <c r="C249" s="117">
        <v>692639140470500</v>
      </c>
      <c r="D249" s="138" t="s">
        <v>311</v>
      </c>
      <c r="E249" s="118" t="s">
        <v>312</v>
      </c>
      <c r="F249" s="99">
        <v>74.12</v>
      </c>
      <c r="G249" s="136">
        <v>16</v>
      </c>
      <c r="H249" s="129">
        <v>16</v>
      </c>
      <c r="I249" s="135">
        <v>1185.92</v>
      </c>
      <c r="J249" s="98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</row>
    <row r="250">
      <c r="A250" s="180"/>
      <c r="B250" s="180">
        <v>45972</v>
      </c>
      <c r="C250" s="117">
        <v>692639140331900</v>
      </c>
      <c r="D250" s="138" t="s">
        <v>355</v>
      </c>
      <c r="E250" s="118" t="s">
        <v>356</v>
      </c>
      <c r="F250" s="99">
        <v>1592</v>
      </c>
      <c r="G250" s="136">
        <v>1</v>
      </c>
      <c r="H250" s="129">
        <v>1</v>
      </c>
      <c r="I250" s="135">
        <v>1592</v>
      </c>
      <c r="J250" s="98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</row>
    <row customHeight="true" ht="24" r="251">
      <c r="A251" s="169"/>
      <c r="B251" s="169">
        <v>45978</v>
      </c>
      <c r="C251" s="117">
        <v>692639140331900</v>
      </c>
      <c r="D251" s="138" t="s">
        <v>355</v>
      </c>
      <c r="E251" s="118" t="s">
        <v>356</v>
      </c>
      <c r="F251" s="99">
        <v>1592</v>
      </c>
      <c r="G251" s="136">
        <v>2</v>
      </c>
      <c r="H251" s="129">
        <v>2</v>
      </c>
      <c r="I251" s="135">
        <v>6368</v>
      </c>
      <c r="J251" s="98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</row>
    <row customHeight="true" ht="24" r="252">
      <c r="A252" s="169"/>
      <c r="B252" s="169">
        <v>45978</v>
      </c>
      <c r="C252" s="117">
        <v>692639140087500</v>
      </c>
      <c r="D252" s="138" t="s">
        <v>405</v>
      </c>
      <c r="E252" s="118" t="s">
        <v>406</v>
      </c>
      <c r="F252" s="99">
        <v>1360</v>
      </c>
      <c r="G252" s="136">
        <v>6</v>
      </c>
      <c r="H252" s="129">
        <v>6</v>
      </c>
      <c r="I252" s="135">
        <v>8160</v>
      </c>
      <c r="J252" s="98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</row>
    <row r="253">
      <c r="A253" s="180" t="s">
        <v>528</v>
      </c>
      <c r="B253" s="180">
        <v>45979</v>
      </c>
      <c r="C253" s="117">
        <v>692639140499600</v>
      </c>
      <c r="D253" s="138" t="s">
        <v>529</v>
      </c>
      <c r="E253" s="118" t="s">
        <v>530</v>
      </c>
      <c r="F253" s="183">
        <v>1292</v>
      </c>
      <c r="G253" s="136">
        <v>6</v>
      </c>
      <c r="H253" s="129">
        <v>6</v>
      </c>
      <c r="I253" s="135">
        <v>7752</v>
      </c>
      <c r="J253" s="98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</row>
    <row r="254">
      <c r="A254" s="180"/>
      <c r="B254" s="180">
        <v>45979</v>
      </c>
      <c r="C254" s="117">
        <v>692639140500900</v>
      </c>
      <c r="D254" s="138" t="s">
        <v>531</v>
      </c>
      <c r="E254" s="118" t="s">
        <v>532</v>
      </c>
      <c r="F254" s="183">
        <v>1251.2</v>
      </c>
      <c r="G254" s="136">
        <v>6</v>
      </c>
      <c r="H254" s="129">
        <v>6</v>
      </c>
      <c r="I254" s="135">
        <v>7507.2</v>
      </c>
      <c r="J254" s="98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</row>
    <row r="255">
      <c r="A255" s="180"/>
      <c r="B255" s="180">
        <v>45979</v>
      </c>
      <c r="C255" s="117">
        <v>697884024016700</v>
      </c>
      <c r="D255" s="138" t="s">
        <v>533</v>
      </c>
      <c r="E255" s="118" t="s">
        <v>534</v>
      </c>
      <c r="F255" s="183">
        <v>3400</v>
      </c>
      <c r="G255" s="136">
        <v>2</v>
      </c>
      <c r="H255" s="129">
        <v>2</v>
      </c>
      <c r="I255" s="135">
        <v>6800</v>
      </c>
      <c r="J255" s="98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</row>
    <row r="256">
      <c r="A256" s="180"/>
      <c r="B256" s="180">
        <v>45979</v>
      </c>
      <c r="C256" s="117">
        <v>697884024018100</v>
      </c>
      <c r="D256" s="138" t="s">
        <v>535</v>
      </c>
      <c r="E256" s="118" t="s">
        <v>536</v>
      </c>
      <c r="F256" s="183">
        <v>816</v>
      </c>
      <c r="G256" s="136">
        <v>8</v>
      </c>
      <c r="H256" s="129">
        <v>8</v>
      </c>
      <c r="I256" s="135">
        <v>6528</v>
      </c>
      <c r="J256" s="98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</row>
    <row r="257">
      <c r="A257" s="180"/>
      <c r="B257" s="180">
        <v>45979</v>
      </c>
      <c r="C257" s="117">
        <v>697884024020400</v>
      </c>
      <c r="D257" s="138" t="s">
        <v>537</v>
      </c>
      <c r="E257" s="118" t="s">
        <v>538</v>
      </c>
      <c r="F257" s="183">
        <v>272</v>
      </c>
      <c r="G257" s="136">
        <v>16</v>
      </c>
      <c r="H257" s="129">
        <v>16</v>
      </c>
      <c r="I257" s="135">
        <v>4352</v>
      </c>
      <c r="J257" s="98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</row>
    <row r="258">
      <c r="A258" s="169"/>
      <c r="B258" s="169">
        <v>45985</v>
      </c>
      <c r="C258" s="117">
        <v>692639140406400</v>
      </c>
      <c r="D258" s="138" t="s">
        <v>389</v>
      </c>
      <c r="E258" s="202" t="s">
        <v>390</v>
      </c>
      <c r="F258" s="183">
        <v>40.8</v>
      </c>
      <c r="G258" s="136">
        <v>64</v>
      </c>
      <c r="H258" s="129">
        <v>64</v>
      </c>
      <c r="I258" s="90">
        <f t="shared" ref="I258:I323" si="7">G258*F258</f>
      </c>
      <c r="J258" s="98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</row>
    <row r="259">
      <c r="A259" s="169"/>
      <c r="B259" s="169"/>
      <c r="C259" s="117">
        <v>692639140322700</v>
      </c>
      <c r="D259" s="138" t="s">
        <v>321</v>
      </c>
      <c r="E259" s="202" t="s">
        <v>322</v>
      </c>
      <c r="F259" s="183">
        <v>23.12</v>
      </c>
      <c r="G259" s="136">
        <v>504</v>
      </c>
      <c r="H259" s="129">
        <v>504</v>
      </c>
      <c r="I259" s="90">
        <f t="shared" si="7"/>
      </c>
      <c r="J259" s="98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</row>
    <row r="260">
      <c r="A260" s="169"/>
      <c r="B260" s="169"/>
      <c r="C260" s="117">
        <v>692639140410100</v>
      </c>
      <c r="D260" s="138" t="s">
        <v>347</v>
      </c>
      <c r="E260" s="202" t="s">
        <v>348</v>
      </c>
      <c r="F260" s="183">
        <v>363.8</v>
      </c>
      <c r="G260" s="136">
        <v>10</v>
      </c>
      <c r="H260" s="129">
        <v>10</v>
      </c>
      <c r="I260" s="90">
        <f t="shared" si="7"/>
      </c>
      <c r="J260" s="98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</row>
    <row r="261">
      <c r="A261" s="169"/>
      <c r="B261" s="169"/>
      <c r="C261" s="117">
        <v>692639149682300</v>
      </c>
      <c r="D261" s="138" t="s">
        <v>407</v>
      </c>
      <c r="E261" s="202" t="s">
        <v>408</v>
      </c>
      <c r="F261" s="183">
        <v>119</v>
      </c>
      <c r="G261" s="136">
        <v>120</v>
      </c>
      <c r="H261" s="129">
        <v>120</v>
      </c>
      <c r="I261" s="90">
        <f t="shared" si="7"/>
      </c>
      <c r="J261" s="98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</row>
    <row r="262">
      <c r="A262" s="169"/>
      <c r="B262" s="169"/>
      <c r="C262" s="117">
        <v>692639140470500</v>
      </c>
      <c r="D262" s="138" t="s">
        <v>311</v>
      </c>
      <c r="E262" s="202" t="s">
        <v>312</v>
      </c>
      <c r="F262" s="183">
        <v>74.12</v>
      </c>
      <c r="G262" s="136">
        <v>64</v>
      </c>
      <c r="H262" s="129">
        <v>64</v>
      </c>
      <c r="I262" s="90">
        <f t="shared" si="7"/>
      </c>
      <c r="J262" s="98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</row>
    <row r="263">
      <c r="A263" s="169"/>
      <c r="B263" s="169"/>
      <c r="C263" s="117">
        <v>692639140362300</v>
      </c>
      <c r="D263" s="138" t="s">
        <v>431</v>
      </c>
      <c r="E263" s="202" t="s">
        <v>432</v>
      </c>
      <c r="F263" s="183">
        <v>135.66</v>
      </c>
      <c r="G263" s="136">
        <v>20</v>
      </c>
      <c r="H263" s="129">
        <v>20</v>
      </c>
      <c r="I263" s="90">
        <f t="shared" si="7"/>
      </c>
      <c r="J263" s="98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</row>
    <row r="264">
      <c r="A264" s="169"/>
      <c r="B264" s="169"/>
      <c r="C264" s="117">
        <v>692639140426200</v>
      </c>
      <c r="D264" s="138" t="s">
        <v>335</v>
      </c>
      <c r="E264" s="202" t="s">
        <v>336</v>
      </c>
      <c r="F264" s="183">
        <v>155.72</v>
      </c>
      <c r="G264" s="136">
        <v>72</v>
      </c>
      <c r="H264" s="129">
        <v>72</v>
      </c>
      <c r="I264" s="90">
        <f t="shared" si="7"/>
      </c>
      <c r="J264" s="98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</row>
    <row r="265">
      <c r="A265" s="169"/>
      <c r="B265" s="169"/>
      <c r="C265" s="117">
        <v>692639140408800</v>
      </c>
      <c r="D265" s="138" t="s">
        <v>345</v>
      </c>
      <c r="E265" s="202" t="s">
        <v>346</v>
      </c>
      <c r="F265" s="183">
        <v>214.2</v>
      </c>
      <c r="G265" s="136">
        <v>16</v>
      </c>
      <c r="H265" s="129">
        <v>16</v>
      </c>
      <c r="I265" s="90">
        <f t="shared" si="7"/>
      </c>
      <c r="J265" s="98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</row>
    <row r="266">
      <c r="A266" s="169"/>
      <c r="B266" s="169"/>
      <c r="C266" s="117">
        <v>692639140451400</v>
      </c>
      <c r="D266" s="138" t="s">
        <v>469</v>
      </c>
      <c r="E266" s="202" t="s">
        <v>470</v>
      </c>
      <c r="F266" s="183">
        <v>204</v>
      </c>
      <c r="G266" s="136">
        <v>24</v>
      </c>
      <c r="H266" s="129">
        <v>24</v>
      </c>
      <c r="I266" s="90">
        <f t="shared" si="7"/>
      </c>
      <c r="J266" s="98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</row>
    <row r="267">
      <c r="A267" s="169"/>
      <c r="B267" s="169"/>
      <c r="C267" s="117">
        <v>692639149814800</v>
      </c>
      <c r="D267" s="138" t="s">
        <v>448</v>
      </c>
      <c r="E267" s="202" t="s">
        <v>449</v>
      </c>
      <c r="F267" s="183">
        <v>224.4</v>
      </c>
      <c r="G267" s="136">
        <v>36</v>
      </c>
      <c r="H267" s="129">
        <v>36</v>
      </c>
      <c r="I267" s="90">
        <f t="shared" si="7"/>
      </c>
      <c r="J267" s="98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</row>
    <row r="268">
      <c r="A268" s="169"/>
      <c r="B268" s="169"/>
      <c r="C268" s="117">
        <v>692639140254100</v>
      </c>
      <c r="D268" s="138" t="s">
        <v>403</v>
      </c>
      <c r="E268" s="202" t="s">
        <v>404</v>
      </c>
      <c r="F268" s="183">
        <v>408</v>
      </c>
      <c r="G268" s="136">
        <v>48</v>
      </c>
      <c r="H268" s="129">
        <v>48</v>
      </c>
      <c r="I268" s="90">
        <f t="shared" si="7"/>
      </c>
      <c r="J268" s="98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</row>
    <row r="269">
      <c r="A269" s="169"/>
      <c r="B269" s="169"/>
      <c r="C269" s="117">
        <v>692639140425500</v>
      </c>
      <c r="D269" s="138" t="s">
        <v>333</v>
      </c>
      <c r="E269" s="202" t="s">
        <v>334</v>
      </c>
      <c r="F269" s="183">
        <v>78.2</v>
      </c>
      <c r="G269" s="136">
        <v>360</v>
      </c>
      <c r="H269" s="129">
        <v>360</v>
      </c>
      <c r="I269" s="90">
        <f t="shared" si="7"/>
      </c>
      <c r="J269" s="98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</row>
    <row r="270">
      <c r="A270" s="169"/>
      <c r="B270" s="169"/>
      <c r="C270" s="117">
        <v>692639140360900</v>
      </c>
      <c r="D270" s="138" t="s">
        <v>341</v>
      </c>
      <c r="E270" s="202" t="s">
        <v>342</v>
      </c>
      <c r="F270" s="183">
        <v>2448</v>
      </c>
      <c r="G270" s="136">
        <v>2</v>
      </c>
      <c r="H270" s="129">
        <v>2</v>
      </c>
      <c r="I270" s="90">
        <f t="shared" si="7"/>
      </c>
      <c r="J270" s="98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</row>
    <row r="271">
      <c r="A271" s="169"/>
      <c r="B271" s="169"/>
      <c r="C271" s="117">
        <v>692639140453800</v>
      </c>
      <c r="D271" s="138" t="s">
        <v>317</v>
      </c>
      <c r="E271" s="202" t="s">
        <v>318</v>
      </c>
      <c r="F271" s="183">
        <v>4320</v>
      </c>
      <c r="G271" s="136">
        <v>5</v>
      </c>
      <c r="H271" s="129">
        <v>5</v>
      </c>
      <c r="I271" s="90">
        <f t="shared" si="7"/>
      </c>
      <c r="J271" s="98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</row>
    <row r="272">
      <c r="A272" s="169"/>
      <c r="B272" s="169"/>
      <c r="C272" s="117">
        <v>692639140423100</v>
      </c>
      <c r="D272" s="138" t="s">
        <v>465</v>
      </c>
      <c r="E272" s="202" t="s">
        <v>466</v>
      </c>
      <c r="F272" s="183">
        <v>5712</v>
      </c>
      <c r="G272" s="136">
        <v>2</v>
      </c>
      <c r="H272" s="129">
        <v>2</v>
      </c>
      <c r="I272" s="90">
        <f t="shared" si="7"/>
      </c>
      <c r="J272" s="98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</row>
    <row r="273">
      <c r="A273" s="169"/>
      <c r="B273" s="169"/>
      <c r="C273" s="117">
        <v>692639140361600</v>
      </c>
      <c r="D273" s="138" t="s">
        <v>431</v>
      </c>
      <c r="E273" s="202" t="s">
        <v>433</v>
      </c>
      <c r="F273" s="183">
        <v>678.3</v>
      </c>
      <c r="G273" s="136">
        <v>5</v>
      </c>
      <c r="H273" s="129">
        <v>5</v>
      </c>
      <c r="I273" s="90">
        <f t="shared" si="7"/>
      </c>
      <c r="J273" s="98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</row>
    <row r="274">
      <c r="A274" s="169"/>
      <c r="B274" s="169"/>
      <c r="C274" s="117">
        <v>692639140450700</v>
      </c>
      <c r="D274" s="138" t="s">
        <v>467</v>
      </c>
      <c r="E274" s="202" t="s">
        <v>468</v>
      </c>
      <c r="F274" s="183">
        <v>1360</v>
      </c>
      <c r="G274" s="136">
        <v>6</v>
      </c>
      <c r="H274" s="129">
        <v>6</v>
      </c>
      <c r="I274" s="90">
        <f t="shared" si="7"/>
      </c>
      <c r="J274" s="98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</row>
    <row r="275">
      <c r="A275" s="169"/>
      <c r="B275" s="169"/>
      <c r="C275" s="117">
        <v>692639140454500</v>
      </c>
      <c r="D275" s="138" t="s">
        <v>299</v>
      </c>
      <c r="E275" s="202" t="s">
        <v>300</v>
      </c>
      <c r="F275" s="183">
        <v>401.2</v>
      </c>
      <c r="G275" s="136">
        <v>10</v>
      </c>
      <c r="H275" s="129">
        <v>10</v>
      </c>
      <c r="I275" s="90">
        <f t="shared" si="7"/>
      </c>
      <c r="J275" s="98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</row>
    <row r="276">
      <c r="A276" s="169"/>
      <c r="B276" s="169"/>
      <c r="C276" s="117">
        <v>692639149683000</v>
      </c>
      <c r="D276" s="138" t="s">
        <v>411</v>
      </c>
      <c r="E276" s="202" t="s">
        <v>412</v>
      </c>
      <c r="F276" s="183">
        <v>272</v>
      </c>
      <c r="G276" s="136">
        <v>24</v>
      </c>
      <c r="H276" s="129">
        <v>24</v>
      </c>
      <c r="I276" s="90">
        <f t="shared" si="7"/>
      </c>
      <c r="J276" s="98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</row>
    <row r="277">
      <c r="A277" s="169"/>
      <c r="B277" s="169">
        <v>45988</v>
      </c>
      <c r="C277" s="117">
        <v>692639140420000</v>
      </c>
      <c r="D277" s="138" t="s">
        <v>381</v>
      </c>
      <c r="E277" s="118" t="s">
        <v>517</v>
      </c>
      <c r="F277" s="203">
        <v>29.92</v>
      </c>
      <c r="G277" s="136">
        <v>800</v>
      </c>
      <c r="H277" s="136">
        <v>800</v>
      </c>
      <c r="I277" s="90">
        <f t="shared" si="7"/>
      </c>
      <c r="J277" s="98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</row>
    <row r="278">
      <c r="A278" s="169"/>
      <c r="B278" s="169"/>
      <c r="C278" s="117">
        <v>692639140413200</v>
      </c>
      <c r="D278" s="138" t="s">
        <v>363</v>
      </c>
      <c r="E278" s="118" t="s">
        <v>364</v>
      </c>
      <c r="F278" s="203">
        <v>135.32</v>
      </c>
      <c r="G278" s="136">
        <v>700</v>
      </c>
      <c r="H278" s="136">
        <v>700</v>
      </c>
      <c r="I278" s="90">
        <f t="shared" si="7"/>
      </c>
      <c r="J278" s="98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</row>
    <row r="279">
      <c r="A279" s="169"/>
      <c r="B279" s="169"/>
      <c r="C279" s="117">
        <v>2510270001</v>
      </c>
      <c r="D279" s="138" t="s">
        <v>522</v>
      </c>
      <c r="E279" s="118" t="s">
        <v>523</v>
      </c>
      <c r="F279" s="203">
        <v>70</v>
      </c>
      <c r="G279" s="136">
        <v>5</v>
      </c>
      <c r="H279" s="136">
        <v>5</v>
      </c>
      <c r="I279" s="90">
        <f t="shared" si="7"/>
      </c>
      <c r="J279" s="98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</row>
    <row r="280">
      <c r="A280" s="169"/>
      <c r="B280" s="169"/>
      <c r="C280" s="117">
        <v>692639140308100</v>
      </c>
      <c r="D280" s="138" t="s">
        <v>329</v>
      </c>
      <c r="E280" s="118" t="s">
        <v>330</v>
      </c>
      <c r="F280" s="203">
        <v>45.9</v>
      </c>
      <c r="G280" s="136">
        <v>194</v>
      </c>
      <c r="H280" s="136">
        <v>194</v>
      </c>
      <c r="I280" s="90">
        <f t="shared" si="7"/>
      </c>
      <c r="J280" s="98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</row>
    <row r="281">
      <c r="A281" s="169"/>
      <c r="B281" s="169"/>
      <c r="C281" s="117">
        <v>692639140336400</v>
      </c>
      <c r="D281" s="138" t="s">
        <v>367</v>
      </c>
      <c r="E281" s="118" t="s">
        <v>527</v>
      </c>
      <c r="F281" s="203">
        <v>153</v>
      </c>
      <c r="G281" s="136">
        <v>10</v>
      </c>
      <c r="H281" s="136">
        <v>10</v>
      </c>
      <c r="I281" s="90">
        <f t="shared" si="7"/>
      </c>
      <c r="J281" s="98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</row>
    <row r="282">
      <c r="A282" s="169"/>
      <c r="B282" s="169"/>
      <c r="C282" s="117">
        <v>692639140358600</v>
      </c>
      <c r="D282" s="138" t="s">
        <v>393</v>
      </c>
      <c r="E282" s="118" t="s">
        <v>394</v>
      </c>
      <c r="F282" s="203">
        <v>424</v>
      </c>
      <c r="G282" s="136">
        <v>3</v>
      </c>
      <c r="H282" s="136">
        <v>3</v>
      </c>
      <c r="I282" s="90">
        <f t="shared" si="7"/>
      </c>
      <c r="J282" s="98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</row>
    <row r="283">
      <c r="A283" s="169"/>
      <c r="B283" s="169"/>
      <c r="C283" s="117">
        <v>692639140409500</v>
      </c>
      <c r="D283" s="138" t="s">
        <v>339</v>
      </c>
      <c r="E283" s="118" t="s">
        <v>340</v>
      </c>
      <c r="F283" s="203">
        <v>598.4</v>
      </c>
      <c r="G283" s="136">
        <v>5</v>
      </c>
      <c r="H283" s="136">
        <v>5</v>
      </c>
      <c r="I283" s="90">
        <f t="shared" si="7"/>
      </c>
      <c r="J283" s="98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</row>
    <row r="284">
      <c r="A284" s="169"/>
      <c r="B284" s="169"/>
      <c r="C284" s="117">
        <v>692639140092900</v>
      </c>
      <c r="D284" s="138" t="s">
        <v>369</v>
      </c>
      <c r="E284" s="118" t="s">
        <v>370</v>
      </c>
      <c r="F284" s="203">
        <v>170</v>
      </c>
      <c r="G284" s="136">
        <v>10</v>
      </c>
      <c r="H284" s="136">
        <v>10</v>
      </c>
      <c r="I284" s="90">
        <f t="shared" si="7"/>
      </c>
      <c r="J284" s="98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</row>
    <row r="285">
      <c r="A285" s="169"/>
      <c r="B285" s="169"/>
      <c r="C285" s="117">
        <v>692639140322700</v>
      </c>
      <c r="D285" s="138" t="s">
        <v>321</v>
      </c>
      <c r="E285" s="118" t="s">
        <v>322</v>
      </c>
      <c r="F285" s="203">
        <v>23.12</v>
      </c>
      <c r="G285" s="136">
        <v>360</v>
      </c>
      <c r="H285" s="136">
        <v>360</v>
      </c>
      <c r="I285" s="90">
        <f t="shared" si="7"/>
      </c>
      <c r="J285" s="98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</row>
    <row r="286">
      <c r="A286" s="169"/>
      <c r="B286" s="169"/>
      <c r="C286" s="117">
        <v>692639140331900</v>
      </c>
      <c r="D286" s="138" t="s">
        <v>355</v>
      </c>
      <c r="E286" s="118" t="s">
        <v>356</v>
      </c>
      <c r="F286" s="203">
        <v>1592</v>
      </c>
      <c r="G286" s="136">
        <v>2</v>
      </c>
      <c r="H286" s="136">
        <v>2</v>
      </c>
      <c r="I286" s="90">
        <f t="shared" si="7"/>
      </c>
      <c r="J286" s="98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</row>
    <row r="287">
      <c r="A287" s="169"/>
      <c r="B287" s="169"/>
      <c r="C287" s="117">
        <v>692639140500900</v>
      </c>
      <c r="D287" s="138" t="s">
        <v>531</v>
      </c>
      <c r="E287" s="202" t="s">
        <v>532</v>
      </c>
      <c r="F287" s="183">
        <v>1251.2</v>
      </c>
      <c r="G287" s="204">
        <v>80</v>
      </c>
      <c r="H287" s="204">
        <v>80</v>
      </c>
      <c r="I287" s="90">
        <f t="shared" si="7"/>
      </c>
      <c r="J287" s="98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</row>
    <row r="288">
      <c r="A288" s="169"/>
      <c r="B288" s="169">
        <v>45994</v>
      </c>
      <c r="C288" s="85">
        <v>6926391403364</v>
      </c>
      <c r="D288" s="83" t="s">
        <v>367</v>
      </c>
      <c r="E288" s="118" t="s">
        <v>527</v>
      </c>
      <c r="F288" s="203">
        <v>153</v>
      </c>
      <c r="G288" s="204">
        <v>50</v>
      </c>
      <c r="H288" s="204">
        <v>50</v>
      </c>
      <c r="I288" s="90">
        <f t="shared" si="7"/>
      </c>
      <c r="J288" s="98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</row>
    <row r="289">
      <c r="A289" s="169" t="s">
        <v>539</v>
      </c>
      <c r="B289" s="169">
        <v>46000</v>
      </c>
      <c r="C289" s="117">
        <v>692639140361600</v>
      </c>
      <c r="D289" s="203" t="s">
        <v>431</v>
      </c>
      <c r="E289" s="205" t="s">
        <v>433</v>
      </c>
      <c r="F289" s="183">
        <v>678.3</v>
      </c>
      <c r="G289" s="136">
        <v>15</v>
      </c>
      <c r="H289" s="136">
        <v>15</v>
      </c>
      <c r="I289" s="90">
        <f t="shared" si="7"/>
      </c>
      <c r="J289" s="98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</row>
    <row r="290">
      <c r="A290" s="169"/>
      <c r="B290" s="169"/>
      <c r="C290" s="117">
        <v>692639140453800</v>
      </c>
      <c r="D290" s="203" t="s">
        <v>317</v>
      </c>
      <c r="E290" s="205" t="s">
        <v>318</v>
      </c>
      <c r="F290" s="183">
        <v>4320</v>
      </c>
      <c r="G290" s="136">
        <v>7</v>
      </c>
      <c r="H290" s="136">
        <v>7</v>
      </c>
      <c r="I290" s="90">
        <f t="shared" si="7"/>
      </c>
      <c r="J290" s="98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</row>
    <row r="291">
      <c r="A291" s="169"/>
      <c r="B291" s="169"/>
      <c r="C291" s="117">
        <v>692639140362300</v>
      </c>
      <c r="D291" s="203" t="s">
        <v>431</v>
      </c>
      <c r="E291" s="205" t="s">
        <v>432</v>
      </c>
      <c r="F291" s="183">
        <v>135.66</v>
      </c>
      <c r="G291" s="136">
        <v>25</v>
      </c>
      <c r="H291" s="136">
        <v>25</v>
      </c>
      <c r="I291" s="90">
        <f t="shared" si="7"/>
      </c>
      <c r="J291" s="98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</row>
    <row r="292">
      <c r="A292" s="169"/>
      <c r="B292" s="169"/>
      <c r="C292" s="117">
        <v>692639140309800</v>
      </c>
      <c r="D292" s="203" t="s">
        <v>331</v>
      </c>
      <c r="E292" s="205" t="s">
        <v>332</v>
      </c>
      <c r="F292" s="183">
        <v>108.8</v>
      </c>
      <c r="G292" s="136">
        <v>192</v>
      </c>
      <c r="H292" s="136">
        <v>192</v>
      </c>
      <c r="I292" s="90">
        <f t="shared" si="7"/>
      </c>
      <c r="J292" s="98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</row>
    <row r="293">
      <c r="A293" s="169"/>
      <c r="B293" s="169"/>
      <c r="C293" s="117">
        <v>692639140454500</v>
      </c>
      <c r="D293" s="203" t="s">
        <v>299</v>
      </c>
      <c r="E293" s="205" t="s">
        <v>300</v>
      </c>
      <c r="F293" s="183">
        <v>401.2</v>
      </c>
      <c r="G293" s="136">
        <v>20</v>
      </c>
      <c r="H293" s="136">
        <v>20</v>
      </c>
      <c r="I293" s="90">
        <f t="shared" si="7"/>
      </c>
      <c r="J293" s="98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</row>
    <row r="294">
      <c r="A294" s="169"/>
      <c r="B294" s="169"/>
      <c r="C294" s="117">
        <v>692639140433000</v>
      </c>
      <c r="D294" s="203" t="s">
        <v>375</v>
      </c>
      <c r="E294" s="205" t="s">
        <v>376</v>
      </c>
      <c r="F294" s="183">
        <v>190.4</v>
      </c>
      <c r="G294" s="136">
        <v>10</v>
      </c>
      <c r="H294" s="136">
        <v>10</v>
      </c>
      <c r="I294" s="90">
        <f t="shared" si="7"/>
      </c>
      <c r="J294" s="98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</row>
    <row r="295">
      <c r="A295" s="169"/>
      <c r="B295" s="169"/>
      <c r="C295" s="117">
        <v>692639140308100</v>
      </c>
      <c r="D295" s="203" t="s">
        <v>329</v>
      </c>
      <c r="E295" s="205" t="s">
        <v>330</v>
      </c>
      <c r="F295" s="183">
        <v>45.9</v>
      </c>
      <c r="G295" s="136">
        <v>23</v>
      </c>
      <c r="H295" s="136">
        <v>23</v>
      </c>
      <c r="I295" s="90">
        <f t="shared" si="7"/>
      </c>
      <c r="J295" s="98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</row>
    <row r="296">
      <c r="A296" s="169"/>
      <c r="B296" s="169"/>
      <c r="C296" s="117">
        <v>692639140331900</v>
      </c>
      <c r="D296" s="203" t="s">
        <v>355</v>
      </c>
      <c r="E296" s="205" t="s">
        <v>356</v>
      </c>
      <c r="F296" s="183">
        <v>1592</v>
      </c>
      <c r="G296" s="136">
        <v>4</v>
      </c>
      <c r="H296" s="136">
        <v>4</v>
      </c>
      <c r="I296" s="90">
        <f t="shared" si="7"/>
      </c>
      <c r="J296" s="98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</row>
    <row r="297">
      <c r="A297" s="169"/>
      <c r="B297" s="169"/>
      <c r="C297" s="117">
        <v>692639140425500</v>
      </c>
      <c r="D297" s="203" t="s">
        <v>333</v>
      </c>
      <c r="E297" s="205" t="s">
        <v>334</v>
      </c>
      <c r="F297" s="183">
        <v>78.2</v>
      </c>
      <c r="G297" s="136">
        <v>300</v>
      </c>
      <c r="H297" s="136">
        <v>300</v>
      </c>
      <c r="I297" s="90">
        <f t="shared" si="7"/>
      </c>
      <c r="J297" s="98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</row>
    <row r="298">
      <c r="A298" s="169"/>
      <c r="B298" s="169"/>
      <c r="C298" s="117">
        <v>692639140406400</v>
      </c>
      <c r="D298" s="203" t="s">
        <v>389</v>
      </c>
      <c r="E298" s="205" t="s">
        <v>390</v>
      </c>
      <c r="F298" s="183">
        <v>40.8</v>
      </c>
      <c r="G298" s="136">
        <v>32</v>
      </c>
      <c r="H298" s="136">
        <v>32</v>
      </c>
      <c r="I298" s="90">
        <f t="shared" si="7"/>
      </c>
      <c r="J298" s="98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</row>
    <row r="299">
      <c r="A299" s="169"/>
      <c r="B299" s="169"/>
      <c r="C299" s="117">
        <v>692639140015800</v>
      </c>
      <c r="D299" s="203" t="s">
        <v>507</v>
      </c>
      <c r="E299" s="205" t="s">
        <v>508</v>
      </c>
      <c r="F299" s="183">
        <v>1105</v>
      </c>
      <c r="G299" s="136">
        <v>2</v>
      </c>
      <c r="H299" s="136">
        <v>2</v>
      </c>
      <c r="I299" s="90">
        <f t="shared" si="7"/>
      </c>
      <c r="J299" s="98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</row>
    <row r="300">
      <c r="A300" s="169"/>
      <c r="B300" s="169"/>
      <c r="C300" s="117">
        <v>692639140417000</v>
      </c>
      <c r="D300" s="203" t="s">
        <v>453</v>
      </c>
      <c r="E300" s="205" t="s">
        <v>454</v>
      </c>
      <c r="F300" s="183">
        <v>1693.2</v>
      </c>
      <c r="G300" s="136">
        <v>1</v>
      </c>
      <c r="H300" s="136">
        <v>1</v>
      </c>
      <c r="I300" s="90">
        <f t="shared" si="7"/>
      </c>
      <c r="J300" s="98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</row>
    <row r="301">
      <c r="A301" s="169"/>
      <c r="B301" s="169"/>
      <c r="C301" s="117">
        <v>692639140452100</v>
      </c>
      <c r="D301" s="203" t="s">
        <v>471</v>
      </c>
      <c r="E301" s="205" t="s">
        <v>472</v>
      </c>
      <c r="F301" s="183">
        <v>119</v>
      </c>
      <c r="G301" s="136">
        <v>6</v>
      </c>
      <c r="H301" s="136">
        <v>6</v>
      </c>
      <c r="I301" s="90">
        <f t="shared" si="7"/>
      </c>
      <c r="J301" s="98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</row>
    <row r="302">
      <c r="A302" s="169"/>
      <c r="B302" s="169"/>
      <c r="C302" s="117">
        <v>692639140349400</v>
      </c>
      <c r="D302" s="203" t="s">
        <v>359</v>
      </c>
      <c r="E302" s="205" t="s">
        <v>360</v>
      </c>
      <c r="F302" s="183">
        <v>440</v>
      </c>
      <c r="G302" s="136">
        <v>4</v>
      </c>
      <c r="H302" s="136">
        <v>4</v>
      </c>
      <c r="I302" s="90">
        <f t="shared" si="7"/>
      </c>
      <c r="J302" s="98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</row>
    <row r="303">
      <c r="A303" s="169"/>
      <c r="B303" s="169"/>
      <c r="C303" s="117">
        <v>692639140322700</v>
      </c>
      <c r="D303" s="203" t="s">
        <v>321</v>
      </c>
      <c r="E303" s="205" t="s">
        <v>322</v>
      </c>
      <c r="F303" s="183">
        <v>23.12</v>
      </c>
      <c r="G303" s="136">
        <v>288</v>
      </c>
      <c r="H303" s="136">
        <v>288</v>
      </c>
      <c r="I303" s="90">
        <f t="shared" si="7"/>
      </c>
      <c r="J303" s="98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</row>
    <row r="304">
      <c r="A304" s="169"/>
      <c r="B304" s="169"/>
      <c r="C304" s="117">
        <v>692639140458300</v>
      </c>
      <c r="D304" s="203" t="s">
        <v>303</v>
      </c>
      <c r="E304" s="205" t="s">
        <v>304</v>
      </c>
      <c r="F304" s="183">
        <v>238</v>
      </c>
      <c r="G304" s="136">
        <v>5</v>
      </c>
      <c r="H304" s="136">
        <v>5</v>
      </c>
      <c r="I304" s="90">
        <f t="shared" si="7"/>
      </c>
      <c r="J304" s="98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</row>
    <row r="305">
      <c r="A305" s="169"/>
      <c r="B305" s="169"/>
      <c r="C305" s="117">
        <v>692639140409500</v>
      </c>
      <c r="D305" s="203" t="s">
        <v>339</v>
      </c>
      <c r="E305" s="205" t="s">
        <v>340</v>
      </c>
      <c r="F305" s="183">
        <v>598.4</v>
      </c>
      <c r="G305" s="136">
        <v>5</v>
      </c>
      <c r="H305" s="136">
        <v>5</v>
      </c>
      <c r="I305" s="90">
        <f t="shared" si="7"/>
      </c>
      <c r="J305" s="98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</row>
    <row r="306">
      <c r="A306" s="169"/>
      <c r="B306" s="169"/>
      <c r="C306" s="117">
        <v>692639140451400</v>
      </c>
      <c r="D306" s="203" t="s">
        <v>469</v>
      </c>
      <c r="E306" s="205" t="s">
        <v>470</v>
      </c>
      <c r="F306" s="183">
        <v>204</v>
      </c>
      <c r="G306" s="136">
        <v>12</v>
      </c>
      <c r="H306" s="136">
        <v>12</v>
      </c>
      <c r="I306" s="90">
        <f t="shared" si="7"/>
      </c>
      <c r="J306" s="98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</row>
    <row r="307">
      <c r="A307" s="169"/>
      <c r="B307" s="169"/>
      <c r="C307" s="117">
        <v>692639140456900</v>
      </c>
      <c r="D307" s="203" t="s">
        <v>301</v>
      </c>
      <c r="E307" s="205" t="s">
        <v>302</v>
      </c>
      <c r="F307" s="183">
        <v>176.12</v>
      </c>
      <c r="G307" s="136">
        <v>10</v>
      </c>
      <c r="H307" s="136">
        <v>10</v>
      </c>
      <c r="I307" s="90">
        <f t="shared" si="7"/>
      </c>
      <c r="J307" s="98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</row>
    <row customHeight="true" ht="24" r="308">
      <c r="A308" s="169"/>
      <c r="B308" s="169"/>
      <c r="C308" s="106">
        <v>2508050002</v>
      </c>
      <c r="D308" s="206" t="s">
        <v>540</v>
      </c>
      <c r="E308" s="148" t="s">
        <v>541</v>
      </c>
      <c r="F308" s="207">
        <v>0</v>
      </c>
      <c r="G308" s="151">
        <v>2</v>
      </c>
      <c r="H308" s="151">
        <v>2</v>
      </c>
      <c r="I308" s="207">
        <f t="shared" si="7"/>
      </c>
      <c r="J308" s="98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</row>
    <row customHeight="true" ht="24" r="309">
      <c r="A309" s="169"/>
      <c r="B309" s="169"/>
      <c r="C309" s="106">
        <v>2508050003</v>
      </c>
      <c r="D309" s="206" t="s">
        <v>540</v>
      </c>
      <c r="E309" s="148" t="s">
        <v>512</v>
      </c>
      <c r="F309" s="207">
        <v>0</v>
      </c>
      <c r="G309" s="151">
        <v>1</v>
      </c>
      <c r="H309" s="151">
        <v>1</v>
      </c>
      <c r="I309" s="207">
        <f t="shared" si="7"/>
      </c>
      <c r="J309" s="98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</row>
    <row r="310">
      <c r="A310" s="208" t="s">
        <v>542</v>
      </c>
      <c r="B310" s="169">
        <v>46001</v>
      </c>
      <c r="C310" s="117">
        <v>692639141113000</v>
      </c>
      <c r="D310" s="138" t="s">
        <v>543</v>
      </c>
      <c r="E310" s="118" t="s">
        <v>544</v>
      </c>
      <c r="F310" s="203">
        <v>392</v>
      </c>
      <c r="G310" s="136">
        <v>5</v>
      </c>
      <c r="H310" s="136">
        <v>5</v>
      </c>
      <c r="I310" s="90">
        <f t="shared" si="7"/>
      </c>
      <c r="J310" s="98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</row>
    <row r="311">
      <c r="A311" s="208"/>
      <c r="B311" s="169"/>
      <c r="C311" s="117">
        <v>692639141111600</v>
      </c>
      <c r="D311" s="138" t="s">
        <v>545</v>
      </c>
      <c r="E311" s="118" t="s">
        <v>546</v>
      </c>
      <c r="F311" s="203">
        <v>272</v>
      </c>
      <c r="G311" s="136">
        <v>5</v>
      </c>
      <c r="H311" s="136">
        <v>5</v>
      </c>
      <c r="I311" s="90">
        <f t="shared" si="7"/>
      </c>
      <c r="J311" s="98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</row>
    <row r="312">
      <c r="A312" s="208"/>
      <c r="B312" s="169"/>
      <c r="C312" s="117">
        <v>692639141109300</v>
      </c>
      <c r="D312" s="138" t="s">
        <v>547</v>
      </c>
      <c r="E312" s="118" t="s">
        <v>548</v>
      </c>
      <c r="F312" s="203">
        <v>152</v>
      </c>
      <c r="G312" s="136">
        <v>10</v>
      </c>
      <c r="H312" s="136">
        <v>10</v>
      </c>
      <c r="I312" s="90">
        <f t="shared" si="7"/>
      </c>
      <c r="J312" s="98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</row>
    <row r="313">
      <c r="A313" s="208"/>
      <c r="B313" s="169"/>
      <c r="C313" s="117">
        <v>692639140336400</v>
      </c>
      <c r="D313" s="190" t="s">
        <v>367</v>
      </c>
      <c r="E313" s="191" t="s">
        <v>527</v>
      </c>
      <c r="F313" s="203">
        <v>153</v>
      </c>
      <c r="G313" s="136">
        <v>50</v>
      </c>
      <c r="H313" s="136">
        <v>50</v>
      </c>
      <c r="I313" s="90">
        <f t="shared" si="7"/>
      </c>
      <c r="J313" s="98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</row>
    <row r="314">
      <c r="A314" s="209" t="s">
        <v>549</v>
      </c>
      <c r="B314" s="210">
        <v>46003</v>
      </c>
      <c r="C314" s="211">
        <v>6941541017772</v>
      </c>
      <c r="D314" s="209" t="s">
        <v>540</v>
      </c>
      <c r="E314" s="212" t="s">
        <v>550</v>
      </c>
      <c r="F314" s="213">
        <v>5</v>
      </c>
      <c r="G314" s="136">
        <v>600</v>
      </c>
      <c r="H314" s="136">
        <v>600</v>
      </c>
      <c r="I314" s="90">
        <f t="shared" si="7"/>
      </c>
      <c r="J314" s="98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</row>
    <row r="315">
      <c r="A315" s="209" t="s">
        <v>551</v>
      </c>
      <c r="B315" s="210">
        <v>46006</v>
      </c>
      <c r="C315" s="211">
        <v>2509280001</v>
      </c>
      <c r="D315" s="209" t="s">
        <v>540</v>
      </c>
      <c r="E315" s="214" t="s">
        <v>510</v>
      </c>
      <c r="F315" s="213">
        <v>16</v>
      </c>
      <c r="G315" s="204">
        <v>500</v>
      </c>
      <c r="H315" s="204">
        <v>500</v>
      </c>
      <c r="I315" s="90">
        <f t="shared" si="7"/>
      </c>
      <c r="J315" s="98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</row>
    <row r="316">
      <c r="A316" s="215" t="s">
        <v>552</v>
      </c>
      <c r="B316" s="169">
        <v>46006</v>
      </c>
      <c r="C316" s="117">
        <v>692639149974900</v>
      </c>
      <c r="D316" s="200" t="s">
        <v>438</v>
      </c>
      <c r="E316" s="201" t="s">
        <v>439</v>
      </c>
      <c r="F316" s="203">
        <v>435.21</v>
      </c>
      <c r="G316" s="136">
        <v>4</v>
      </c>
      <c r="H316" s="136">
        <v>4</v>
      </c>
      <c r="I316" s="90">
        <f t="shared" si="7"/>
      </c>
      <c r="J316" s="98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</row>
    <row r="317">
      <c r="A317" s="169"/>
      <c r="B317" s="169"/>
      <c r="C317" s="117">
        <v>692639140433000</v>
      </c>
      <c r="D317" s="138" t="s">
        <v>375</v>
      </c>
      <c r="E317" s="118" t="s">
        <v>376</v>
      </c>
      <c r="F317" s="203">
        <v>190.4</v>
      </c>
      <c r="G317" s="136">
        <v>30</v>
      </c>
      <c r="H317" s="136">
        <v>30</v>
      </c>
      <c r="I317" s="90">
        <f t="shared" si="7"/>
      </c>
      <c r="J317" s="98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</row>
    <row r="318">
      <c r="A318" s="169"/>
      <c r="B318" s="169"/>
      <c r="C318" s="117">
        <v>692639140336400</v>
      </c>
      <c r="D318" s="138" t="s">
        <v>367</v>
      </c>
      <c r="E318" s="118" t="s">
        <v>527</v>
      </c>
      <c r="F318" s="203">
        <v>153</v>
      </c>
      <c r="G318" s="136">
        <v>120</v>
      </c>
      <c r="H318" s="136">
        <v>120</v>
      </c>
      <c r="I318" s="90">
        <f t="shared" si="7"/>
      </c>
      <c r="J318" s="98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</row>
    <row r="319">
      <c r="A319" s="169"/>
      <c r="B319" s="169"/>
      <c r="C319" s="117">
        <v>692639140362300</v>
      </c>
      <c r="D319" s="138" t="s">
        <v>431</v>
      </c>
      <c r="E319" s="118" t="s">
        <v>432</v>
      </c>
      <c r="F319" s="203">
        <v>135.66</v>
      </c>
      <c r="G319" s="136">
        <v>40</v>
      </c>
      <c r="H319" s="136">
        <v>40</v>
      </c>
      <c r="I319" s="90">
        <f t="shared" si="7"/>
      </c>
      <c r="J319" s="98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</row>
    <row r="320">
      <c r="A320" s="169"/>
      <c r="B320" s="169"/>
      <c r="C320" s="117">
        <v>692639140205300</v>
      </c>
      <c r="D320" s="138" t="s">
        <v>457</v>
      </c>
      <c r="E320" s="118" t="s">
        <v>553</v>
      </c>
      <c r="F320" s="203">
        <v>2033.2</v>
      </c>
      <c r="G320" s="136">
        <v>1</v>
      </c>
      <c r="H320" s="136">
        <v>1</v>
      </c>
      <c r="I320" s="90">
        <f t="shared" si="7"/>
      </c>
      <c r="J320" s="98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</row>
    <row r="321">
      <c r="A321" s="169"/>
      <c r="B321" s="169"/>
      <c r="C321" s="117">
        <v>692639149918300</v>
      </c>
      <c r="D321" s="138" t="s">
        <v>436</v>
      </c>
      <c r="E321" s="118" t="s">
        <v>437</v>
      </c>
      <c r="F321" s="203">
        <v>469.2</v>
      </c>
      <c r="G321" s="136">
        <v>2</v>
      </c>
      <c r="H321" s="136">
        <v>2</v>
      </c>
      <c r="I321" s="90">
        <f t="shared" si="7"/>
      </c>
      <c r="J321" s="98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</row>
    <row r="322">
      <c r="A322" s="169"/>
      <c r="B322" s="169"/>
      <c r="C322" s="117">
        <v>692639140080600</v>
      </c>
      <c r="D322" s="138" t="s">
        <v>429</v>
      </c>
      <c r="E322" s="118" t="s">
        <v>430</v>
      </c>
      <c r="F322" s="203">
        <v>119</v>
      </c>
      <c r="G322" s="136">
        <v>2</v>
      </c>
      <c r="H322" s="136">
        <v>2</v>
      </c>
      <c r="I322" s="90">
        <f t="shared" si="7"/>
      </c>
      <c r="J322" s="98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</row>
    <row r="323">
      <c r="A323" s="169"/>
      <c r="B323" s="169"/>
      <c r="C323" s="117">
        <v>692639140252700</v>
      </c>
      <c r="D323" s="138" t="s">
        <v>421</v>
      </c>
      <c r="E323" s="118" t="s">
        <v>554</v>
      </c>
      <c r="F323" s="203">
        <v>4590</v>
      </c>
      <c r="G323" s="136">
        <v>1</v>
      </c>
      <c r="H323" s="136">
        <v>1</v>
      </c>
      <c r="I323" s="90">
        <f t="shared" si="7"/>
      </c>
      <c r="J323" s="98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</row>
    <row r="324">
      <c r="A324" s="169"/>
      <c r="B324" s="169"/>
      <c r="C324" s="117">
        <v>692639140309800</v>
      </c>
      <c r="D324" s="138" t="s">
        <v>331</v>
      </c>
      <c r="E324" s="118" t="s">
        <v>332</v>
      </c>
      <c r="F324" s="203">
        <v>108.8</v>
      </c>
      <c r="G324" s="136">
        <v>216</v>
      </c>
      <c r="H324" s="136">
        <v>216</v>
      </c>
      <c r="I324" s="110">
        <v>23500.8</v>
      </c>
      <c r="J324" s="98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</row>
    <row r="325">
      <c r="A325" s="169"/>
      <c r="B325" s="169"/>
      <c r="C325" s="117">
        <v>692639140454500</v>
      </c>
      <c r="D325" s="138" t="s">
        <v>299</v>
      </c>
      <c r="E325" s="118" t="s">
        <v>300</v>
      </c>
      <c r="F325" s="203">
        <v>401.2</v>
      </c>
      <c r="G325" s="136">
        <v>20</v>
      </c>
      <c r="H325" s="136">
        <v>20</v>
      </c>
      <c r="I325" s="90">
        <f t="shared" ref="I325:I355" si="8">G325*F325</f>
      </c>
      <c r="J325" s="98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</row>
    <row r="326">
      <c r="A326" s="169"/>
      <c r="B326" s="169"/>
      <c r="C326" s="117">
        <v>692639140456900</v>
      </c>
      <c r="D326" s="138" t="s">
        <v>301</v>
      </c>
      <c r="E326" s="118" t="s">
        <v>302</v>
      </c>
      <c r="F326" s="203">
        <v>176.12</v>
      </c>
      <c r="G326" s="136">
        <v>10</v>
      </c>
      <c r="H326" s="136">
        <v>10</v>
      </c>
      <c r="I326" s="90">
        <f t="shared" si="8"/>
      </c>
      <c r="J326" s="98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</row>
    <row r="327">
      <c r="A327" s="169"/>
      <c r="B327" s="169"/>
      <c r="C327" s="117">
        <v>692639140234300</v>
      </c>
      <c r="D327" s="138" t="s">
        <v>371</v>
      </c>
      <c r="E327" s="118" t="s">
        <v>555</v>
      </c>
      <c r="F327" s="203">
        <v>135.32</v>
      </c>
      <c r="G327" s="136">
        <v>3</v>
      </c>
      <c r="H327" s="136">
        <v>3</v>
      </c>
      <c r="I327" s="90">
        <f t="shared" si="8"/>
      </c>
      <c r="J327" s="98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</row>
    <row r="328">
      <c r="A328" s="169" t="s">
        <v>556</v>
      </c>
      <c r="B328" s="169">
        <v>46009</v>
      </c>
      <c r="C328" s="117">
        <v>697884024025900</v>
      </c>
      <c r="D328" s="138" t="s">
        <v>497</v>
      </c>
      <c r="E328" s="118" t="s">
        <v>498</v>
      </c>
      <c r="F328" s="203">
        <v>2.6</v>
      </c>
      <c r="G328" s="136">
        <v>50000</v>
      </c>
      <c r="H328" s="136">
        <v>50000</v>
      </c>
      <c r="I328" s="90">
        <f t="shared" si="8"/>
      </c>
      <c r="J328" s="98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</row>
    <row r="329">
      <c r="A329" s="169" t="s">
        <v>557</v>
      </c>
      <c r="B329" s="169">
        <v>46009</v>
      </c>
      <c r="C329" s="117">
        <v>692639140205300</v>
      </c>
      <c r="D329" s="138" t="s">
        <v>457</v>
      </c>
      <c r="E329" s="202" t="s">
        <v>553</v>
      </c>
      <c r="F329" s="183">
        <v>2033.2</v>
      </c>
      <c r="G329" s="136">
        <v>5</v>
      </c>
      <c r="H329" s="136">
        <v>5</v>
      </c>
      <c r="I329" s="90">
        <f t="shared" si="8"/>
      </c>
      <c r="J329" s="98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</row>
    <row r="330">
      <c r="A330" s="169"/>
      <c r="B330" s="169"/>
      <c r="C330" s="117">
        <v>692639140458300</v>
      </c>
      <c r="D330" s="138" t="s">
        <v>303</v>
      </c>
      <c r="E330" s="202" t="s">
        <v>304</v>
      </c>
      <c r="F330" s="183">
        <v>238</v>
      </c>
      <c r="G330" s="136">
        <v>30</v>
      </c>
      <c r="H330" s="136">
        <v>30</v>
      </c>
      <c r="I330" s="90">
        <f t="shared" si="8"/>
      </c>
      <c r="J330" s="98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</row>
    <row r="331">
      <c r="A331" s="169"/>
      <c r="B331" s="169"/>
      <c r="C331" s="117">
        <v>692639140080600</v>
      </c>
      <c r="D331" s="138" t="s">
        <v>429</v>
      </c>
      <c r="E331" s="202" t="s">
        <v>430</v>
      </c>
      <c r="F331" s="183">
        <v>119</v>
      </c>
      <c r="G331" s="136">
        <v>3</v>
      </c>
      <c r="H331" s="136">
        <v>3</v>
      </c>
      <c r="I331" s="90">
        <f t="shared" si="8"/>
      </c>
      <c r="J331" s="98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</row>
    <row r="332">
      <c r="A332" s="169"/>
      <c r="B332" s="169"/>
      <c r="C332" s="117">
        <v>692639140456900</v>
      </c>
      <c r="D332" s="138" t="s">
        <v>301</v>
      </c>
      <c r="E332" s="202" t="s">
        <v>302</v>
      </c>
      <c r="F332" s="183">
        <v>176.12</v>
      </c>
      <c r="G332" s="136">
        <v>10</v>
      </c>
      <c r="H332" s="136">
        <v>10</v>
      </c>
      <c r="I332" s="90">
        <f t="shared" si="8"/>
      </c>
      <c r="J332" s="98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</row>
    <row r="333">
      <c r="A333" s="169"/>
      <c r="B333" s="169"/>
      <c r="C333" s="117">
        <v>692639140254100</v>
      </c>
      <c r="D333" s="138" t="s">
        <v>403</v>
      </c>
      <c r="E333" s="202" t="s">
        <v>404</v>
      </c>
      <c r="F333" s="183">
        <v>408</v>
      </c>
      <c r="G333" s="136">
        <v>12</v>
      </c>
      <c r="H333" s="136">
        <v>12</v>
      </c>
      <c r="I333" s="90">
        <f t="shared" si="8"/>
      </c>
      <c r="J333" s="98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</row>
    <row r="334">
      <c r="A334" s="169"/>
      <c r="B334" s="169"/>
      <c r="C334" s="117">
        <v>692639140362300</v>
      </c>
      <c r="D334" s="138" t="s">
        <v>431</v>
      </c>
      <c r="E334" s="202" t="s">
        <v>432</v>
      </c>
      <c r="F334" s="183">
        <v>135.66</v>
      </c>
      <c r="G334" s="136">
        <v>10</v>
      </c>
      <c r="H334" s="136">
        <v>10</v>
      </c>
      <c r="I334" s="90">
        <f t="shared" si="8"/>
      </c>
      <c r="J334" s="98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</row>
    <row r="335">
      <c r="A335" s="169"/>
      <c r="B335" s="169"/>
      <c r="C335" s="117">
        <v>692639140322700</v>
      </c>
      <c r="D335" s="138" t="s">
        <v>321</v>
      </c>
      <c r="E335" s="202" t="s">
        <v>322</v>
      </c>
      <c r="F335" s="183">
        <v>23.12</v>
      </c>
      <c r="G335" s="136">
        <v>180</v>
      </c>
      <c r="H335" s="136">
        <v>180</v>
      </c>
      <c r="I335" s="90">
        <f t="shared" si="8"/>
      </c>
      <c r="J335" s="98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</row>
    <row r="336">
      <c r="A336" s="169"/>
      <c r="B336" s="169"/>
      <c r="C336" s="117">
        <v>692639140426200</v>
      </c>
      <c r="D336" s="138" t="s">
        <v>335</v>
      </c>
      <c r="E336" s="202" t="s">
        <v>336</v>
      </c>
      <c r="F336" s="183">
        <v>155.72</v>
      </c>
      <c r="G336" s="136">
        <v>12</v>
      </c>
      <c r="H336" s="136">
        <v>12</v>
      </c>
      <c r="I336" s="90">
        <f t="shared" si="8"/>
      </c>
      <c r="J336" s="98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</row>
    <row r="337">
      <c r="A337" s="169"/>
      <c r="B337" s="169"/>
      <c r="C337" s="117">
        <v>692639140433000</v>
      </c>
      <c r="D337" s="138" t="s">
        <v>375</v>
      </c>
      <c r="E337" s="202" t="s">
        <v>376</v>
      </c>
      <c r="F337" s="183">
        <v>190.4</v>
      </c>
      <c r="G337" s="136">
        <v>4</v>
      </c>
      <c r="H337" s="136">
        <v>4</v>
      </c>
      <c r="I337" s="90">
        <f t="shared" si="8"/>
      </c>
      <c r="J337" s="98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</row>
    <row r="338">
      <c r="A338" s="169"/>
      <c r="B338" s="169"/>
      <c r="C338" s="117">
        <v>692639140349400</v>
      </c>
      <c r="D338" s="138" t="s">
        <v>359</v>
      </c>
      <c r="E338" s="202" t="s">
        <v>360</v>
      </c>
      <c r="F338" s="183">
        <v>440</v>
      </c>
      <c r="G338" s="136">
        <v>1</v>
      </c>
      <c r="H338" s="136">
        <v>1</v>
      </c>
      <c r="I338" s="90">
        <f t="shared" si="8"/>
      </c>
      <c r="J338" s="98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</row>
    <row r="339">
      <c r="A339" s="169"/>
      <c r="B339" s="169"/>
      <c r="C339" s="117">
        <v>692639140406400</v>
      </c>
      <c r="D339" s="138" t="s">
        <v>389</v>
      </c>
      <c r="E339" s="202" t="s">
        <v>390</v>
      </c>
      <c r="F339" s="183">
        <v>40.8</v>
      </c>
      <c r="G339" s="136">
        <v>7</v>
      </c>
      <c r="H339" s="136">
        <v>7</v>
      </c>
      <c r="I339" s="90">
        <f t="shared" si="8"/>
      </c>
      <c r="J339" s="98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</row>
    <row r="340">
      <c r="A340" s="169"/>
      <c r="B340" s="169"/>
      <c r="C340" s="117">
        <v>692639140336400</v>
      </c>
      <c r="D340" s="138" t="s">
        <v>367</v>
      </c>
      <c r="E340" s="202" t="s">
        <v>527</v>
      </c>
      <c r="F340" s="183">
        <v>153</v>
      </c>
      <c r="G340" s="136">
        <v>10</v>
      </c>
      <c r="H340" s="136">
        <v>10</v>
      </c>
      <c r="I340" s="90">
        <f t="shared" si="8"/>
      </c>
      <c r="J340" s="98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</row>
    <row r="341">
      <c r="A341" s="169"/>
      <c r="B341" s="169"/>
      <c r="C341" s="117">
        <v>692639140361600</v>
      </c>
      <c r="D341" s="138" t="s">
        <v>431</v>
      </c>
      <c r="E341" s="202" t="s">
        <v>433</v>
      </c>
      <c r="F341" s="183">
        <v>678.3</v>
      </c>
      <c r="G341" s="136">
        <v>2</v>
      </c>
      <c r="H341" s="136">
        <v>2</v>
      </c>
      <c r="I341" s="90">
        <f t="shared" si="8"/>
      </c>
      <c r="J341" s="98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</row>
    <row r="342">
      <c r="A342" s="169"/>
      <c r="B342" s="169"/>
      <c r="C342" s="117">
        <v>692639140309800</v>
      </c>
      <c r="D342" s="138" t="s">
        <v>331</v>
      </c>
      <c r="E342" s="202" t="s">
        <v>332</v>
      </c>
      <c r="F342" s="183">
        <v>108.8</v>
      </c>
      <c r="G342" s="136">
        <v>24</v>
      </c>
      <c r="H342" s="136">
        <v>24</v>
      </c>
      <c r="I342" s="90">
        <f t="shared" si="8"/>
      </c>
      <c r="J342" s="98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</row>
    <row customHeight="true" ht="24" r="343">
      <c r="A343" s="169"/>
      <c r="B343" s="169"/>
      <c r="C343" s="106">
        <v>2508050004</v>
      </c>
      <c r="D343" s="206" t="s">
        <v>540</v>
      </c>
      <c r="E343" s="148" t="s">
        <v>558</v>
      </c>
      <c r="F343" s="207">
        <v>0</v>
      </c>
      <c r="G343" s="151">
        <v>3</v>
      </c>
      <c r="H343" s="151">
        <v>3</v>
      </c>
      <c r="I343" s="207">
        <f t="shared" si="8"/>
      </c>
      <c r="J343" s="98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</row>
    <row customHeight="true" ht="24" r="344">
      <c r="A344" s="169"/>
      <c r="B344" s="169"/>
      <c r="C344" s="106">
        <v>2508050003</v>
      </c>
      <c r="D344" s="206" t="s">
        <v>540</v>
      </c>
      <c r="E344" s="148" t="s">
        <v>512</v>
      </c>
      <c r="F344" s="207">
        <v>0</v>
      </c>
      <c r="G344" s="151">
        <v>1</v>
      </c>
      <c r="H344" s="151">
        <v>1</v>
      </c>
      <c r="I344" s="207">
        <f t="shared" si="8"/>
      </c>
      <c r="J344" s="98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</row>
    <row r="345">
      <c r="A345" s="169" t="s">
        <v>559</v>
      </c>
      <c r="B345" s="169">
        <v>46013</v>
      </c>
      <c r="C345" s="117">
        <v>697884024025900</v>
      </c>
      <c r="D345" s="138" t="s">
        <v>497</v>
      </c>
      <c r="E345" s="118" t="s">
        <v>498</v>
      </c>
      <c r="F345" s="203">
        <v>2.6</v>
      </c>
      <c r="G345" s="140">
        <v>10000</v>
      </c>
      <c r="H345" s="140">
        <v>10000</v>
      </c>
      <c r="I345" s="90">
        <f t="shared" si="8"/>
      </c>
      <c r="J345" s="98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</row>
    <row r="346">
      <c r="A346" s="169" t="s">
        <v>560</v>
      </c>
      <c r="B346" s="169">
        <v>46013</v>
      </c>
      <c r="C346" s="117">
        <v>697884024034100</v>
      </c>
      <c r="D346" s="138" t="s">
        <v>561</v>
      </c>
      <c r="E346" s="118" t="s">
        <v>562</v>
      </c>
      <c r="F346" s="203">
        <v>1020</v>
      </c>
      <c r="G346" s="136">
        <v>2</v>
      </c>
      <c r="H346" s="136">
        <v>2</v>
      </c>
      <c r="I346" s="90">
        <f t="shared" si="8"/>
      </c>
      <c r="J346" s="98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</row>
    <row r="347">
      <c r="A347" s="169"/>
      <c r="B347" s="169"/>
      <c r="C347" s="117">
        <v>2509280001</v>
      </c>
      <c r="D347" s="138" t="s">
        <v>563</v>
      </c>
      <c r="E347" s="118" t="s">
        <v>510</v>
      </c>
      <c r="F347" s="203">
        <v>16</v>
      </c>
      <c r="G347" s="136">
        <v>1470</v>
      </c>
      <c r="H347" s="136">
        <v>1470</v>
      </c>
      <c r="I347" s="90">
        <f t="shared" si="8"/>
      </c>
      <c r="J347" s="98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</row>
    <row r="348">
      <c r="A348" s="169"/>
      <c r="B348" s="169"/>
      <c r="C348" s="117">
        <v>692639140234300</v>
      </c>
      <c r="D348" s="138" t="s">
        <v>371</v>
      </c>
      <c r="E348" s="118" t="s">
        <v>555</v>
      </c>
      <c r="F348" s="203">
        <v>135.32</v>
      </c>
      <c r="G348" s="136">
        <v>5</v>
      </c>
      <c r="H348" s="136">
        <v>5</v>
      </c>
      <c r="I348" s="90">
        <f t="shared" si="8"/>
      </c>
      <c r="J348" s="98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</row>
    <row r="349">
      <c r="A349" s="169"/>
      <c r="B349" s="169"/>
      <c r="C349" s="117">
        <v>692639140288600</v>
      </c>
      <c r="D349" s="138" t="s">
        <v>397</v>
      </c>
      <c r="E349" s="118" t="s">
        <v>398</v>
      </c>
      <c r="F349" s="203">
        <v>95.2</v>
      </c>
      <c r="G349" s="136">
        <v>5</v>
      </c>
      <c r="H349" s="136">
        <v>5</v>
      </c>
      <c r="I349" s="90">
        <f t="shared" si="8"/>
      </c>
      <c r="J349" s="98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</row>
    <row r="350">
      <c r="A350" s="169"/>
      <c r="B350" s="169"/>
      <c r="C350" s="117">
        <v>692639140454500</v>
      </c>
      <c r="D350" s="138" t="s">
        <v>299</v>
      </c>
      <c r="E350" s="118" t="s">
        <v>300</v>
      </c>
      <c r="F350" s="203">
        <v>401.2</v>
      </c>
      <c r="G350" s="136">
        <v>15</v>
      </c>
      <c r="H350" s="136">
        <v>15</v>
      </c>
      <c r="I350" s="90">
        <f t="shared" si="8"/>
      </c>
      <c r="J350" s="98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</row>
    <row r="351">
      <c r="A351" s="169"/>
      <c r="B351" s="169"/>
      <c r="C351" s="117">
        <v>692639140436100</v>
      </c>
      <c r="D351" s="138" t="s">
        <v>295</v>
      </c>
      <c r="E351" s="118" t="s">
        <v>518</v>
      </c>
      <c r="F351" s="203">
        <v>221.01</v>
      </c>
      <c r="G351" s="136">
        <v>20</v>
      </c>
      <c r="H351" s="136">
        <v>20</v>
      </c>
      <c r="I351" s="90">
        <f t="shared" si="8"/>
      </c>
      <c r="J351" s="98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</row>
    <row r="352">
      <c r="A352" s="169"/>
      <c r="B352" s="169"/>
      <c r="C352" s="117">
        <v>692639140417000</v>
      </c>
      <c r="D352" s="138" t="s">
        <v>453</v>
      </c>
      <c r="E352" s="118" t="s">
        <v>454</v>
      </c>
      <c r="F352" s="203">
        <v>1693.2</v>
      </c>
      <c r="G352" s="136">
        <v>1</v>
      </c>
      <c r="H352" s="136">
        <v>1</v>
      </c>
      <c r="I352" s="90">
        <f t="shared" si="8"/>
      </c>
      <c r="J352" s="98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</row>
    <row r="353">
      <c r="A353" s="169"/>
      <c r="B353" s="169"/>
      <c r="C353" s="117">
        <v>692639149683000</v>
      </c>
      <c r="D353" s="138" t="s">
        <v>411</v>
      </c>
      <c r="E353" s="118" t="s">
        <v>412</v>
      </c>
      <c r="F353" s="203">
        <v>272</v>
      </c>
      <c r="G353" s="136">
        <v>6</v>
      </c>
      <c r="H353" s="136">
        <v>6</v>
      </c>
      <c r="I353" s="90">
        <f t="shared" si="8"/>
      </c>
      <c r="J353" s="98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</row>
    <row r="354">
      <c r="A354" s="169"/>
      <c r="B354" s="169"/>
      <c r="C354" s="117">
        <v>692639140088200</v>
      </c>
      <c r="D354" s="138" t="s">
        <v>519</v>
      </c>
      <c r="E354" s="118" t="s">
        <v>520</v>
      </c>
      <c r="F354" s="203">
        <v>204</v>
      </c>
      <c r="G354" s="136">
        <v>3</v>
      </c>
      <c r="H354" s="136">
        <v>3</v>
      </c>
      <c r="I354" s="90">
        <f t="shared" si="8"/>
      </c>
      <c r="J354" s="98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</row>
    <row r="355">
      <c r="A355" s="169"/>
      <c r="B355" s="169"/>
      <c r="C355" s="117">
        <v>692639140409500</v>
      </c>
      <c r="D355" s="138" t="s">
        <v>339</v>
      </c>
      <c r="E355" s="118" t="s">
        <v>340</v>
      </c>
      <c r="F355" s="203">
        <v>598.4</v>
      </c>
      <c r="G355" s="136">
        <v>1</v>
      </c>
      <c r="H355" s="136">
        <v>1</v>
      </c>
      <c r="I355" s="90">
        <f t="shared" si="8"/>
      </c>
      <c r="J355" s="98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</row>
    <row r="356">
      <c r="A356" s="169"/>
      <c r="B356" s="169"/>
      <c r="C356" s="106">
        <v>2508050002</v>
      </c>
      <c r="D356" s="206" t="s">
        <v>540</v>
      </c>
      <c r="E356" s="148" t="s">
        <v>541</v>
      </c>
      <c r="F356" s="207">
        <v>0</v>
      </c>
      <c r="G356" s="151">
        <v>1</v>
      </c>
      <c r="H356" s="151">
        <v>1</v>
      </c>
      <c r="I356" s="216">
        <v>0</v>
      </c>
      <c r="J356" s="98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</row>
    <row r="357">
      <c r="A357" s="169"/>
      <c r="B357" s="217"/>
      <c r="C357" s="218">
        <v>2508050001</v>
      </c>
      <c r="D357" s="219" t="s">
        <v>540</v>
      </c>
      <c r="E357" s="220" t="s">
        <v>564</v>
      </c>
      <c r="F357" s="221">
        <v>0</v>
      </c>
      <c r="G357" s="222">
        <v>2</v>
      </c>
      <c r="H357" s="222">
        <v>2</v>
      </c>
      <c r="I357" s="223">
        <v>0</v>
      </c>
      <c r="J357" s="98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</row>
    <row r="358">
      <c r="A358" s="169" t="s">
        <v>565</v>
      </c>
      <c r="B358" s="169">
        <v>46016</v>
      </c>
      <c r="C358" s="192">
        <v>692639140322700</v>
      </c>
      <c r="D358" s="193" t="s">
        <v>321</v>
      </c>
      <c r="E358" s="194" t="s">
        <v>322</v>
      </c>
      <c r="F358" s="224">
        <v>23.12</v>
      </c>
      <c r="G358" s="225">
        <v>1980</v>
      </c>
      <c r="H358" s="225">
        <v>1980</v>
      </c>
      <c r="I358" s="226">
        <f t="shared" ref="I358:I359" si="0">F358*G358</f>
      </c>
      <c r="J358" s="98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</row>
    <row r="359">
      <c r="A359" s="169"/>
      <c r="B359" s="169"/>
      <c r="C359" s="192">
        <v>692639140309800</v>
      </c>
      <c r="D359" s="193" t="s">
        <v>331</v>
      </c>
      <c r="E359" s="194" t="s">
        <v>332</v>
      </c>
      <c r="F359" s="224">
        <v>108.8</v>
      </c>
      <c r="G359" s="225">
        <v>480</v>
      </c>
      <c r="H359" s="225">
        <v>480</v>
      </c>
      <c r="I359" s="226">
        <f t="shared" si="0"/>
      </c>
      <c r="J359" s="98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</row>
    <row r="360">
      <c r="A360" s="169"/>
      <c r="B360" s="169"/>
      <c r="C360" s="192">
        <v>692639140302900</v>
      </c>
      <c r="D360" s="193" t="s">
        <v>323</v>
      </c>
      <c r="E360" s="194" t="s">
        <v>324</v>
      </c>
      <c r="F360" s="224">
        <v>101.32</v>
      </c>
      <c r="G360" s="225">
        <v>185</v>
      </c>
      <c r="H360" s="227">
        <v>121</v>
      </c>
      <c r="I360" s="226">
        <f>F360*H360</f>
      </c>
      <c r="J360" s="228" t="s">
        <v>566</v>
      </c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</row>
    <row r="361">
      <c r="A361" s="169"/>
      <c r="B361" s="169"/>
      <c r="C361" s="192">
        <v>692639140470500</v>
      </c>
      <c r="D361" s="193" t="s">
        <v>311</v>
      </c>
      <c r="E361" s="194" t="s">
        <v>312</v>
      </c>
      <c r="F361" s="224">
        <v>74.12</v>
      </c>
      <c r="G361" s="225">
        <v>144</v>
      </c>
      <c r="H361" s="229">
        <v>144</v>
      </c>
      <c r="I361" s="226">
        <f t="shared" ref="I361:I409" si="1">F361*G361</f>
      </c>
      <c r="J361" s="98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</row>
    <row r="362">
      <c r="A362" s="169"/>
      <c r="B362" s="169"/>
      <c r="C362" s="192">
        <v>692639140306700</v>
      </c>
      <c r="D362" s="193" t="s">
        <v>327</v>
      </c>
      <c r="E362" s="194" t="s">
        <v>328</v>
      </c>
      <c r="F362" s="224">
        <v>356.66</v>
      </c>
      <c r="G362" s="225">
        <v>60</v>
      </c>
      <c r="H362" s="229">
        <v>60</v>
      </c>
      <c r="I362" s="226">
        <f t="shared" si="1"/>
      </c>
      <c r="J362" s="98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</row>
    <row r="363">
      <c r="A363" s="169"/>
      <c r="B363" s="169"/>
      <c r="C363" s="192">
        <v>692639140408800</v>
      </c>
      <c r="D363" s="193" t="s">
        <v>345</v>
      </c>
      <c r="E363" s="194" t="s">
        <v>346</v>
      </c>
      <c r="F363" s="224">
        <v>214.2</v>
      </c>
      <c r="G363" s="225">
        <v>32</v>
      </c>
      <c r="H363" s="229">
        <v>32</v>
      </c>
      <c r="I363" s="226">
        <f t="shared" si="1"/>
      </c>
      <c r="J363" s="98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</row>
    <row r="364">
      <c r="A364" s="169"/>
      <c r="B364" s="169"/>
      <c r="C364" s="192">
        <v>692639140467500</v>
      </c>
      <c r="D364" s="193" t="s">
        <v>305</v>
      </c>
      <c r="E364" s="194" t="s">
        <v>306</v>
      </c>
      <c r="F364" s="224">
        <v>213.52</v>
      </c>
      <c r="G364" s="225">
        <v>32</v>
      </c>
      <c r="H364" s="229">
        <v>32</v>
      </c>
      <c r="I364" s="226">
        <f t="shared" si="1"/>
      </c>
      <c r="J364" s="98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</row>
    <row r="365">
      <c r="A365" s="169"/>
      <c r="B365" s="169"/>
      <c r="C365" s="192">
        <v>692639140468200</v>
      </c>
      <c r="D365" s="193" t="s">
        <v>307</v>
      </c>
      <c r="E365" s="194" t="s">
        <v>308</v>
      </c>
      <c r="F365" s="224">
        <v>571.2</v>
      </c>
      <c r="G365" s="225">
        <v>25</v>
      </c>
      <c r="H365" s="229">
        <v>25</v>
      </c>
      <c r="I365" s="226">
        <f t="shared" si="1"/>
      </c>
      <c r="J365" s="98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</row>
    <row r="366">
      <c r="A366" s="169"/>
      <c r="B366" s="169"/>
      <c r="C366" s="192">
        <v>692639140409500</v>
      </c>
      <c r="D366" s="193" t="s">
        <v>339</v>
      </c>
      <c r="E366" s="194" t="s">
        <v>340</v>
      </c>
      <c r="F366" s="224">
        <v>598.4</v>
      </c>
      <c r="G366" s="225">
        <v>20</v>
      </c>
      <c r="H366" s="229">
        <v>20</v>
      </c>
      <c r="I366" s="226">
        <f t="shared" si="1"/>
      </c>
      <c r="J366" s="98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</row>
    <row r="367">
      <c r="A367" s="169"/>
      <c r="B367" s="169"/>
      <c r="C367" s="192">
        <v>692639140410100</v>
      </c>
      <c r="D367" s="193" t="s">
        <v>347</v>
      </c>
      <c r="E367" s="194" t="s">
        <v>348</v>
      </c>
      <c r="F367" s="224">
        <v>363.8</v>
      </c>
      <c r="G367" s="225">
        <v>18</v>
      </c>
      <c r="H367" s="229">
        <v>18</v>
      </c>
      <c r="I367" s="226">
        <f t="shared" si="1"/>
      </c>
      <c r="J367" s="98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</row>
    <row r="368">
      <c r="A368" s="169"/>
      <c r="B368" s="169"/>
      <c r="C368" s="192">
        <v>692639140472900</v>
      </c>
      <c r="D368" s="193" t="s">
        <v>315</v>
      </c>
      <c r="E368" s="194" t="s">
        <v>316</v>
      </c>
      <c r="F368" s="224">
        <v>336.6</v>
      </c>
      <c r="G368" s="225">
        <v>8</v>
      </c>
      <c r="H368" s="229">
        <v>8</v>
      </c>
      <c r="I368" s="226">
        <f t="shared" si="1"/>
      </c>
      <c r="J368" s="98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</row>
    <row r="369">
      <c r="A369" s="169"/>
      <c r="B369" s="169"/>
      <c r="C369" s="192">
        <v>692639149763900</v>
      </c>
      <c r="D369" s="193" t="s">
        <v>442</v>
      </c>
      <c r="E369" s="194" t="s">
        <v>443</v>
      </c>
      <c r="F369" s="224">
        <v>571.2</v>
      </c>
      <c r="G369" s="225">
        <v>2</v>
      </c>
      <c r="H369" s="229">
        <v>2</v>
      </c>
      <c r="I369" s="226">
        <f t="shared" si="1"/>
      </c>
      <c r="J369" s="98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</row>
    <row r="370">
      <c r="A370" s="169"/>
      <c r="B370" s="169"/>
      <c r="C370" s="192">
        <v>692639140475000</v>
      </c>
      <c r="D370" s="193" t="s">
        <v>319</v>
      </c>
      <c r="E370" s="194" t="s">
        <v>567</v>
      </c>
      <c r="F370" s="224">
        <v>187</v>
      </c>
      <c r="G370" s="225">
        <v>16</v>
      </c>
      <c r="H370" s="229">
        <v>16</v>
      </c>
      <c r="I370" s="226">
        <f t="shared" si="1"/>
      </c>
      <c r="J370" s="98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</row>
    <row r="371">
      <c r="A371" s="169"/>
      <c r="B371" s="169"/>
      <c r="C371" s="192">
        <v>692639140436100</v>
      </c>
      <c r="D371" s="193" t="s">
        <v>295</v>
      </c>
      <c r="E371" s="194" t="s">
        <v>518</v>
      </c>
      <c r="F371" s="224">
        <v>221.01</v>
      </c>
      <c r="G371" s="225">
        <v>170</v>
      </c>
      <c r="H371" s="229">
        <v>170</v>
      </c>
      <c r="I371" s="226">
        <f t="shared" si="1"/>
      </c>
      <c r="J371" s="98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</row>
    <row r="372">
      <c r="A372" s="169"/>
      <c r="B372" s="169"/>
      <c r="C372" s="192">
        <v>692639140092900</v>
      </c>
      <c r="D372" s="193" t="s">
        <v>369</v>
      </c>
      <c r="E372" s="194" t="s">
        <v>370</v>
      </c>
      <c r="F372" s="224">
        <v>170</v>
      </c>
      <c r="G372" s="225">
        <v>120</v>
      </c>
      <c r="H372" s="229">
        <v>120</v>
      </c>
      <c r="I372" s="226">
        <f t="shared" si="1"/>
      </c>
      <c r="J372" s="98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</row>
    <row r="373">
      <c r="A373" s="169"/>
      <c r="B373" s="169"/>
      <c r="C373" s="192">
        <v>692639140362300</v>
      </c>
      <c r="D373" s="193" t="s">
        <v>431</v>
      </c>
      <c r="E373" s="194" t="s">
        <v>432</v>
      </c>
      <c r="F373" s="224">
        <v>135.66</v>
      </c>
      <c r="G373" s="225">
        <v>140</v>
      </c>
      <c r="H373" s="229">
        <v>140</v>
      </c>
      <c r="I373" s="226">
        <f t="shared" si="1"/>
      </c>
      <c r="J373" s="98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</row>
    <row r="374">
      <c r="A374" s="169"/>
      <c r="B374" s="169"/>
      <c r="C374" s="192">
        <v>692639140361600</v>
      </c>
      <c r="D374" s="193" t="s">
        <v>431</v>
      </c>
      <c r="E374" s="194" t="s">
        <v>433</v>
      </c>
      <c r="F374" s="224">
        <v>678.3</v>
      </c>
      <c r="G374" s="225">
        <v>45</v>
      </c>
      <c r="H374" s="229">
        <v>45</v>
      </c>
      <c r="I374" s="226">
        <f t="shared" si="1"/>
      </c>
      <c r="J374" s="98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</row>
    <row r="375">
      <c r="A375" s="169"/>
      <c r="B375" s="169"/>
      <c r="C375" s="192">
        <v>692639140425500</v>
      </c>
      <c r="D375" s="193" t="s">
        <v>333</v>
      </c>
      <c r="E375" s="194" t="s">
        <v>334</v>
      </c>
      <c r="F375" s="224">
        <v>78.2</v>
      </c>
      <c r="G375" s="227">
        <v>2000</v>
      </c>
      <c r="H375" s="230">
        <f>396+132+600+300+572</f>
      </c>
      <c r="I375" s="226">
        <f t="shared" si="1"/>
      </c>
      <c r="J375" s="98">
        <f>G375-H375</f>
      </c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</row>
    <row r="376">
      <c r="A376" s="169"/>
      <c r="B376" s="169"/>
      <c r="C376" s="192">
        <v>692639140426200</v>
      </c>
      <c r="D376" s="193" t="s">
        <v>335</v>
      </c>
      <c r="E376" s="194" t="s">
        <v>336</v>
      </c>
      <c r="F376" s="224">
        <v>155.72</v>
      </c>
      <c r="G376" s="225">
        <v>228</v>
      </c>
      <c r="H376" s="229">
        <v>228</v>
      </c>
      <c r="I376" s="226">
        <f t="shared" si="1"/>
      </c>
      <c r="J376" s="98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</row>
    <row r="377">
      <c r="A377" s="169"/>
      <c r="B377" s="169"/>
      <c r="C377" s="192">
        <v>692639149814800</v>
      </c>
      <c r="D377" s="193" t="s">
        <v>448</v>
      </c>
      <c r="E377" s="194" t="s">
        <v>449</v>
      </c>
      <c r="F377" s="224">
        <v>224.4</v>
      </c>
      <c r="G377" s="225">
        <v>108</v>
      </c>
      <c r="H377" s="229">
        <v>108</v>
      </c>
      <c r="I377" s="226">
        <f t="shared" si="1"/>
      </c>
      <c r="J377" s="98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</row>
    <row r="378">
      <c r="A378" s="169"/>
      <c r="B378" s="169"/>
      <c r="C378" s="192">
        <v>692639140427900</v>
      </c>
      <c r="D378" s="193" t="s">
        <v>337</v>
      </c>
      <c r="E378" s="194" t="s">
        <v>338</v>
      </c>
      <c r="F378" s="224">
        <v>333.2</v>
      </c>
      <c r="G378" s="225">
        <v>12</v>
      </c>
      <c r="H378" s="229">
        <v>12</v>
      </c>
      <c r="I378" s="226">
        <f t="shared" si="1"/>
      </c>
      <c r="J378" s="98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</row>
    <row r="379">
      <c r="A379" s="169"/>
      <c r="B379" s="169"/>
      <c r="C379" s="192">
        <v>692639140014100</v>
      </c>
      <c r="D379" s="193" t="s">
        <v>451</v>
      </c>
      <c r="E379" s="194" t="s">
        <v>452</v>
      </c>
      <c r="F379" s="224">
        <v>537.2</v>
      </c>
      <c r="G379" s="225">
        <v>2</v>
      </c>
      <c r="H379" s="229">
        <v>2</v>
      </c>
      <c r="I379" s="226">
        <f t="shared" si="1"/>
      </c>
      <c r="J379" s="98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</row>
    <row r="380">
      <c r="A380" s="169"/>
      <c r="B380" s="169"/>
      <c r="C380" s="192">
        <v>692639140272500</v>
      </c>
      <c r="D380" s="193" t="s">
        <v>484</v>
      </c>
      <c r="E380" s="194" t="s">
        <v>485</v>
      </c>
      <c r="F380" s="224">
        <v>271.32</v>
      </c>
      <c r="G380" s="225">
        <v>15</v>
      </c>
      <c r="H380" s="229">
        <v>15</v>
      </c>
      <c r="I380" s="226">
        <f t="shared" si="1"/>
      </c>
      <c r="J380" s="98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</row>
    <row r="381">
      <c r="A381" s="169"/>
      <c r="B381" s="169"/>
      <c r="C381" s="192">
        <v>692639140456900</v>
      </c>
      <c r="D381" s="193" t="s">
        <v>301</v>
      </c>
      <c r="E381" s="194" t="s">
        <v>302</v>
      </c>
      <c r="F381" s="224">
        <v>176.12</v>
      </c>
      <c r="G381" s="225">
        <v>90</v>
      </c>
      <c r="H381" s="229">
        <v>90</v>
      </c>
      <c r="I381" s="226">
        <f t="shared" si="1"/>
      </c>
      <c r="J381" s="98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</row>
    <row r="382">
      <c r="A382" s="169"/>
      <c r="B382" s="169"/>
      <c r="C382" s="192">
        <v>692639140454500</v>
      </c>
      <c r="D382" s="193" t="s">
        <v>299</v>
      </c>
      <c r="E382" s="194" t="s">
        <v>300</v>
      </c>
      <c r="F382" s="224">
        <v>401.2</v>
      </c>
      <c r="G382" s="225">
        <v>80</v>
      </c>
      <c r="H382" s="229">
        <v>80</v>
      </c>
      <c r="I382" s="226">
        <f t="shared" si="1"/>
      </c>
      <c r="J382" s="98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</row>
    <row r="383">
      <c r="A383" s="169"/>
      <c r="B383" s="169"/>
      <c r="C383" s="192">
        <v>692639140458300</v>
      </c>
      <c r="D383" s="193" t="s">
        <v>303</v>
      </c>
      <c r="E383" s="194" t="s">
        <v>304</v>
      </c>
      <c r="F383" s="224">
        <v>238</v>
      </c>
      <c r="G383" s="225">
        <v>25</v>
      </c>
      <c r="H383" s="229">
        <v>25</v>
      </c>
      <c r="I383" s="226">
        <f t="shared" si="1"/>
      </c>
      <c r="J383" s="98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</row>
    <row r="384">
      <c r="A384" s="169"/>
      <c r="B384" s="169"/>
      <c r="C384" s="192">
        <v>692639140406400</v>
      </c>
      <c r="D384" s="193" t="s">
        <v>389</v>
      </c>
      <c r="E384" s="194" t="s">
        <v>390</v>
      </c>
      <c r="F384" s="224">
        <v>40.8</v>
      </c>
      <c r="G384" s="225">
        <v>256</v>
      </c>
      <c r="H384" s="229">
        <v>256</v>
      </c>
      <c r="I384" s="226">
        <f t="shared" si="1"/>
      </c>
      <c r="J384" s="98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</row>
    <row r="385">
      <c r="A385" s="169"/>
      <c r="B385" s="169"/>
      <c r="C385" s="192">
        <v>692639140417000</v>
      </c>
      <c r="D385" s="193" t="s">
        <v>453</v>
      </c>
      <c r="E385" s="194" t="s">
        <v>454</v>
      </c>
      <c r="F385" s="224">
        <v>1693.2</v>
      </c>
      <c r="G385" s="225">
        <v>2</v>
      </c>
      <c r="H385" s="229">
        <v>2</v>
      </c>
      <c r="I385" s="226">
        <f t="shared" si="1"/>
      </c>
      <c r="J385" s="98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</row>
    <row r="386">
      <c r="A386" s="169"/>
      <c r="B386" s="169"/>
      <c r="C386" s="192">
        <v>692639149929900</v>
      </c>
      <c r="D386" s="193" t="s">
        <v>361</v>
      </c>
      <c r="E386" s="194" t="s">
        <v>362</v>
      </c>
      <c r="F386" s="224">
        <v>176.8</v>
      </c>
      <c r="G386" s="225">
        <v>5</v>
      </c>
      <c r="H386" s="229">
        <v>5</v>
      </c>
      <c r="I386" s="226">
        <f t="shared" si="1"/>
      </c>
      <c r="J386" s="98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</row>
    <row r="387">
      <c r="A387" s="169"/>
      <c r="B387" s="169"/>
      <c r="C387" s="192">
        <v>692639140433000</v>
      </c>
      <c r="D387" s="193" t="s">
        <v>375</v>
      </c>
      <c r="E387" s="194" t="s">
        <v>376</v>
      </c>
      <c r="F387" s="224">
        <v>190.4</v>
      </c>
      <c r="G387" s="225">
        <v>60</v>
      </c>
      <c r="H387" s="229">
        <v>60</v>
      </c>
      <c r="I387" s="226">
        <f t="shared" si="1"/>
      </c>
      <c r="J387" s="98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</row>
    <row r="388">
      <c r="A388" s="169"/>
      <c r="B388" s="169"/>
      <c r="C388" s="192">
        <v>692639149810000</v>
      </c>
      <c r="D388" s="193" t="s">
        <v>365</v>
      </c>
      <c r="E388" s="194" t="s">
        <v>366</v>
      </c>
      <c r="F388" s="224">
        <v>639.2</v>
      </c>
      <c r="G388" s="225">
        <v>6</v>
      </c>
      <c r="H388" s="229">
        <v>6</v>
      </c>
      <c r="I388" s="226">
        <f t="shared" si="1"/>
      </c>
      <c r="J388" s="98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</row>
    <row r="389">
      <c r="A389" s="169"/>
      <c r="B389" s="169"/>
      <c r="C389" s="192">
        <v>692639140349400</v>
      </c>
      <c r="D389" s="193" t="s">
        <v>359</v>
      </c>
      <c r="E389" s="194" t="s">
        <v>360</v>
      </c>
      <c r="F389" s="224">
        <v>440</v>
      </c>
      <c r="G389" s="225">
        <v>28</v>
      </c>
      <c r="H389" s="229">
        <v>28</v>
      </c>
      <c r="I389" s="226">
        <f t="shared" si="1"/>
      </c>
      <c r="J389" s="98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</row>
    <row r="390">
      <c r="A390" s="169"/>
      <c r="B390" s="169"/>
      <c r="C390" s="192">
        <v>692639140234300</v>
      </c>
      <c r="D390" s="193" t="s">
        <v>371</v>
      </c>
      <c r="E390" s="194" t="s">
        <v>555</v>
      </c>
      <c r="F390" s="224">
        <v>135.32</v>
      </c>
      <c r="G390" s="225">
        <v>20</v>
      </c>
      <c r="H390" s="229">
        <v>20</v>
      </c>
      <c r="I390" s="226">
        <f t="shared" si="1"/>
      </c>
      <c r="J390" s="98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</row>
    <row r="391">
      <c r="A391" s="169"/>
      <c r="B391" s="169"/>
      <c r="C391" s="192">
        <v>692639140288600</v>
      </c>
      <c r="D391" s="193" t="s">
        <v>397</v>
      </c>
      <c r="E391" s="194" t="s">
        <v>398</v>
      </c>
      <c r="F391" s="224">
        <v>95.2</v>
      </c>
      <c r="G391" s="225">
        <v>40</v>
      </c>
      <c r="H391" s="229">
        <v>40</v>
      </c>
      <c r="I391" s="226">
        <f t="shared" si="1"/>
      </c>
      <c r="J391" s="98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</row>
    <row r="392">
      <c r="A392" s="169"/>
      <c r="B392" s="169"/>
      <c r="C392" s="192">
        <v>2508080001</v>
      </c>
      <c r="D392" s="193" t="s">
        <v>475</v>
      </c>
      <c r="E392" s="194" t="s">
        <v>476</v>
      </c>
      <c r="F392" s="224">
        <v>200</v>
      </c>
      <c r="G392" s="225">
        <v>100</v>
      </c>
      <c r="H392" s="231">
        <v>100</v>
      </c>
      <c r="I392" s="226">
        <f t="shared" si="1"/>
      </c>
      <c r="J392" s="98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</row>
    <row r="393">
      <c r="A393" s="169"/>
      <c r="B393" s="169"/>
      <c r="C393" s="192">
        <v>692639140358600</v>
      </c>
      <c r="D393" s="193" t="s">
        <v>393</v>
      </c>
      <c r="E393" s="194" t="s">
        <v>394</v>
      </c>
      <c r="F393" s="224">
        <v>424</v>
      </c>
      <c r="G393" s="225">
        <v>20</v>
      </c>
      <c r="H393" s="229">
        <v>20</v>
      </c>
      <c r="I393" s="226">
        <f t="shared" si="1"/>
      </c>
      <c r="J393" s="98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</row>
    <row r="394">
      <c r="A394" s="169"/>
      <c r="B394" s="169"/>
      <c r="C394" s="192">
        <v>692639149682300</v>
      </c>
      <c r="D394" s="193" t="s">
        <v>407</v>
      </c>
      <c r="E394" s="194" t="s">
        <v>408</v>
      </c>
      <c r="F394" s="224">
        <v>119</v>
      </c>
      <c r="G394" s="225">
        <v>64</v>
      </c>
      <c r="H394" s="229">
        <v>64</v>
      </c>
      <c r="I394" s="226">
        <f t="shared" si="1"/>
      </c>
      <c r="J394" s="98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</row>
    <row r="395">
      <c r="A395" s="169"/>
      <c r="B395" s="169"/>
      <c r="C395" s="192">
        <v>692639140254100</v>
      </c>
      <c r="D395" s="193" t="s">
        <v>403</v>
      </c>
      <c r="E395" s="194" t="s">
        <v>404</v>
      </c>
      <c r="F395" s="224">
        <v>408</v>
      </c>
      <c r="G395" s="225">
        <v>204</v>
      </c>
      <c r="H395" s="229">
        <v>204</v>
      </c>
      <c r="I395" s="226">
        <f t="shared" si="1"/>
      </c>
      <c r="J395" s="98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</row>
    <row r="396">
      <c r="A396" s="169"/>
      <c r="B396" s="169"/>
      <c r="C396" s="192">
        <v>692639140452100</v>
      </c>
      <c r="D396" s="193" t="s">
        <v>471</v>
      </c>
      <c r="E396" s="194" t="s">
        <v>472</v>
      </c>
      <c r="F396" s="224">
        <v>119</v>
      </c>
      <c r="G396" s="225">
        <v>90</v>
      </c>
      <c r="H396" s="229">
        <v>90</v>
      </c>
      <c r="I396" s="226">
        <f t="shared" si="1"/>
      </c>
      <c r="J396" s="98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</row>
    <row r="397">
      <c r="A397" s="169"/>
      <c r="B397" s="169"/>
      <c r="C397" s="192">
        <v>692639149683000</v>
      </c>
      <c r="D397" s="193" t="s">
        <v>411</v>
      </c>
      <c r="E397" s="194" t="s">
        <v>412</v>
      </c>
      <c r="F397" s="224">
        <v>272</v>
      </c>
      <c r="G397" s="225">
        <v>132</v>
      </c>
      <c r="H397" s="229">
        <v>132</v>
      </c>
      <c r="I397" s="226">
        <f t="shared" si="1"/>
      </c>
      <c r="J397" s="98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</row>
    <row r="398">
      <c r="A398" s="169"/>
      <c r="B398" s="169"/>
      <c r="C398" s="192">
        <v>692639140256500</v>
      </c>
      <c r="D398" s="193" t="s">
        <v>399</v>
      </c>
      <c r="E398" s="194" t="s">
        <v>400</v>
      </c>
      <c r="F398" s="224">
        <v>119</v>
      </c>
      <c r="G398" s="225">
        <v>108</v>
      </c>
      <c r="H398" s="229">
        <v>108</v>
      </c>
      <c r="I398" s="226">
        <f t="shared" si="1"/>
      </c>
      <c r="J398" s="98"/>
      <c r="K398" s="92"/>
      <c r="L398" s="92"/>
      <c r="M398" s="232"/>
      <c r="N398" s="92"/>
      <c r="O398" s="92"/>
      <c r="P398" s="92"/>
      <c r="Q398" s="92"/>
      <c r="R398" s="92"/>
      <c r="S398" s="92"/>
      <c r="T398" s="92"/>
      <c r="U398" s="92"/>
      <c r="V398" s="92"/>
    </row>
    <row r="399">
      <c r="A399" s="169"/>
      <c r="B399" s="169"/>
      <c r="C399" s="192">
        <v>692639140451400</v>
      </c>
      <c r="D399" s="193" t="s">
        <v>469</v>
      </c>
      <c r="E399" s="194" t="s">
        <v>470</v>
      </c>
      <c r="F399" s="224">
        <v>204</v>
      </c>
      <c r="G399" s="225">
        <v>114</v>
      </c>
      <c r="H399" s="225">
        <f>73+41</f>
      </c>
      <c r="I399" s="226">
        <f t="shared" si="1"/>
      </c>
      <c r="J399" s="98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</row>
    <row r="400">
      <c r="A400" s="169"/>
      <c r="B400" s="169"/>
      <c r="C400" s="192">
        <v>692639140450700</v>
      </c>
      <c r="D400" s="193" t="s">
        <v>467</v>
      </c>
      <c r="E400" s="194" t="s">
        <v>468</v>
      </c>
      <c r="F400" s="224">
        <v>1360</v>
      </c>
      <c r="G400" s="225">
        <v>20</v>
      </c>
      <c r="H400" s="229">
        <v>20</v>
      </c>
      <c r="I400" s="226">
        <f t="shared" si="1"/>
      </c>
      <c r="J400" s="98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</row>
    <row r="401">
      <c r="A401" s="169"/>
      <c r="B401" s="169"/>
      <c r="C401" s="192">
        <v>692639140087500</v>
      </c>
      <c r="D401" s="193" t="s">
        <v>405</v>
      </c>
      <c r="E401" s="194" t="s">
        <v>406</v>
      </c>
      <c r="F401" s="224">
        <v>1360</v>
      </c>
      <c r="G401" s="225">
        <v>12</v>
      </c>
      <c r="H401" s="229">
        <v>12</v>
      </c>
      <c r="I401" s="226">
        <f t="shared" si="1"/>
      </c>
      <c r="J401" s="98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</row>
    <row r="402">
      <c r="A402" s="169"/>
      <c r="B402" s="169"/>
      <c r="C402" s="192">
        <v>692639140340100</v>
      </c>
      <c r="D402" s="193" t="s">
        <v>455</v>
      </c>
      <c r="E402" s="194" t="s">
        <v>456</v>
      </c>
      <c r="F402" s="224">
        <v>1360</v>
      </c>
      <c r="G402" s="225">
        <v>2</v>
      </c>
      <c r="H402" s="229">
        <v>2</v>
      </c>
      <c r="I402" s="226">
        <f t="shared" si="1"/>
      </c>
      <c r="J402" s="98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</row>
    <row customHeight="true" ht="24" r="403">
      <c r="A403" s="169"/>
      <c r="B403" s="169"/>
      <c r="C403" s="233">
        <v>2508050005</v>
      </c>
      <c r="D403" s="233" t="s">
        <v>513</v>
      </c>
      <c r="E403" s="234" t="s">
        <v>514</v>
      </c>
      <c r="F403" s="235">
        <v>0</v>
      </c>
      <c r="G403" s="236">
        <v>2</v>
      </c>
      <c r="H403" s="237">
        <v>2</v>
      </c>
      <c r="I403" s="235">
        <f t="shared" si="1"/>
      </c>
      <c r="J403" s="98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</row>
    <row customHeight="true" ht="24" r="404">
      <c r="A404" s="169"/>
      <c r="B404" s="169"/>
      <c r="C404" s="233">
        <v>2508050002</v>
      </c>
      <c r="D404" s="237" t="s">
        <v>540</v>
      </c>
      <c r="E404" s="234" t="s">
        <v>541</v>
      </c>
      <c r="F404" s="235">
        <v>0</v>
      </c>
      <c r="G404" s="236">
        <v>8</v>
      </c>
      <c r="H404" s="237">
        <v>8</v>
      </c>
      <c r="I404" s="235">
        <f t="shared" si="1"/>
      </c>
      <c r="J404" s="98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</row>
    <row customHeight="true" ht="24" r="405">
      <c r="A405" s="169"/>
      <c r="B405" s="169"/>
      <c r="C405" s="233">
        <v>2508050003</v>
      </c>
      <c r="D405" s="233" t="s">
        <v>511</v>
      </c>
      <c r="E405" s="234" t="s">
        <v>512</v>
      </c>
      <c r="F405" s="235">
        <v>0</v>
      </c>
      <c r="G405" s="236">
        <v>9</v>
      </c>
      <c r="H405" s="237">
        <v>9</v>
      </c>
      <c r="I405" s="235">
        <f t="shared" si="1"/>
      </c>
      <c r="J405" s="98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</row>
    <row customHeight="true" ht="24" r="406">
      <c r="A406" s="169"/>
      <c r="B406" s="169"/>
      <c r="C406" s="233">
        <v>2508050004</v>
      </c>
      <c r="D406" s="237" t="s">
        <v>540</v>
      </c>
      <c r="E406" s="234" t="s">
        <v>558</v>
      </c>
      <c r="F406" s="235">
        <v>0</v>
      </c>
      <c r="G406" s="236">
        <v>2</v>
      </c>
      <c r="H406" s="237">
        <v>2</v>
      </c>
      <c r="I406" s="235">
        <f t="shared" si="1"/>
      </c>
      <c r="J406" s="98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</row>
    <row customHeight="true" ht="24" r="407">
      <c r="A407" s="169"/>
      <c r="B407" s="169"/>
      <c r="C407" s="233">
        <v>2508050001</v>
      </c>
      <c r="D407" s="237" t="s">
        <v>540</v>
      </c>
      <c r="E407" s="234" t="s">
        <v>521</v>
      </c>
      <c r="F407" s="235">
        <v>0</v>
      </c>
      <c r="G407" s="236">
        <v>17</v>
      </c>
      <c r="H407" s="237">
        <v>17</v>
      </c>
      <c r="I407" s="235">
        <f t="shared" si="1"/>
      </c>
      <c r="J407" s="98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</row>
    <row customHeight="true" ht="24" r="408">
      <c r="A408" s="169" t="s">
        <v>568</v>
      </c>
      <c r="B408" s="169">
        <v>46020</v>
      </c>
      <c r="C408" s="238">
        <v>692639140477400</v>
      </c>
      <c r="D408" s="238" t="s">
        <v>569</v>
      </c>
      <c r="E408" s="239" t="s">
        <v>570</v>
      </c>
      <c r="F408" s="240">
        <v>203.32</v>
      </c>
      <c r="G408" s="144">
        <v>10</v>
      </c>
      <c r="H408" s="241">
        <v>10</v>
      </c>
      <c r="I408" s="242">
        <f t="shared" si="1"/>
      </c>
      <c r="J408" s="98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</row>
    <row customHeight="true" ht="24" r="409">
      <c r="A409" s="169"/>
      <c r="B409" s="169"/>
      <c r="C409" s="238">
        <v>697884024038900</v>
      </c>
      <c r="D409" s="238" t="s">
        <v>571</v>
      </c>
      <c r="E409" s="239" t="s">
        <v>572</v>
      </c>
      <c r="F409" s="240">
        <v>134.92</v>
      </c>
      <c r="G409" s="144">
        <v>100</v>
      </c>
      <c r="H409" s="241">
        <v>100</v>
      </c>
      <c r="I409" s="242">
        <f t="shared" si="1"/>
      </c>
      <c r="J409" s="98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</row>
    <row r="410">
      <c r="A410" s="169" t="s">
        <v>573</v>
      </c>
      <c r="B410" s="169">
        <v>46022</v>
      </c>
      <c r="C410" s="238">
        <v>2509280001</v>
      </c>
      <c r="D410" s="238" t="s">
        <v>509</v>
      </c>
      <c r="E410" s="239" t="s">
        <v>510</v>
      </c>
      <c r="F410" s="240">
        <v>16</v>
      </c>
      <c r="G410" s="243">
        <v>5000</v>
      </c>
      <c r="H410" s="244">
        <f>100+500</f>
      </c>
      <c r="I410" s="242">
        <f t="shared" ref="I410:I431" si="9">G410*F410</f>
      </c>
      <c r="J410" s="98">
        <f>G410-H410</f>
      </c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</row>
    <row r="411">
      <c r="A411" s="169" t="s">
        <v>574</v>
      </c>
      <c r="B411" s="169">
        <v>46022</v>
      </c>
      <c r="C411" s="238">
        <v>692639149974900</v>
      </c>
      <c r="D411" s="238" t="s">
        <v>438</v>
      </c>
      <c r="E411" s="245" t="s">
        <v>439</v>
      </c>
      <c r="F411" s="246">
        <v>435.21</v>
      </c>
      <c r="G411" s="144">
        <v>12</v>
      </c>
      <c r="H411" s="241">
        <v>12</v>
      </c>
      <c r="I411" s="242">
        <f t="shared" si="9"/>
      </c>
      <c r="J411" s="98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</row>
    <row r="412">
      <c r="A412" s="169"/>
      <c r="B412" s="169"/>
      <c r="C412" s="238">
        <v>692639140301200</v>
      </c>
      <c r="D412" s="247" t="s">
        <v>357</v>
      </c>
      <c r="E412" s="245" t="s">
        <v>358</v>
      </c>
      <c r="F412" s="246">
        <v>1564</v>
      </c>
      <c r="G412" s="248">
        <v>4</v>
      </c>
      <c r="H412" s="248">
        <v>4</v>
      </c>
      <c r="I412" s="242">
        <f t="shared" si="9"/>
      </c>
      <c r="J412" s="98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</row>
    <row r="413">
      <c r="A413" s="169"/>
      <c r="B413" s="169"/>
      <c r="C413" s="117">
        <v>692639140331900</v>
      </c>
      <c r="D413" s="138" t="s">
        <v>355</v>
      </c>
      <c r="E413" s="202" t="s">
        <v>356</v>
      </c>
      <c r="F413" s="183">
        <v>1592</v>
      </c>
      <c r="G413" s="115">
        <v>4</v>
      </c>
      <c r="H413" s="115">
        <v>4</v>
      </c>
      <c r="I413" s="242">
        <f t="shared" si="9"/>
      </c>
      <c r="J413" s="98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</row>
    <row r="414">
      <c r="A414" s="169"/>
      <c r="B414" s="169"/>
      <c r="C414" s="117">
        <v>692639140080600</v>
      </c>
      <c r="D414" s="138" t="s">
        <v>429</v>
      </c>
      <c r="E414" s="202" t="s">
        <v>430</v>
      </c>
      <c r="F414" s="183">
        <v>119</v>
      </c>
      <c r="G414" s="115">
        <v>5</v>
      </c>
      <c r="H414" s="115">
        <v>5</v>
      </c>
      <c r="I414" s="242">
        <f t="shared" si="9"/>
      </c>
      <c r="J414" s="98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</row>
    <row r="415">
      <c r="A415" s="169"/>
      <c r="B415" s="169"/>
      <c r="C415" s="117">
        <v>692639140205300</v>
      </c>
      <c r="D415" s="138" t="s">
        <v>457</v>
      </c>
      <c r="E415" s="202" t="s">
        <v>553</v>
      </c>
      <c r="F415" s="183">
        <v>2033.2</v>
      </c>
      <c r="G415" s="115">
        <v>2</v>
      </c>
      <c r="H415" s="89">
        <v>2</v>
      </c>
      <c r="I415" s="242">
        <f t="shared" si="9"/>
      </c>
      <c r="J415" s="98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</row>
    <row r="416">
      <c r="A416" s="169"/>
      <c r="B416" s="169"/>
      <c r="C416" s="117">
        <v>692639140088200</v>
      </c>
      <c r="D416" s="138" t="s">
        <v>519</v>
      </c>
      <c r="E416" s="202" t="s">
        <v>520</v>
      </c>
      <c r="F416" s="183">
        <v>204</v>
      </c>
      <c r="G416" s="115">
        <v>6</v>
      </c>
      <c r="H416" s="115">
        <v>6</v>
      </c>
      <c r="I416" s="242">
        <f t="shared" si="9"/>
      </c>
      <c r="J416" s="98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</row>
    <row r="417">
      <c r="A417" s="169"/>
      <c r="B417" s="169"/>
      <c r="C417" s="117">
        <v>692639140336400</v>
      </c>
      <c r="D417" s="138" t="s">
        <v>367</v>
      </c>
      <c r="E417" s="202" t="s">
        <v>527</v>
      </c>
      <c r="F417" s="183">
        <v>153</v>
      </c>
      <c r="G417" s="115">
        <v>10</v>
      </c>
      <c r="H417" s="115">
        <v>10</v>
      </c>
      <c r="I417" s="242">
        <f t="shared" si="9"/>
      </c>
      <c r="J417" s="98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</row>
    <row r="418">
      <c r="A418" s="169"/>
      <c r="B418" s="169"/>
      <c r="C418" s="117">
        <v>692639140433000</v>
      </c>
      <c r="D418" s="138" t="s">
        <v>375</v>
      </c>
      <c r="E418" s="202" t="s">
        <v>376</v>
      </c>
      <c r="F418" s="183">
        <v>190.4</v>
      </c>
      <c r="G418" s="115">
        <v>100</v>
      </c>
      <c r="H418" s="115">
        <v>100</v>
      </c>
      <c r="I418" s="242">
        <f t="shared" si="9"/>
      </c>
      <c r="J418" s="98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</row>
    <row r="419">
      <c r="A419" s="169"/>
      <c r="B419" s="169"/>
      <c r="C419" s="117">
        <v>697884024038900</v>
      </c>
      <c r="D419" s="138" t="s">
        <v>571</v>
      </c>
      <c r="E419" s="202" t="s">
        <v>572</v>
      </c>
      <c r="F419" s="249">
        <v>134.92</v>
      </c>
      <c r="G419" s="115">
        <v>100</v>
      </c>
      <c r="H419" s="89">
        <v>100</v>
      </c>
      <c r="I419" s="242">
        <f t="shared" si="9"/>
      </c>
      <c r="J419" s="98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</row>
    <row r="420">
      <c r="A420" s="250" t="s">
        <v>575</v>
      </c>
      <c r="B420" s="250">
        <v>46035</v>
      </c>
      <c r="C420" s="117">
        <v>697884024038900</v>
      </c>
      <c r="D420" s="138" t="s">
        <v>571</v>
      </c>
      <c r="E420" s="118" t="s">
        <v>572</v>
      </c>
      <c r="F420" s="203">
        <v>134.92</v>
      </c>
      <c r="G420" s="136">
        <v>150</v>
      </c>
      <c r="H420" s="251">
        <v>150</v>
      </c>
      <c r="I420" s="242">
        <f t="shared" si="9"/>
      </c>
      <c r="J420" s="252"/>
      <c r="K420" s="253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</row>
    <row r="421">
      <c r="A421" s="250"/>
      <c r="B421" s="250"/>
      <c r="C421" s="117">
        <v>692639140437800</v>
      </c>
      <c r="D421" s="138" t="s">
        <v>461</v>
      </c>
      <c r="E421" s="118" t="s">
        <v>462</v>
      </c>
      <c r="F421" s="203">
        <v>221</v>
      </c>
      <c r="G421" s="136">
        <v>3</v>
      </c>
      <c r="H421" s="136">
        <v>3</v>
      </c>
      <c r="I421" s="242">
        <f t="shared" si="9"/>
      </c>
      <c r="J421" s="252"/>
      <c r="K421" s="253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</row>
    <row r="422">
      <c r="A422" s="250"/>
      <c r="B422" s="250"/>
      <c r="C422" s="117">
        <v>692639149918300</v>
      </c>
      <c r="D422" s="138" t="s">
        <v>436</v>
      </c>
      <c r="E422" s="118" t="s">
        <v>437</v>
      </c>
      <c r="F422" s="203">
        <v>469.2</v>
      </c>
      <c r="G422" s="136">
        <v>10</v>
      </c>
      <c r="H422" s="136">
        <v>10</v>
      </c>
      <c r="I422" s="242">
        <f t="shared" si="9"/>
      </c>
      <c r="J422" s="252"/>
      <c r="K422" s="253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</row>
    <row r="423">
      <c r="A423" s="250"/>
      <c r="B423" s="250"/>
      <c r="C423" s="117">
        <v>692639149810000</v>
      </c>
      <c r="D423" s="138" t="s">
        <v>365</v>
      </c>
      <c r="E423" s="118" t="s">
        <v>366</v>
      </c>
      <c r="F423" s="203">
        <v>700.4</v>
      </c>
      <c r="G423" s="136">
        <v>3</v>
      </c>
      <c r="H423" s="136">
        <v>3</v>
      </c>
      <c r="I423" s="242">
        <f t="shared" si="9"/>
      </c>
      <c r="J423" s="252"/>
      <c r="K423" s="253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</row>
    <row r="424">
      <c r="A424" s="250"/>
      <c r="B424" s="250"/>
      <c r="C424" s="117">
        <v>692639140234300</v>
      </c>
      <c r="D424" s="138" t="s">
        <v>371</v>
      </c>
      <c r="E424" s="118" t="s">
        <v>555</v>
      </c>
      <c r="F424" s="203">
        <v>142.8</v>
      </c>
      <c r="G424" s="136">
        <v>10</v>
      </c>
      <c r="H424" s="136">
        <v>10</v>
      </c>
      <c r="I424" s="242">
        <f t="shared" si="9"/>
      </c>
      <c r="J424" s="252"/>
      <c r="K424" s="253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</row>
    <row r="425">
      <c r="A425" s="250"/>
      <c r="B425" s="250"/>
      <c r="C425" s="117">
        <v>692639140472900</v>
      </c>
      <c r="D425" s="138" t="s">
        <v>315</v>
      </c>
      <c r="E425" s="118" t="s">
        <v>316</v>
      </c>
      <c r="F425" s="203">
        <v>369.92</v>
      </c>
      <c r="G425" s="136">
        <v>2</v>
      </c>
      <c r="H425" s="136">
        <v>2</v>
      </c>
      <c r="I425" s="242">
        <f t="shared" si="9"/>
      </c>
      <c r="J425" s="252"/>
      <c r="K425" s="253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</row>
    <row r="426">
      <c r="A426" s="250"/>
      <c r="B426" s="250"/>
      <c r="C426" s="117">
        <v>697884024020400</v>
      </c>
      <c r="D426" s="138" t="s">
        <v>537</v>
      </c>
      <c r="E426" s="118" t="s">
        <v>538</v>
      </c>
      <c r="F426" s="203">
        <v>299.2</v>
      </c>
      <c r="G426" s="136">
        <v>4</v>
      </c>
      <c r="H426" s="136">
        <v>4</v>
      </c>
      <c r="I426" s="242">
        <f t="shared" si="9"/>
      </c>
      <c r="J426" s="252"/>
      <c r="K426" s="253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</row>
    <row r="427">
      <c r="A427" s="250"/>
      <c r="B427" s="250"/>
      <c r="C427" s="117">
        <v>692639140427900</v>
      </c>
      <c r="D427" s="138" t="s">
        <v>337</v>
      </c>
      <c r="E427" s="118" t="s">
        <v>338</v>
      </c>
      <c r="F427" s="203">
        <v>333.2</v>
      </c>
      <c r="G427" s="136">
        <v>36</v>
      </c>
      <c r="H427" s="136">
        <v>36</v>
      </c>
      <c r="I427" s="242">
        <f t="shared" si="9"/>
      </c>
      <c r="J427" s="252"/>
      <c r="K427" s="253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</row>
    <row r="428">
      <c r="A428" s="250"/>
      <c r="B428" s="250"/>
      <c r="C428" s="117">
        <v>692639140473600</v>
      </c>
      <c r="D428" s="138" t="s">
        <v>297</v>
      </c>
      <c r="E428" s="118" t="s">
        <v>576</v>
      </c>
      <c r="F428" s="203">
        <v>114.92</v>
      </c>
      <c r="G428" s="136">
        <v>4</v>
      </c>
      <c r="H428" s="136">
        <v>4</v>
      </c>
      <c r="I428" s="242">
        <f t="shared" si="9"/>
      </c>
      <c r="J428" s="252"/>
      <c r="K428" s="253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</row>
    <row r="429">
      <c r="A429" s="250"/>
      <c r="B429" s="250"/>
      <c r="C429" s="117">
        <v>692639140458300</v>
      </c>
      <c r="D429" s="138" t="s">
        <v>303</v>
      </c>
      <c r="E429" s="118" t="s">
        <v>304</v>
      </c>
      <c r="F429" s="203">
        <v>238</v>
      </c>
      <c r="G429" s="136">
        <v>30</v>
      </c>
      <c r="H429" s="136">
        <v>30</v>
      </c>
      <c r="I429" s="242">
        <f t="shared" si="9"/>
      </c>
      <c r="J429" s="252"/>
      <c r="K429" s="253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</row>
    <row r="430">
      <c r="A430" s="250"/>
      <c r="B430" s="250"/>
      <c r="C430" s="117">
        <v>692639140032500</v>
      </c>
      <c r="D430" s="138" t="s">
        <v>473</v>
      </c>
      <c r="E430" s="118" t="s">
        <v>474</v>
      </c>
      <c r="F430" s="203">
        <v>199.92</v>
      </c>
      <c r="G430" s="136">
        <v>16</v>
      </c>
      <c r="H430" s="136">
        <v>16</v>
      </c>
      <c r="I430" s="242">
        <f t="shared" si="9"/>
      </c>
      <c r="J430" s="252"/>
      <c r="K430" s="253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</row>
    <row r="431">
      <c r="A431" s="250"/>
      <c r="B431" s="250"/>
      <c r="C431" s="254">
        <v>2508050004</v>
      </c>
      <c r="D431" s="255" t="s">
        <v>577</v>
      </c>
      <c r="E431" s="256" t="s">
        <v>578</v>
      </c>
      <c r="F431" s="257">
        <v>0</v>
      </c>
      <c r="G431" s="258">
        <v>3</v>
      </c>
      <c r="H431" s="258">
        <v>3</v>
      </c>
      <c r="I431" s="259">
        <f t="shared" si="9"/>
      </c>
      <c r="J431" s="98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</row>
    <row r="432">
      <c r="A432" s="260" t="s">
        <v>579</v>
      </c>
      <c r="B432" s="169">
        <v>46036</v>
      </c>
      <c r="C432" s="117">
        <v>697884024045700</v>
      </c>
      <c r="D432" s="84" t="s">
        <v>580</v>
      </c>
      <c r="E432" s="118" t="s">
        <v>581</v>
      </c>
      <c r="F432" s="110">
        <v>19.5</v>
      </c>
      <c r="G432" s="261">
        <v>992</v>
      </c>
      <c r="H432" s="262">
        <f>210+200+150+200+232</f>
      </c>
      <c r="I432" s="90">
        <f t="shared" ref="I432:I526" si="2">F432*G432</f>
      </c>
      <c r="J432" s="98">
        <f>G432-H432</f>
      </c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</row>
    <row r="433">
      <c r="A433" s="250" t="s">
        <v>582</v>
      </c>
      <c r="B433" s="169">
        <v>46042</v>
      </c>
      <c r="C433" s="117">
        <v>692639141113000</v>
      </c>
      <c r="D433" s="138" t="s">
        <v>543</v>
      </c>
      <c r="E433" s="118" t="s">
        <v>544</v>
      </c>
      <c r="F433" s="203">
        <v>392</v>
      </c>
      <c r="G433" s="136">
        <v>15</v>
      </c>
      <c r="H433" s="97">
        <v>15</v>
      </c>
      <c r="I433" s="90">
        <f t="shared" si="2"/>
      </c>
      <c r="J433" s="98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</row>
    <row r="434">
      <c r="A434" s="263"/>
      <c r="B434" s="169"/>
      <c r="C434" s="117">
        <v>697884024034100</v>
      </c>
      <c r="D434" s="138" t="s">
        <v>561</v>
      </c>
      <c r="E434" s="118" t="s">
        <v>562</v>
      </c>
      <c r="F434" s="203">
        <v>1020</v>
      </c>
      <c r="G434" s="136">
        <v>6</v>
      </c>
      <c r="H434" s="97">
        <v>6</v>
      </c>
      <c r="I434" s="90">
        <f t="shared" si="2"/>
      </c>
      <c r="J434" s="98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</row>
    <row r="435">
      <c r="A435" s="263"/>
      <c r="B435" s="169"/>
      <c r="C435" s="117">
        <v>692639141111600</v>
      </c>
      <c r="D435" s="138" t="s">
        <v>545</v>
      </c>
      <c r="E435" s="118" t="s">
        <v>546</v>
      </c>
      <c r="F435" s="203">
        <v>272</v>
      </c>
      <c r="G435" s="136">
        <v>15</v>
      </c>
      <c r="H435" s="97">
        <v>15</v>
      </c>
      <c r="I435" s="90">
        <f t="shared" si="2"/>
      </c>
      <c r="J435" s="98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</row>
    <row r="436">
      <c r="A436" s="263"/>
      <c r="B436" s="169"/>
      <c r="C436" s="117">
        <v>692639140088200</v>
      </c>
      <c r="D436" s="138" t="s">
        <v>519</v>
      </c>
      <c r="E436" s="118" t="s">
        <v>520</v>
      </c>
      <c r="F436" s="135">
        <v>204</v>
      </c>
      <c r="G436" s="136">
        <v>42</v>
      </c>
      <c r="H436" s="97">
        <v>42</v>
      </c>
      <c r="I436" s="90">
        <f t="shared" si="2"/>
      </c>
      <c r="J436" s="98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</row>
    <row r="437">
      <c r="A437" s="263"/>
      <c r="B437" s="169"/>
      <c r="C437" s="117">
        <v>692639140032500</v>
      </c>
      <c r="D437" s="138" t="s">
        <v>473</v>
      </c>
      <c r="E437" s="118" t="s">
        <v>474</v>
      </c>
      <c r="F437" s="135">
        <v>199.92</v>
      </c>
      <c r="G437" s="136">
        <v>48</v>
      </c>
      <c r="H437" s="97">
        <v>48</v>
      </c>
      <c r="I437" s="90">
        <f t="shared" si="2"/>
      </c>
      <c r="J437" s="98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</row>
    <row r="438">
      <c r="A438" s="263"/>
      <c r="B438" s="169"/>
      <c r="C438" s="117">
        <v>697884024038900</v>
      </c>
      <c r="D438" s="138" t="s">
        <v>571</v>
      </c>
      <c r="E438" s="118" t="s">
        <v>572</v>
      </c>
      <c r="F438" s="135">
        <v>134.92</v>
      </c>
      <c r="G438" s="136">
        <v>200</v>
      </c>
      <c r="H438" s="89">
        <v>200</v>
      </c>
      <c r="I438" s="90">
        <f t="shared" si="2"/>
      </c>
      <c r="J438" s="98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</row>
    <row r="439">
      <c r="A439" s="263"/>
      <c r="B439" s="169"/>
      <c r="C439" s="117">
        <v>692639140331900</v>
      </c>
      <c r="D439" s="138" t="s">
        <v>355</v>
      </c>
      <c r="E439" s="118" t="s">
        <v>356</v>
      </c>
      <c r="F439" s="135">
        <v>1752</v>
      </c>
      <c r="G439" s="136">
        <v>2</v>
      </c>
      <c r="H439" s="97">
        <v>2</v>
      </c>
      <c r="I439" s="90">
        <f t="shared" si="2"/>
      </c>
      <c r="J439" s="98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</row>
    <row r="440">
      <c r="A440" s="263"/>
      <c r="B440" s="169"/>
      <c r="C440" s="117">
        <v>692639140301200</v>
      </c>
      <c r="D440" s="138" t="s">
        <v>357</v>
      </c>
      <c r="E440" s="118" t="s">
        <v>358</v>
      </c>
      <c r="F440" s="203">
        <v>1727.2</v>
      </c>
      <c r="G440" s="136">
        <v>2</v>
      </c>
      <c r="H440" s="97">
        <v>2</v>
      </c>
      <c r="I440" s="90">
        <f t="shared" si="2"/>
      </c>
      <c r="J440" s="98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</row>
    <row r="441">
      <c r="A441" s="263"/>
      <c r="B441" s="169"/>
      <c r="C441" s="117">
        <v>697884024018100</v>
      </c>
      <c r="D441" s="138" t="s">
        <v>535</v>
      </c>
      <c r="E441" s="118" t="s">
        <v>536</v>
      </c>
      <c r="F441" s="203">
        <v>901</v>
      </c>
      <c r="G441" s="136">
        <v>4</v>
      </c>
      <c r="H441" s="97">
        <v>4</v>
      </c>
      <c r="I441" s="90">
        <f t="shared" si="2"/>
      </c>
      <c r="J441" s="98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</row>
    <row r="442">
      <c r="A442" s="263"/>
      <c r="B442" s="169"/>
      <c r="C442" s="117">
        <v>692639140234300</v>
      </c>
      <c r="D442" s="138" t="s">
        <v>371</v>
      </c>
      <c r="E442" s="118" t="s">
        <v>555</v>
      </c>
      <c r="F442" s="203">
        <v>142.8</v>
      </c>
      <c r="G442" s="136">
        <v>10</v>
      </c>
      <c r="H442" s="89">
        <v>10</v>
      </c>
      <c r="I442" s="90">
        <f t="shared" si="2"/>
      </c>
      <c r="J442" s="98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</row>
    <row r="443">
      <c r="A443" s="263"/>
      <c r="B443" s="169"/>
      <c r="C443" s="117">
        <v>692639140427900</v>
      </c>
      <c r="D443" s="138" t="s">
        <v>337</v>
      </c>
      <c r="E443" s="118" t="s">
        <v>338</v>
      </c>
      <c r="F443" s="203">
        <v>333.2</v>
      </c>
      <c r="G443" s="136">
        <v>12</v>
      </c>
      <c r="H443" s="89">
        <v>12</v>
      </c>
      <c r="I443" s="90">
        <f t="shared" si="2"/>
      </c>
      <c r="J443" s="98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</row>
    <row r="444">
      <c r="A444" s="263"/>
      <c r="B444" s="169"/>
      <c r="C444" s="117">
        <v>692639141109300</v>
      </c>
      <c r="D444" s="138" t="s">
        <v>547</v>
      </c>
      <c r="E444" s="118" t="s">
        <v>548</v>
      </c>
      <c r="F444" s="203">
        <v>152</v>
      </c>
      <c r="G444" s="264">
        <v>3</v>
      </c>
      <c r="H444" s="265">
        <v>3</v>
      </c>
      <c r="I444" s="90">
        <f t="shared" si="2"/>
      </c>
      <c r="J444" s="98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</row>
    <row r="445">
      <c r="A445" s="266" t="s">
        <v>583</v>
      </c>
      <c r="B445" s="266">
        <v>46042</v>
      </c>
      <c r="C445" s="138">
        <v>697884024049500</v>
      </c>
      <c r="D445" s="267"/>
      <c r="E445" s="118" t="s">
        <v>584</v>
      </c>
      <c r="F445" s="268">
        <v>2.2</v>
      </c>
      <c r="G445" s="227">
        <v>5000</v>
      </c>
      <c r="H445" s="269"/>
      <c r="I445" s="90">
        <f t="shared" si="2"/>
      </c>
      <c r="J445" s="91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</row>
    <row r="446">
      <c r="A446" s="266"/>
      <c r="B446" s="266"/>
      <c r="C446" s="117">
        <v>697884024050100</v>
      </c>
      <c r="D446" s="84"/>
      <c r="E446" s="118" t="s">
        <v>585</v>
      </c>
      <c r="F446" s="268">
        <v>3.1</v>
      </c>
      <c r="G446" s="227">
        <v>5000</v>
      </c>
      <c r="H446" s="269"/>
      <c r="I446" s="90">
        <f t="shared" si="2"/>
      </c>
      <c r="J446" s="91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</row>
    <row r="447">
      <c r="A447" s="266"/>
      <c r="B447" s="266"/>
      <c r="C447" s="117">
        <v>697884024051800</v>
      </c>
      <c r="D447" s="84"/>
      <c r="E447" s="118" t="s">
        <v>586</v>
      </c>
      <c r="F447" s="268">
        <v>8.1</v>
      </c>
      <c r="G447" s="227">
        <v>5000</v>
      </c>
      <c r="H447" s="269"/>
      <c r="I447" s="90">
        <f t="shared" si="2"/>
      </c>
      <c r="J447" s="91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</row>
    <row r="448">
      <c r="A448" s="266"/>
      <c r="B448" s="266"/>
      <c r="C448" s="117">
        <v>697884024053200</v>
      </c>
      <c r="D448" s="84"/>
      <c r="E448" s="139" t="s">
        <v>587</v>
      </c>
      <c r="F448" s="268">
        <v>16.8</v>
      </c>
      <c r="G448" s="227">
        <v>5000</v>
      </c>
      <c r="H448" s="269"/>
      <c r="I448" s="90">
        <f t="shared" si="2"/>
      </c>
      <c r="J448" s="91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</row>
    <row r="449">
      <c r="A449" s="266"/>
      <c r="B449" s="266"/>
      <c r="C449" s="117">
        <v>697884024046400</v>
      </c>
      <c r="D449" s="84"/>
      <c r="E449" s="118" t="s">
        <v>588</v>
      </c>
      <c r="F449" s="268">
        <v>18.4</v>
      </c>
      <c r="G449" s="227">
        <v>2000</v>
      </c>
      <c r="H449" s="269"/>
      <c r="I449" s="90">
        <f t="shared" si="2"/>
      </c>
      <c r="J449" s="91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</row>
    <row r="450">
      <c r="A450" s="266"/>
      <c r="B450" s="266"/>
      <c r="C450" s="117">
        <v>697884024047100</v>
      </c>
      <c r="D450" s="84"/>
      <c r="E450" s="118" t="s">
        <v>589</v>
      </c>
      <c r="F450" s="268">
        <v>21.5</v>
      </c>
      <c r="G450" s="227">
        <v>2000</v>
      </c>
      <c r="H450" s="269"/>
      <c r="I450" s="90">
        <f t="shared" si="2"/>
      </c>
      <c r="J450" s="91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</row>
    <row r="451">
      <c r="A451" s="266"/>
      <c r="B451" s="266"/>
      <c r="C451" s="117">
        <v>697884024048800</v>
      </c>
      <c r="D451" s="84"/>
      <c r="E451" s="118" t="s">
        <v>590</v>
      </c>
      <c r="F451" s="268">
        <v>53.7</v>
      </c>
      <c r="G451" s="227">
        <v>1000</v>
      </c>
      <c r="H451" s="269"/>
      <c r="I451" s="90">
        <f t="shared" si="2"/>
      </c>
      <c r="J451" s="91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</row>
    <row r="452">
      <c r="A452" s="266"/>
      <c r="B452" s="266"/>
      <c r="C452" s="117">
        <v>697884024052500</v>
      </c>
      <c r="D452" s="84"/>
      <c r="E452" s="118" t="s">
        <v>591</v>
      </c>
      <c r="F452" s="268">
        <v>91.9</v>
      </c>
      <c r="G452" s="227">
        <v>2000</v>
      </c>
      <c r="H452" s="269"/>
      <c r="I452" s="90">
        <f t="shared" si="2"/>
      </c>
      <c r="J452" s="91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</row>
    <row r="453">
      <c r="A453" s="260" t="s">
        <v>592</v>
      </c>
      <c r="B453" s="250">
        <v>46042</v>
      </c>
      <c r="C453" s="85">
        <v>692639140472900</v>
      </c>
      <c r="D453" s="83" t="s">
        <v>593</v>
      </c>
      <c r="E453" s="270" t="s">
        <v>594</v>
      </c>
      <c r="F453" s="110">
        <v>369.92</v>
      </c>
      <c r="G453" s="271">
        <v>32</v>
      </c>
      <c r="H453" s="89">
        <v>32</v>
      </c>
      <c r="I453" s="90">
        <f t="shared" si="2"/>
      </c>
      <c r="J453" s="98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</row>
    <row r="454">
      <c r="A454" s="266" t="s">
        <v>595</v>
      </c>
      <c r="B454" s="266">
        <v>46044</v>
      </c>
      <c r="C454" s="117">
        <v>692639140234300</v>
      </c>
      <c r="D454" s="138" t="s">
        <v>371</v>
      </c>
      <c r="E454" s="118" t="s">
        <v>555</v>
      </c>
      <c r="F454" s="203">
        <v>142.8</v>
      </c>
      <c r="G454" s="136">
        <v>50</v>
      </c>
      <c r="H454" s="136">
        <v>50</v>
      </c>
      <c r="I454" s="90">
        <f t="shared" si="2"/>
      </c>
      <c r="J454" s="98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</row>
    <row r="455">
      <c r="A455" s="93"/>
      <c r="B455" s="266"/>
      <c r="C455" s="117">
        <v>692639140088200</v>
      </c>
      <c r="D455" s="138" t="s">
        <v>519</v>
      </c>
      <c r="E455" s="118" t="s">
        <v>520</v>
      </c>
      <c r="F455" s="203">
        <v>204</v>
      </c>
      <c r="G455" s="136">
        <v>42</v>
      </c>
      <c r="H455" s="136">
        <v>42</v>
      </c>
      <c r="I455" s="90">
        <f t="shared" si="2"/>
      </c>
      <c r="J455" s="98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</row>
    <row r="456">
      <c r="A456" s="93"/>
      <c r="B456" s="266"/>
      <c r="C456" s="117">
        <v>692639140437800</v>
      </c>
      <c r="D456" s="138" t="s">
        <v>461</v>
      </c>
      <c r="E456" s="118" t="s">
        <v>462</v>
      </c>
      <c r="F456" s="203">
        <v>221</v>
      </c>
      <c r="G456" s="136">
        <v>6</v>
      </c>
      <c r="H456" s="136">
        <v>6</v>
      </c>
      <c r="I456" s="90">
        <f t="shared" si="2"/>
      </c>
      <c r="J456" s="98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</row>
    <row r="457">
      <c r="A457" s="93"/>
      <c r="B457" s="266"/>
      <c r="C457" s="117">
        <v>692639140331900</v>
      </c>
      <c r="D457" s="138" t="s">
        <v>355</v>
      </c>
      <c r="E457" s="118" t="s">
        <v>356</v>
      </c>
      <c r="F457" s="203">
        <v>1752</v>
      </c>
      <c r="G457" s="264">
        <v>5</v>
      </c>
      <c r="H457" s="136">
        <v>5</v>
      </c>
      <c r="I457" s="90">
        <f t="shared" si="2"/>
      </c>
      <c r="J457" s="98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</row>
    <row r="458">
      <c r="A458" s="266" t="s">
        <v>596</v>
      </c>
      <c r="B458" s="266">
        <v>46045</v>
      </c>
      <c r="C458" s="117">
        <v>697884024058700</v>
      </c>
      <c r="D458" s="84"/>
      <c r="E458" s="118" t="s">
        <v>597</v>
      </c>
      <c r="F458" s="268">
        <v>176.12</v>
      </c>
      <c r="G458" s="229">
        <v>10</v>
      </c>
      <c r="H458" s="229">
        <v>10</v>
      </c>
      <c r="I458" s="90">
        <f t="shared" si="2"/>
      </c>
      <c r="J458" s="98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</row>
    <row r="459">
      <c r="A459" s="266"/>
      <c r="B459" s="266"/>
      <c r="C459" s="117">
        <v>692639140216900</v>
      </c>
      <c r="D459" s="84"/>
      <c r="E459" s="118" t="s">
        <v>598</v>
      </c>
      <c r="F459" s="268">
        <v>83</v>
      </c>
      <c r="G459" s="229">
        <v>20</v>
      </c>
      <c r="H459" s="229">
        <v>20</v>
      </c>
      <c r="I459" s="90">
        <f t="shared" si="2"/>
      </c>
      <c r="J459" s="98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</row>
    <row r="460">
      <c r="A460" s="266"/>
      <c r="B460" s="266"/>
      <c r="C460" s="117">
        <v>692639141128400</v>
      </c>
      <c r="D460" s="84"/>
      <c r="E460" s="118" t="s">
        <v>599</v>
      </c>
      <c r="F460" s="268">
        <v>147.6</v>
      </c>
      <c r="G460" s="229">
        <v>10</v>
      </c>
      <c r="H460" s="229">
        <v>10</v>
      </c>
      <c r="I460" s="90">
        <f t="shared" si="2"/>
      </c>
      <c r="J460" s="98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</row>
    <row r="461">
      <c r="A461" s="266" t="s">
        <v>600</v>
      </c>
      <c r="B461" s="266">
        <v>46056</v>
      </c>
      <c r="C461" s="117">
        <v>692639141109300</v>
      </c>
      <c r="D461" s="138" t="s">
        <v>547</v>
      </c>
      <c r="E461" s="118" t="s">
        <v>548</v>
      </c>
      <c r="F461" s="203">
        <v>152</v>
      </c>
      <c r="G461" s="229">
        <v>15</v>
      </c>
      <c r="H461" s="229">
        <v>15</v>
      </c>
      <c r="I461" s="90">
        <f t="shared" si="2"/>
      </c>
      <c r="J461" s="98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</row>
    <row r="462">
      <c r="A462" s="266"/>
      <c r="B462" s="266"/>
      <c r="C462" s="117">
        <v>697884024038900</v>
      </c>
      <c r="D462" s="138" t="s">
        <v>571</v>
      </c>
      <c r="E462" s="118" t="s">
        <v>572</v>
      </c>
      <c r="F462" s="203">
        <v>134.92</v>
      </c>
      <c r="G462" s="229">
        <v>700</v>
      </c>
      <c r="H462" s="229">
        <v>700</v>
      </c>
      <c r="I462" s="90">
        <f t="shared" si="2"/>
      </c>
      <c r="J462" s="98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</row>
    <row r="463">
      <c r="A463" s="266"/>
      <c r="B463" s="266"/>
      <c r="C463" s="117">
        <v>692639140088200</v>
      </c>
      <c r="D463" s="138" t="s">
        <v>519</v>
      </c>
      <c r="E463" s="118" t="s">
        <v>520</v>
      </c>
      <c r="F463" s="203">
        <v>204</v>
      </c>
      <c r="G463" s="229">
        <v>216</v>
      </c>
      <c r="H463" s="229">
        <v>216</v>
      </c>
      <c r="I463" s="90">
        <f t="shared" si="2"/>
      </c>
      <c r="J463" s="98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</row>
    <row r="464">
      <c r="A464" s="266"/>
      <c r="B464" s="266"/>
      <c r="C464" s="117">
        <v>692639141113000</v>
      </c>
      <c r="D464" s="138" t="s">
        <v>543</v>
      </c>
      <c r="E464" s="118" t="s">
        <v>544</v>
      </c>
      <c r="F464" s="203">
        <v>392</v>
      </c>
      <c r="G464" s="136">
        <v>45</v>
      </c>
      <c r="H464" s="136">
        <v>45</v>
      </c>
      <c r="I464" s="90">
        <f t="shared" si="2"/>
      </c>
      <c r="J464" s="98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</row>
    <row r="465">
      <c r="A465" s="266"/>
      <c r="B465" s="266"/>
      <c r="C465" s="117">
        <v>692639140456900</v>
      </c>
      <c r="D465" s="138" t="s">
        <v>301</v>
      </c>
      <c r="E465" s="118" t="s">
        <v>302</v>
      </c>
      <c r="F465" s="203">
        <v>176.12</v>
      </c>
      <c r="G465" s="136">
        <v>140</v>
      </c>
      <c r="H465" s="136">
        <v>140</v>
      </c>
      <c r="I465" s="90">
        <f t="shared" si="2"/>
      </c>
      <c r="J465" s="98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</row>
    <row r="466">
      <c r="A466" s="266"/>
      <c r="B466" s="266"/>
      <c r="C466" s="117">
        <v>692639140467500</v>
      </c>
      <c r="D466" s="138" t="s">
        <v>305</v>
      </c>
      <c r="E466" s="118" t="s">
        <v>306</v>
      </c>
      <c r="F466" s="203">
        <v>224.4</v>
      </c>
      <c r="G466" s="136">
        <v>64</v>
      </c>
      <c r="H466" s="136">
        <v>64</v>
      </c>
      <c r="I466" s="90">
        <f t="shared" si="2"/>
      </c>
      <c r="J466" s="98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</row>
    <row r="467">
      <c r="A467" s="266"/>
      <c r="B467" s="266"/>
      <c r="C467" s="117">
        <v>692639140458300</v>
      </c>
      <c r="D467" s="138" t="s">
        <v>303</v>
      </c>
      <c r="E467" s="118" t="s">
        <v>304</v>
      </c>
      <c r="F467" s="203">
        <v>238</v>
      </c>
      <c r="G467" s="136">
        <v>60</v>
      </c>
      <c r="H467" s="136">
        <v>60</v>
      </c>
      <c r="I467" s="90">
        <f t="shared" si="2"/>
      </c>
      <c r="J467" s="98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</row>
    <row r="468">
      <c r="A468" s="266"/>
      <c r="B468" s="266"/>
      <c r="C468" s="117">
        <v>692639140436100</v>
      </c>
      <c r="D468" s="138" t="s">
        <v>295</v>
      </c>
      <c r="E468" s="118" t="s">
        <v>518</v>
      </c>
      <c r="F468" s="203">
        <v>231.2</v>
      </c>
      <c r="G468" s="136">
        <v>180</v>
      </c>
      <c r="H468" s="136">
        <v>180</v>
      </c>
      <c r="I468" s="90">
        <f t="shared" si="2"/>
      </c>
      <c r="J468" s="98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</row>
    <row r="469">
      <c r="A469" s="266"/>
      <c r="B469" s="266"/>
      <c r="C469" s="117">
        <v>692639140451400</v>
      </c>
      <c r="D469" s="138" t="s">
        <v>469</v>
      </c>
      <c r="E469" s="118" t="s">
        <v>470</v>
      </c>
      <c r="F469" s="203">
        <v>204</v>
      </c>
      <c r="G469" s="136">
        <v>90</v>
      </c>
      <c r="H469" s="136">
        <v>90</v>
      </c>
      <c r="I469" s="90">
        <f t="shared" si="2"/>
      </c>
      <c r="J469" s="98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</row>
    <row r="470">
      <c r="A470" s="266"/>
      <c r="B470" s="266"/>
      <c r="C470" s="117">
        <v>692639141111600</v>
      </c>
      <c r="D470" s="138" t="s">
        <v>545</v>
      </c>
      <c r="E470" s="118" t="s">
        <v>546</v>
      </c>
      <c r="F470" s="203">
        <v>272</v>
      </c>
      <c r="G470" s="136">
        <v>25</v>
      </c>
      <c r="H470" s="136">
        <v>25</v>
      </c>
      <c r="I470" s="90">
        <f t="shared" si="2"/>
      </c>
      <c r="J470" s="98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</row>
    <row r="471">
      <c r="A471" s="266"/>
      <c r="B471" s="266"/>
      <c r="C471" s="117">
        <v>692639149737000</v>
      </c>
      <c r="D471" s="138" t="s">
        <v>446</v>
      </c>
      <c r="E471" s="118" t="s">
        <v>447</v>
      </c>
      <c r="F471" s="203">
        <v>2468.4</v>
      </c>
      <c r="G471" s="136">
        <v>2</v>
      </c>
      <c r="H471" s="136">
        <v>2</v>
      </c>
      <c r="I471" s="90">
        <f t="shared" si="2"/>
      </c>
      <c r="J471" s="98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</row>
    <row r="472">
      <c r="A472" s="266"/>
      <c r="B472" s="266"/>
      <c r="C472" s="117">
        <v>692639140437800</v>
      </c>
      <c r="D472" s="138" t="s">
        <v>461</v>
      </c>
      <c r="E472" s="118" t="s">
        <v>462</v>
      </c>
      <c r="F472" s="203">
        <v>221</v>
      </c>
      <c r="G472" s="136">
        <v>10</v>
      </c>
      <c r="H472" s="136">
        <v>10</v>
      </c>
      <c r="I472" s="90">
        <f t="shared" si="2"/>
      </c>
      <c r="J472" s="98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</row>
    <row r="473">
      <c r="A473" s="266"/>
      <c r="B473" s="266"/>
      <c r="C473" s="117">
        <v>697884024020400</v>
      </c>
      <c r="D473" s="138" t="s">
        <v>537</v>
      </c>
      <c r="E473" s="118" t="s">
        <v>538</v>
      </c>
      <c r="F473" s="203">
        <v>299.2</v>
      </c>
      <c r="G473" s="136">
        <v>8</v>
      </c>
      <c r="H473" s="136">
        <v>8</v>
      </c>
      <c r="I473" s="90">
        <f t="shared" si="2"/>
      </c>
      <c r="J473" s="98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</row>
    <row r="474">
      <c r="A474" s="266"/>
      <c r="B474" s="266"/>
      <c r="C474" s="117">
        <v>697884024034100</v>
      </c>
      <c r="D474" s="138" t="s">
        <v>561</v>
      </c>
      <c r="E474" s="118" t="s">
        <v>562</v>
      </c>
      <c r="F474" s="203">
        <v>1020</v>
      </c>
      <c r="G474" s="136">
        <v>2</v>
      </c>
      <c r="H474" s="136">
        <v>2</v>
      </c>
      <c r="I474" s="90">
        <f t="shared" si="2"/>
      </c>
      <c r="J474" s="98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</row>
    <row r="475">
      <c r="A475" s="266"/>
      <c r="B475" s="266"/>
      <c r="C475" s="117">
        <v>692639140454500</v>
      </c>
      <c r="D475" s="138" t="s">
        <v>299</v>
      </c>
      <c r="E475" s="118" t="s">
        <v>300</v>
      </c>
      <c r="F475" s="203">
        <v>401.2</v>
      </c>
      <c r="G475" s="136">
        <v>35</v>
      </c>
      <c r="H475" s="136">
        <v>35</v>
      </c>
      <c r="I475" s="90">
        <f t="shared" si="2"/>
      </c>
      <c r="J475" s="98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</row>
    <row r="476">
      <c r="A476" s="266"/>
      <c r="B476" s="266"/>
      <c r="C476" s="117">
        <v>692639140014100</v>
      </c>
      <c r="D476" s="138" t="s">
        <v>451</v>
      </c>
      <c r="E476" s="118" t="s">
        <v>452</v>
      </c>
      <c r="F476" s="203">
        <v>601.8</v>
      </c>
      <c r="G476" s="136">
        <v>2</v>
      </c>
      <c r="H476" s="136">
        <v>2</v>
      </c>
      <c r="I476" s="90">
        <f t="shared" si="2"/>
      </c>
      <c r="J476" s="98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</row>
    <row r="477">
      <c r="A477" s="266"/>
      <c r="B477" s="266"/>
      <c r="C477" s="117">
        <v>692639140427900</v>
      </c>
      <c r="D477" s="138" t="s">
        <v>337</v>
      </c>
      <c r="E477" s="118" t="s">
        <v>338</v>
      </c>
      <c r="F477" s="203">
        <v>333.2</v>
      </c>
      <c r="G477" s="136">
        <v>12</v>
      </c>
      <c r="H477" s="136">
        <v>12</v>
      </c>
      <c r="I477" s="90">
        <f t="shared" si="2"/>
      </c>
      <c r="J477" s="98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</row>
    <row r="478">
      <c r="A478" s="266"/>
      <c r="B478" s="266"/>
      <c r="C478" s="117">
        <v>692639140112400</v>
      </c>
      <c r="D478" s="138" t="s">
        <v>353</v>
      </c>
      <c r="E478" s="118" t="s">
        <v>354</v>
      </c>
      <c r="F478" s="203">
        <v>108.8</v>
      </c>
      <c r="G478" s="136">
        <v>4</v>
      </c>
      <c r="H478" s="136">
        <v>4</v>
      </c>
      <c r="I478" s="90">
        <f t="shared" si="2"/>
      </c>
      <c r="J478" s="98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</row>
    <row r="479">
      <c r="A479" s="266"/>
      <c r="B479" s="266"/>
      <c r="C479" s="117">
        <v>692639140409500</v>
      </c>
      <c r="D479" s="138" t="s">
        <v>339</v>
      </c>
      <c r="E479" s="118" t="s">
        <v>340</v>
      </c>
      <c r="F479" s="203">
        <v>629</v>
      </c>
      <c r="G479" s="136">
        <v>1</v>
      </c>
      <c r="H479" s="136">
        <v>1</v>
      </c>
      <c r="I479" s="90">
        <f t="shared" si="2"/>
      </c>
      <c r="J479" s="98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</row>
    <row r="480">
      <c r="A480" s="266"/>
      <c r="B480" s="266"/>
      <c r="C480" s="117">
        <v>697884024003700</v>
      </c>
      <c r="D480" s="138" t="s">
        <v>486</v>
      </c>
      <c r="E480" s="118" t="s">
        <v>487</v>
      </c>
      <c r="F480" s="203">
        <v>129.2</v>
      </c>
      <c r="G480" s="136">
        <v>10</v>
      </c>
      <c r="H480" s="136">
        <v>10</v>
      </c>
      <c r="I480" s="90">
        <f t="shared" si="2"/>
      </c>
      <c r="J480" s="98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</row>
    <row r="481">
      <c r="A481" s="266"/>
      <c r="B481" s="266"/>
      <c r="C481" s="106">
        <v>2508050003</v>
      </c>
      <c r="D481" s="106" t="s">
        <v>511</v>
      </c>
      <c r="E481" s="148" t="s">
        <v>512</v>
      </c>
      <c r="F481" s="207">
        <v>0</v>
      </c>
      <c r="G481" s="204">
        <v>14</v>
      </c>
      <c r="H481" s="204">
        <v>14</v>
      </c>
      <c r="I481" s="90">
        <f t="shared" si="2"/>
      </c>
      <c r="J481" s="98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</row>
    <row r="482">
      <c r="A482" s="266"/>
      <c r="B482" s="266"/>
      <c r="C482" s="254">
        <v>2508050004</v>
      </c>
      <c r="D482" s="255" t="s">
        <v>577</v>
      </c>
      <c r="E482" s="256" t="s">
        <v>578</v>
      </c>
      <c r="F482" s="257">
        <v>0</v>
      </c>
      <c r="G482" s="204">
        <v>6</v>
      </c>
      <c r="H482" s="204">
        <v>6</v>
      </c>
      <c r="I482" s="90">
        <f t="shared" si="2"/>
      </c>
      <c r="J482" s="98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</row>
    <row r="483">
      <c r="A483" s="266"/>
      <c r="B483" s="266"/>
      <c r="C483" s="218">
        <v>2508050001</v>
      </c>
      <c r="D483" s="219" t="s">
        <v>540</v>
      </c>
      <c r="E483" s="220" t="s">
        <v>564</v>
      </c>
      <c r="F483" s="221">
        <v>0</v>
      </c>
      <c r="G483" s="204">
        <v>18</v>
      </c>
      <c r="H483" s="204">
        <v>18</v>
      </c>
      <c r="I483" s="90">
        <f t="shared" si="2"/>
      </c>
      <c r="J483" s="98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</row>
    <row r="484">
      <c r="A484" s="266"/>
      <c r="B484" s="266"/>
      <c r="C484" s="106">
        <v>2508050002</v>
      </c>
      <c r="D484" s="206" t="s">
        <v>540</v>
      </c>
      <c r="E484" s="148" t="s">
        <v>541</v>
      </c>
      <c r="F484" s="207">
        <v>0</v>
      </c>
      <c r="G484" s="204">
        <v>3</v>
      </c>
      <c r="H484" s="204">
        <v>3</v>
      </c>
      <c r="I484" s="90">
        <f t="shared" si="2"/>
      </c>
      <c r="J484" s="98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</row>
    <row r="485">
      <c r="A485" s="266"/>
      <c r="B485" s="266"/>
      <c r="C485" s="105">
        <v>2509080001</v>
      </c>
      <c r="D485" s="106" t="s">
        <v>492</v>
      </c>
      <c r="E485" s="107" t="s">
        <v>493</v>
      </c>
      <c r="F485" s="207">
        <v>0</v>
      </c>
      <c r="G485" s="204">
        <v>1</v>
      </c>
      <c r="H485" s="204">
        <v>1</v>
      </c>
      <c r="I485" s="90">
        <f t="shared" si="2"/>
      </c>
      <c r="J485" s="98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</row>
    <row r="486">
      <c r="A486" s="266" t="s">
        <v>601</v>
      </c>
      <c r="B486" s="266">
        <v>46063</v>
      </c>
      <c r="C486" s="238">
        <v>692639140454500</v>
      </c>
      <c r="D486" s="247" t="s">
        <v>299</v>
      </c>
      <c r="E486" s="272" t="s">
        <v>300</v>
      </c>
      <c r="F486" s="240">
        <v>401.2</v>
      </c>
      <c r="G486" s="144">
        <v>28</v>
      </c>
      <c r="H486" s="144">
        <v>28</v>
      </c>
      <c r="I486" s="90">
        <f t="shared" si="2"/>
      </c>
      <c r="J486" s="98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</row>
    <row r="487">
      <c r="A487" s="266"/>
      <c r="B487" s="266"/>
      <c r="C487" s="238">
        <v>692639140451400</v>
      </c>
      <c r="D487" s="247" t="s">
        <v>469</v>
      </c>
      <c r="E487" s="272" t="s">
        <v>470</v>
      </c>
      <c r="F487" s="240">
        <v>204</v>
      </c>
      <c r="G487" s="144">
        <v>156</v>
      </c>
      <c r="H487" s="144">
        <v>156</v>
      </c>
      <c r="I487" s="90">
        <f t="shared" si="2"/>
      </c>
      <c r="J487" s="98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</row>
    <row r="488">
      <c r="A488" s="266"/>
      <c r="B488" s="266"/>
      <c r="C488" s="238">
        <v>692639140456900</v>
      </c>
      <c r="D488" s="247" t="s">
        <v>301</v>
      </c>
      <c r="E488" s="272" t="s">
        <v>302</v>
      </c>
      <c r="F488" s="240">
        <v>176.12</v>
      </c>
      <c r="G488" s="144">
        <v>200</v>
      </c>
      <c r="H488" s="144">
        <v>200</v>
      </c>
      <c r="I488" s="90">
        <f t="shared" si="2"/>
      </c>
      <c r="J488" s="98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</row>
    <row r="489">
      <c r="A489" s="266"/>
      <c r="B489" s="266"/>
      <c r="C489" s="238">
        <v>692639140427900</v>
      </c>
      <c r="D489" s="247" t="s">
        <v>337</v>
      </c>
      <c r="E489" s="272" t="s">
        <v>338</v>
      </c>
      <c r="F489" s="240">
        <v>333.2</v>
      </c>
      <c r="G489" s="144">
        <v>72</v>
      </c>
      <c r="H489" s="144">
        <v>72</v>
      </c>
      <c r="I489" s="90">
        <f t="shared" si="2"/>
      </c>
      <c r="J489" s="98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</row>
    <row r="490">
      <c r="A490" s="266"/>
      <c r="B490" s="266"/>
      <c r="C490" s="238">
        <v>692639140458300</v>
      </c>
      <c r="D490" s="247" t="s">
        <v>303</v>
      </c>
      <c r="E490" s="272" t="s">
        <v>304</v>
      </c>
      <c r="F490" s="240">
        <v>238</v>
      </c>
      <c r="G490" s="144">
        <v>60</v>
      </c>
      <c r="H490" s="144">
        <v>60</v>
      </c>
      <c r="I490" s="90">
        <f t="shared" si="2"/>
      </c>
      <c r="J490" s="98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</row>
    <row r="491">
      <c r="A491" s="266"/>
      <c r="B491" s="266"/>
      <c r="C491" s="238">
        <v>692639140088200</v>
      </c>
      <c r="D491" s="247" t="s">
        <v>519</v>
      </c>
      <c r="E491" s="272" t="s">
        <v>520</v>
      </c>
      <c r="F491" s="240">
        <v>204</v>
      </c>
      <c r="G491" s="144">
        <v>186</v>
      </c>
      <c r="H491" s="144">
        <v>186</v>
      </c>
      <c r="I491" s="90">
        <f t="shared" si="2"/>
      </c>
      <c r="J491" s="98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</row>
    <row r="492">
      <c r="A492" s="266"/>
      <c r="B492" s="266"/>
      <c r="C492" s="238">
        <v>692639149810000</v>
      </c>
      <c r="D492" s="247" t="s">
        <v>365</v>
      </c>
      <c r="E492" s="272" t="s">
        <v>366</v>
      </c>
      <c r="F492" s="240">
        <v>700.4</v>
      </c>
      <c r="G492" s="144">
        <v>5</v>
      </c>
      <c r="H492" s="144">
        <v>5</v>
      </c>
      <c r="I492" s="90">
        <f t="shared" si="2"/>
      </c>
      <c r="J492" s="98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</row>
    <row r="493">
      <c r="A493" s="266"/>
      <c r="B493" s="266"/>
      <c r="C493" s="117">
        <v>692639149626700</v>
      </c>
      <c r="D493" s="138" t="s">
        <v>417</v>
      </c>
      <c r="E493" s="118" t="s">
        <v>418</v>
      </c>
      <c r="F493" s="203">
        <v>2468.4</v>
      </c>
      <c r="G493" s="136">
        <v>2</v>
      </c>
      <c r="H493" s="136">
        <v>2</v>
      </c>
      <c r="I493" s="90">
        <f t="shared" si="2"/>
      </c>
      <c r="J493" s="98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</row>
    <row r="494">
      <c r="A494" s="266"/>
      <c r="B494" s="266"/>
      <c r="C494" s="238">
        <v>692639140362300</v>
      </c>
      <c r="D494" s="247" t="s">
        <v>431</v>
      </c>
      <c r="E494" s="272" t="s">
        <v>432</v>
      </c>
      <c r="F494" s="203">
        <v>142.8</v>
      </c>
      <c r="G494" s="136">
        <v>260</v>
      </c>
      <c r="H494" s="136">
        <v>260</v>
      </c>
      <c r="I494" s="90">
        <f t="shared" si="2"/>
      </c>
      <c r="J494" s="98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</row>
    <row r="495">
      <c r="A495" s="266"/>
      <c r="B495" s="266"/>
      <c r="C495" s="238">
        <v>692639140409500</v>
      </c>
      <c r="D495" s="247" t="s">
        <v>339</v>
      </c>
      <c r="E495" s="272" t="s">
        <v>340</v>
      </c>
      <c r="F495" s="203">
        <v>629</v>
      </c>
      <c r="G495" s="136">
        <v>12</v>
      </c>
      <c r="H495" s="136">
        <v>12</v>
      </c>
      <c r="I495" s="90">
        <f t="shared" si="2"/>
      </c>
      <c r="J495" s="98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</row>
    <row r="496">
      <c r="A496" s="266"/>
      <c r="B496" s="266"/>
      <c r="C496" s="238">
        <v>692639141113000</v>
      </c>
      <c r="D496" s="247" t="s">
        <v>543</v>
      </c>
      <c r="E496" s="272" t="s">
        <v>544</v>
      </c>
      <c r="F496" s="203">
        <v>392</v>
      </c>
      <c r="G496" s="136">
        <v>50</v>
      </c>
      <c r="H496" s="136">
        <v>50</v>
      </c>
      <c r="I496" s="90">
        <f t="shared" si="2"/>
      </c>
      <c r="J496" s="98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</row>
    <row r="497">
      <c r="A497" s="266"/>
      <c r="B497" s="266"/>
      <c r="C497" s="238">
        <v>692639140436100</v>
      </c>
      <c r="D497" s="247" t="s">
        <v>295</v>
      </c>
      <c r="E497" s="272" t="s">
        <v>518</v>
      </c>
      <c r="F497" s="203">
        <v>231.2</v>
      </c>
      <c r="G497" s="136">
        <v>130</v>
      </c>
      <c r="H497" s="136">
        <v>130</v>
      </c>
      <c r="I497" s="90">
        <f t="shared" si="2"/>
      </c>
      <c r="J497" s="98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</row>
    <row r="498">
      <c r="A498" s="266"/>
      <c r="B498" s="266"/>
      <c r="C498" s="238">
        <v>692639149974900</v>
      </c>
      <c r="D498" s="247" t="s">
        <v>438</v>
      </c>
      <c r="E498" s="272" t="s">
        <v>439</v>
      </c>
      <c r="F498" s="203">
        <v>435.2</v>
      </c>
      <c r="G498" s="136">
        <v>12</v>
      </c>
      <c r="H498" s="136">
        <v>12</v>
      </c>
      <c r="I498" s="90">
        <f t="shared" si="2"/>
      </c>
      <c r="J498" s="98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</row>
    <row r="499">
      <c r="A499" s="266"/>
      <c r="B499" s="266"/>
      <c r="C499" s="238">
        <v>692639140467500</v>
      </c>
      <c r="D499" s="247" t="s">
        <v>305</v>
      </c>
      <c r="E499" s="272" t="s">
        <v>306</v>
      </c>
      <c r="F499" s="203">
        <v>224.4</v>
      </c>
      <c r="G499" s="136">
        <v>32</v>
      </c>
      <c r="H499" s="136">
        <v>32</v>
      </c>
      <c r="I499" s="90">
        <f t="shared" si="2"/>
      </c>
      <c r="J499" s="98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</row>
    <row r="500">
      <c r="A500" s="266"/>
      <c r="B500" s="266"/>
      <c r="C500" s="238">
        <v>692639140333300</v>
      </c>
      <c r="D500" s="247" t="s">
        <v>343</v>
      </c>
      <c r="E500" s="272" t="s">
        <v>344</v>
      </c>
      <c r="F500" s="203">
        <v>80.92</v>
      </c>
      <c r="G500" s="136">
        <v>96</v>
      </c>
      <c r="H500" s="136">
        <v>96</v>
      </c>
      <c r="I500" s="90">
        <f t="shared" si="2"/>
      </c>
      <c r="J500" s="98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</row>
    <row r="501">
      <c r="A501" s="266"/>
      <c r="B501" s="266"/>
      <c r="C501" s="238">
        <v>692639140437800</v>
      </c>
      <c r="D501" s="247" t="s">
        <v>461</v>
      </c>
      <c r="E501" s="272" t="s">
        <v>462</v>
      </c>
      <c r="F501" s="203">
        <v>221</v>
      </c>
      <c r="G501" s="136">
        <v>20</v>
      </c>
      <c r="H501" s="136">
        <v>20</v>
      </c>
      <c r="I501" s="90">
        <f t="shared" si="2"/>
      </c>
      <c r="J501" s="98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</row>
    <row r="502">
      <c r="A502" s="266"/>
      <c r="B502" s="266"/>
      <c r="C502" s="238">
        <v>692639140410100</v>
      </c>
      <c r="D502" s="247" t="s">
        <v>347</v>
      </c>
      <c r="E502" s="272" t="s">
        <v>348</v>
      </c>
      <c r="F502" s="203">
        <v>400.86</v>
      </c>
      <c r="G502" s="136">
        <v>6</v>
      </c>
      <c r="H502" s="136">
        <v>6</v>
      </c>
      <c r="I502" s="90">
        <f t="shared" si="2"/>
      </c>
      <c r="J502" s="98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</row>
    <row r="503">
      <c r="A503" s="266"/>
      <c r="B503" s="266"/>
      <c r="C503" s="238">
        <v>692639140331900</v>
      </c>
      <c r="D503" s="247" t="s">
        <v>355</v>
      </c>
      <c r="E503" s="272" t="s">
        <v>356</v>
      </c>
      <c r="F503" s="203">
        <v>1752</v>
      </c>
      <c r="G503" s="136">
        <v>1</v>
      </c>
      <c r="H503" s="136">
        <v>1</v>
      </c>
      <c r="I503" s="90">
        <f t="shared" si="2"/>
      </c>
      <c r="J503" s="98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</row>
    <row r="504">
      <c r="A504" s="266"/>
      <c r="B504" s="266"/>
      <c r="C504" s="238">
        <v>692639140234300</v>
      </c>
      <c r="D504" s="247" t="s">
        <v>371</v>
      </c>
      <c r="E504" s="272" t="s">
        <v>555</v>
      </c>
      <c r="F504" s="203">
        <v>142.8</v>
      </c>
      <c r="G504" s="136">
        <v>5</v>
      </c>
      <c r="H504" s="136">
        <v>5</v>
      </c>
      <c r="I504" s="90">
        <f t="shared" si="2"/>
      </c>
      <c r="J504" s="98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</row>
    <row r="505">
      <c r="A505" s="266"/>
      <c r="B505" s="266"/>
      <c r="C505" s="238">
        <v>692639140112400</v>
      </c>
      <c r="D505" s="247" t="s">
        <v>353</v>
      </c>
      <c r="E505" s="272" t="s">
        <v>354</v>
      </c>
      <c r="F505" s="203">
        <v>108.8</v>
      </c>
      <c r="G505" s="136">
        <v>3</v>
      </c>
      <c r="H505" s="136">
        <v>3</v>
      </c>
      <c r="I505" s="90">
        <f t="shared" si="2"/>
      </c>
      <c r="J505" s="98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</row>
    <row r="506">
      <c r="A506" s="266"/>
      <c r="B506" s="266"/>
      <c r="C506" s="238">
        <v>692639140254100</v>
      </c>
      <c r="D506" s="247" t="s">
        <v>403</v>
      </c>
      <c r="E506" s="272" t="s">
        <v>404</v>
      </c>
      <c r="F506" s="203">
        <v>408</v>
      </c>
      <c r="G506" s="136">
        <v>12</v>
      </c>
      <c r="H506" s="136">
        <v>12</v>
      </c>
      <c r="I506" s="90">
        <f t="shared" si="2"/>
      </c>
      <c r="J506" s="98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</row>
    <row r="507">
      <c r="A507" s="266"/>
      <c r="B507" s="266"/>
      <c r="C507" s="117">
        <v>692639141111600</v>
      </c>
      <c r="D507" s="138" t="s">
        <v>545</v>
      </c>
      <c r="E507" s="118" t="s">
        <v>546</v>
      </c>
      <c r="F507" s="203">
        <v>272</v>
      </c>
      <c r="G507" s="136">
        <v>10</v>
      </c>
      <c r="H507" s="136">
        <v>10</v>
      </c>
      <c r="I507" s="90">
        <f t="shared" si="2"/>
      </c>
      <c r="J507" s="98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</row>
    <row r="508">
      <c r="A508" s="266"/>
      <c r="B508" s="266"/>
      <c r="C508" s="255">
        <v>2508050002</v>
      </c>
      <c r="D508" s="273" t="s">
        <v>540</v>
      </c>
      <c r="E508" s="274" t="s">
        <v>541</v>
      </c>
      <c r="F508" s="257">
        <v>0</v>
      </c>
      <c r="G508" s="204">
        <v>2</v>
      </c>
      <c r="H508" s="204">
        <v>2</v>
      </c>
      <c r="I508" s="90">
        <f t="shared" si="2"/>
      </c>
      <c r="J508" s="98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</row>
    <row r="509">
      <c r="A509" s="266"/>
      <c r="B509" s="266"/>
      <c r="C509" s="254">
        <v>2508050004</v>
      </c>
      <c r="D509" s="255" t="s">
        <v>577</v>
      </c>
      <c r="E509" s="256" t="s">
        <v>578</v>
      </c>
      <c r="F509" s="257">
        <v>0</v>
      </c>
      <c r="G509" s="204">
        <v>6</v>
      </c>
      <c r="H509" s="204">
        <v>6</v>
      </c>
      <c r="I509" s="90">
        <f t="shared" si="2"/>
      </c>
      <c r="J509" s="98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</row>
    <row r="510">
      <c r="A510" s="266"/>
      <c r="B510" s="266"/>
      <c r="C510" s="275">
        <v>2508050001</v>
      </c>
      <c r="D510" s="276" t="s">
        <v>540</v>
      </c>
      <c r="E510" s="277" t="s">
        <v>564</v>
      </c>
      <c r="F510" s="278">
        <v>0</v>
      </c>
      <c r="G510" s="204">
        <v>13</v>
      </c>
      <c r="H510" s="204">
        <v>13</v>
      </c>
      <c r="I510" s="90">
        <f t="shared" si="2"/>
      </c>
      <c r="J510" s="98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</row>
    <row r="511">
      <c r="A511" s="266" t="s">
        <v>602</v>
      </c>
      <c r="B511" s="266">
        <v>46086</v>
      </c>
      <c r="C511" s="279">
        <v>692639140452100</v>
      </c>
      <c r="D511" s="118" t="s">
        <v>471</v>
      </c>
      <c r="E511" s="280" t="s">
        <v>472</v>
      </c>
      <c r="F511" s="203">
        <v>119</v>
      </c>
      <c r="G511" s="204">
        <v>60</v>
      </c>
      <c r="H511" s="89">
        <v>60</v>
      </c>
      <c r="I511" s="90">
        <f t="shared" si="2"/>
      </c>
      <c r="J511" s="98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</row>
    <row r="512">
      <c r="A512" s="266" t="s">
        <v>603</v>
      </c>
      <c r="B512" s="266">
        <v>46087</v>
      </c>
      <c r="C512" s="94">
        <v>697884024007500</v>
      </c>
      <c r="D512" s="84" t="s">
        <v>604</v>
      </c>
      <c r="E512" s="86" t="s">
        <v>605</v>
      </c>
      <c r="F512" s="110">
        <v>200</v>
      </c>
      <c r="G512" s="204">
        <v>200</v>
      </c>
      <c r="H512" s="89">
        <v>200</v>
      </c>
      <c r="I512" s="90">
        <f t="shared" si="2"/>
      </c>
      <c r="J512" s="98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</row>
    <row r="513">
      <c r="A513" s="266" t="s">
        <v>606</v>
      </c>
      <c r="B513" s="266">
        <v>46093</v>
      </c>
      <c r="C513" s="279">
        <v>692639140469900</v>
      </c>
      <c r="D513" s="118" t="s">
        <v>309</v>
      </c>
      <c r="E513" s="280" t="s">
        <v>310</v>
      </c>
      <c r="F513" s="203">
        <v>1252.9</v>
      </c>
      <c r="G513" s="115">
        <v>3</v>
      </c>
      <c r="H513" s="115">
        <v>3</v>
      </c>
      <c r="I513" s="90">
        <f t="shared" si="2"/>
      </c>
      <c r="J513" s="98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</row>
    <row r="514">
      <c r="A514" s="266"/>
      <c r="B514" s="266"/>
      <c r="C514" s="279">
        <v>692639140234300</v>
      </c>
      <c r="D514" s="118" t="s">
        <v>371</v>
      </c>
      <c r="E514" s="280" t="s">
        <v>555</v>
      </c>
      <c r="F514" s="203">
        <v>142.8</v>
      </c>
      <c r="G514" s="115">
        <v>30</v>
      </c>
      <c r="H514" s="115">
        <v>30</v>
      </c>
      <c r="I514" s="90">
        <f t="shared" si="2"/>
      </c>
      <c r="J514" s="98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</row>
    <row r="515">
      <c r="A515" s="266"/>
      <c r="B515" s="266"/>
      <c r="C515" s="279">
        <v>692639140349400</v>
      </c>
      <c r="D515" s="118" t="s">
        <v>359</v>
      </c>
      <c r="E515" s="280" t="s">
        <v>360</v>
      </c>
      <c r="F515" s="203">
        <v>469.2</v>
      </c>
      <c r="G515" s="115">
        <v>20</v>
      </c>
      <c r="H515" s="115">
        <v>20</v>
      </c>
      <c r="I515" s="90">
        <f t="shared" si="2"/>
      </c>
      <c r="J515" s="98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</row>
    <row r="516">
      <c r="A516" s="266"/>
      <c r="B516" s="266"/>
      <c r="C516" s="279">
        <v>692639140423100</v>
      </c>
      <c r="D516" s="118" t="s">
        <v>465</v>
      </c>
      <c r="E516" s="280" t="s">
        <v>466</v>
      </c>
      <c r="F516" s="203">
        <v>6421.92</v>
      </c>
      <c r="G516" s="115">
        <v>2</v>
      </c>
      <c r="H516" s="115">
        <v>2</v>
      </c>
      <c r="I516" s="90">
        <f t="shared" si="2"/>
      </c>
      <c r="J516" s="98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</row>
    <row r="517">
      <c r="A517" s="266"/>
      <c r="B517" s="266"/>
      <c r="C517" s="279">
        <v>692639140452100</v>
      </c>
      <c r="D517" s="118" t="s">
        <v>471</v>
      </c>
      <c r="E517" s="280" t="s">
        <v>472</v>
      </c>
      <c r="F517" s="203">
        <v>119</v>
      </c>
      <c r="G517" s="115">
        <v>36</v>
      </c>
      <c r="H517" s="115">
        <v>36</v>
      </c>
      <c r="I517" s="90">
        <f t="shared" si="2"/>
      </c>
      <c r="J517" s="98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</row>
    <row r="518">
      <c r="A518" s="266"/>
      <c r="B518" s="266"/>
      <c r="C518" s="279">
        <v>692639140450700</v>
      </c>
      <c r="D518" s="118" t="s">
        <v>467</v>
      </c>
      <c r="E518" s="280" t="s">
        <v>468</v>
      </c>
      <c r="F518" s="203">
        <v>1360</v>
      </c>
      <c r="G518" s="115">
        <v>6</v>
      </c>
      <c r="H518" s="115">
        <v>6</v>
      </c>
      <c r="I518" s="90">
        <f t="shared" si="2"/>
      </c>
      <c r="J518" s="98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</row>
    <row r="519">
      <c r="A519" s="266"/>
      <c r="B519" s="266"/>
      <c r="C519" s="279">
        <v>692639140080600</v>
      </c>
      <c r="D519" s="118" t="s">
        <v>429</v>
      </c>
      <c r="E519" s="280" t="s">
        <v>430</v>
      </c>
      <c r="F519" s="203">
        <v>130.9</v>
      </c>
      <c r="G519" s="115">
        <v>5</v>
      </c>
      <c r="H519" s="115">
        <v>5</v>
      </c>
      <c r="I519" s="90">
        <f t="shared" si="2"/>
      </c>
      <c r="J519" s="98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</row>
    <row r="520">
      <c r="A520" s="266"/>
      <c r="B520" s="266"/>
      <c r="C520" s="279">
        <v>692639140451400</v>
      </c>
      <c r="D520" s="118" t="s">
        <v>469</v>
      </c>
      <c r="E520" s="280" t="s">
        <v>470</v>
      </c>
      <c r="F520" s="203">
        <v>204</v>
      </c>
      <c r="G520" s="115">
        <v>60</v>
      </c>
      <c r="H520" s="115">
        <v>60</v>
      </c>
      <c r="I520" s="90">
        <f t="shared" si="2"/>
      </c>
      <c r="J520" s="98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</row>
    <row r="521">
      <c r="A521" s="266"/>
      <c r="B521" s="266"/>
      <c r="C521" s="279">
        <v>692639140467500</v>
      </c>
      <c r="D521" s="118" t="s">
        <v>305</v>
      </c>
      <c r="E521" s="280" t="s">
        <v>306</v>
      </c>
      <c r="F521" s="203">
        <v>224.4</v>
      </c>
      <c r="G521" s="115">
        <v>23</v>
      </c>
      <c r="H521" s="115">
        <v>23</v>
      </c>
      <c r="I521" s="90">
        <f t="shared" si="2"/>
      </c>
      <c r="J521" s="98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</row>
    <row r="522">
      <c r="A522" s="266"/>
      <c r="B522" s="266"/>
      <c r="C522" s="279">
        <v>692639140470500</v>
      </c>
      <c r="D522" s="118" t="s">
        <v>311</v>
      </c>
      <c r="E522" s="280" t="s">
        <v>312</v>
      </c>
      <c r="F522" s="203">
        <v>78.2</v>
      </c>
      <c r="G522" s="115">
        <v>32</v>
      </c>
      <c r="H522" s="115">
        <v>32</v>
      </c>
      <c r="I522" s="90">
        <f t="shared" si="2"/>
      </c>
      <c r="J522" s="98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</row>
    <row r="523">
      <c r="A523" s="266"/>
      <c r="B523" s="266"/>
      <c r="C523" s="279">
        <v>692639140254100</v>
      </c>
      <c r="D523" s="118" t="s">
        <v>403</v>
      </c>
      <c r="E523" s="280" t="s">
        <v>404</v>
      </c>
      <c r="F523" s="203">
        <v>408</v>
      </c>
      <c r="G523" s="115">
        <v>36</v>
      </c>
      <c r="H523" s="115">
        <v>36</v>
      </c>
      <c r="I523" s="90">
        <f t="shared" si="2"/>
      </c>
      <c r="J523" s="98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</row>
    <row r="524">
      <c r="A524" s="266"/>
      <c r="B524" s="266"/>
      <c r="C524" s="279">
        <v>692639140458300</v>
      </c>
      <c r="D524" s="118" t="s">
        <v>303</v>
      </c>
      <c r="E524" s="280" t="s">
        <v>304</v>
      </c>
      <c r="F524" s="203">
        <v>238</v>
      </c>
      <c r="G524" s="115">
        <v>15</v>
      </c>
      <c r="H524" s="115">
        <v>15</v>
      </c>
      <c r="I524" s="90">
        <f t="shared" si="2"/>
      </c>
      <c r="J524" s="98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</row>
    <row r="525">
      <c r="A525" s="266"/>
      <c r="B525" s="266"/>
      <c r="C525" s="279">
        <v>692639149810000</v>
      </c>
      <c r="D525" s="118" t="s">
        <v>365</v>
      </c>
      <c r="E525" s="280" t="s">
        <v>366</v>
      </c>
      <c r="F525" s="203">
        <v>700.4</v>
      </c>
      <c r="G525" s="115">
        <v>2</v>
      </c>
      <c r="H525" s="115">
        <v>2</v>
      </c>
      <c r="I525" s="90">
        <f t="shared" si="2"/>
      </c>
      <c r="J525" s="98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</row>
    <row r="526">
      <c r="A526" s="266"/>
      <c r="B526" s="266"/>
      <c r="C526" s="279">
        <v>692639140405700</v>
      </c>
      <c r="D526" s="191" t="s">
        <v>391</v>
      </c>
      <c r="E526" s="280" t="s">
        <v>392</v>
      </c>
      <c r="F526" s="203">
        <v>216.92</v>
      </c>
      <c r="G526" s="115">
        <v>1</v>
      </c>
      <c r="H526" s="115">
        <v>1</v>
      </c>
      <c r="I526" s="90">
        <f t="shared" si="2"/>
      </c>
      <c r="J526" s="98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</row>
    <row r="527">
      <c r="A527" s="266"/>
      <c r="B527" s="266"/>
      <c r="C527" s="106">
        <v>2508050004</v>
      </c>
      <c r="D527" s="206" t="s">
        <v>540</v>
      </c>
      <c r="E527" s="148" t="s">
        <v>558</v>
      </c>
      <c r="F527" s="207">
        <v>0</v>
      </c>
      <c r="G527" s="182">
        <v>1</v>
      </c>
      <c r="H527" s="182">
        <v>1</v>
      </c>
      <c r="I527" s="207">
        <f>G527*F527</f>
      </c>
      <c r="J527" s="98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</row>
    <row r="528">
      <c r="A528" s="266" t="s">
        <v>607</v>
      </c>
      <c r="B528" s="266">
        <v>46094</v>
      </c>
      <c r="C528" s="281">
        <v>2503110001</v>
      </c>
      <c r="D528" s="282"/>
      <c r="E528" s="283" t="s">
        <v>608</v>
      </c>
      <c r="F528" s="110">
        <v>0</v>
      </c>
      <c r="G528" s="204">
        <v>10</v>
      </c>
      <c r="H528" s="204">
        <v>10</v>
      </c>
      <c r="I528" s="90">
        <f t="shared" ref="I528:I557" si="3">F528*G528</f>
      </c>
      <c r="J528" s="98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</row>
    <row r="529">
      <c r="A529" s="93"/>
      <c r="B529" s="93"/>
      <c r="C529" s="281">
        <v>2503110002</v>
      </c>
      <c r="D529" s="282"/>
      <c r="E529" s="283" t="s">
        <v>609</v>
      </c>
      <c r="F529" s="110">
        <v>0</v>
      </c>
      <c r="G529" s="204">
        <v>50</v>
      </c>
      <c r="H529" s="204">
        <v>50</v>
      </c>
      <c r="I529" s="90">
        <f t="shared" si="3"/>
      </c>
      <c r="J529" s="98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</row>
    <row r="530">
      <c r="A530" s="266" t="s">
        <v>610</v>
      </c>
      <c r="B530" s="266">
        <v>46104</v>
      </c>
      <c r="C530" s="279">
        <v>692639140234300</v>
      </c>
      <c r="D530" s="118" t="s">
        <v>371</v>
      </c>
      <c r="E530" s="280" t="s">
        <v>555</v>
      </c>
      <c r="F530" s="90">
        <v>142.8</v>
      </c>
      <c r="G530" s="115">
        <v>16</v>
      </c>
      <c r="H530" s="115">
        <v>16</v>
      </c>
      <c r="I530" s="90">
        <f t="shared" si="3"/>
      </c>
      <c r="J530" s="98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</row>
    <row r="531">
      <c r="A531" s="266"/>
      <c r="B531" s="266"/>
      <c r="C531" s="279">
        <v>697884024020400</v>
      </c>
      <c r="D531" s="118" t="s">
        <v>537</v>
      </c>
      <c r="E531" s="118" t="s">
        <v>538</v>
      </c>
      <c r="F531" s="90">
        <v>299.2</v>
      </c>
      <c r="G531" s="115">
        <v>4</v>
      </c>
      <c r="H531" s="115">
        <v>4</v>
      </c>
      <c r="I531" s="90">
        <f t="shared" si="3"/>
      </c>
      <c r="J531" s="98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</row>
    <row r="532">
      <c r="A532" s="266"/>
      <c r="B532" s="266"/>
      <c r="C532" s="279">
        <v>692639140450700</v>
      </c>
      <c r="D532" s="118" t="s">
        <v>467</v>
      </c>
      <c r="E532" s="280" t="s">
        <v>468</v>
      </c>
      <c r="F532" s="90">
        <v>1360</v>
      </c>
      <c r="G532" s="115">
        <v>18</v>
      </c>
      <c r="H532" s="115">
        <v>18</v>
      </c>
      <c r="I532" s="90">
        <f t="shared" si="3"/>
      </c>
      <c r="J532" s="98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</row>
    <row r="533">
      <c r="A533" s="266"/>
      <c r="B533" s="266"/>
      <c r="C533" s="279">
        <v>692639140451400</v>
      </c>
      <c r="D533" s="118" t="s">
        <v>469</v>
      </c>
      <c r="E533" s="280" t="s">
        <v>470</v>
      </c>
      <c r="F533" s="90">
        <v>204</v>
      </c>
      <c r="G533" s="115">
        <v>90</v>
      </c>
      <c r="H533" s="115">
        <v>90</v>
      </c>
      <c r="I533" s="90">
        <f t="shared" si="3"/>
      </c>
      <c r="J533" s="98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</row>
    <row r="534">
      <c r="A534" s="266"/>
      <c r="B534" s="266"/>
      <c r="C534" s="279">
        <v>692639140467500</v>
      </c>
      <c r="D534" s="118" t="s">
        <v>305</v>
      </c>
      <c r="E534" s="280" t="s">
        <v>306</v>
      </c>
      <c r="F534" s="90">
        <v>224.4</v>
      </c>
      <c r="G534" s="115">
        <v>34</v>
      </c>
      <c r="H534" s="115">
        <v>34</v>
      </c>
      <c r="I534" s="90">
        <f t="shared" si="3"/>
      </c>
      <c r="J534" s="98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</row>
    <row r="535">
      <c r="A535" s="266"/>
      <c r="B535" s="266"/>
      <c r="C535" s="279">
        <v>692639140452100</v>
      </c>
      <c r="D535" s="118" t="s">
        <v>471</v>
      </c>
      <c r="E535" s="280" t="s">
        <v>472</v>
      </c>
      <c r="F535" s="90">
        <v>119</v>
      </c>
      <c r="G535" s="115">
        <v>42</v>
      </c>
      <c r="H535" s="115">
        <v>42</v>
      </c>
      <c r="I535" s="90">
        <f t="shared" si="3"/>
      </c>
      <c r="J535" s="98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</row>
    <row r="536">
      <c r="A536" s="266"/>
      <c r="B536" s="266"/>
      <c r="C536" s="279">
        <v>692639140349400</v>
      </c>
      <c r="D536" s="118" t="s">
        <v>359</v>
      </c>
      <c r="E536" s="280" t="s">
        <v>360</v>
      </c>
      <c r="F536" s="90">
        <v>469.2</v>
      </c>
      <c r="G536" s="115">
        <v>5</v>
      </c>
      <c r="H536" s="115">
        <v>5</v>
      </c>
      <c r="I536" s="90">
        <f t="shared" si="3"/>
      </c>
      <c r="J536" s="98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</row>
    <row r="537">
      <c r="A537" s="266"/>
      <c r="B537" s="266"/>
      <c r="C537" s="279">
        <v>692639140470500</v>
      </c>
      <c r="D537" s="118" t="s">
        <v>311</v>
      </c>
      <c r="E537" s="280" t="s">
        <v>312</v>
      </c>
      <c r="F537" s="90">
        <v>78.2</v>
      </c>
      <c r="G537" s="115">
        <v>48</v>
      </c>
      <c r="H537" s="115">
        <v>48</v>
      </c>
      <c r="I537" s="90">
        <f t="shared" si="3"/>
      </c>
      <c r="J537" s="98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</row>
    <row r="538">
      <c r="A538" s="266"/>
      <c r="B538" s="266"/>
      <c r="C538" s="279">
        <v>692639140088200</v>
      </c>
      <c r="D538" s="118" t="s">
        <v>519</v>
      </c>
      <c r="E538" s="280" t="s">
        <v>520</v>
      </c>
      <c r="F538" s="90">
        <v>204</v>
      </c>
      <c r="G538" s="115">
        <v>36</v>
      </c>
      <c r="H538" s="115">
        <v>36</v>
      </c>
      <c r="I538" s="90">
        <f t="shared" si="3"/>
      </c>
      <c r="J538" s="98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</row>
    <row r="539">
      <c r="A539" s="266"/>
      <c r="B539" s="266"/>
      <c r="C539" s="279">
        <v>692639140471200</v>
      </c>
      <c r="D539" s="118" t="s">
        <v>313</v>
      </c>
      <c r="E539" s="280" t="s">
        <v>314</v>
      </c>
      <c r="F539" s="90">
        <v>214.2</v>
      </c>
      <c r="G539" s="115">
        <v>16</v>
      </c>
      <c r="H539" s="115">
        <v>16</v>
      </c>
      <c r="I539" s="90">
        <f t="shared" si="3"/>
      </c>
      <c r="J539" s="98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</row>
    <row r="540">
      <c r="A540" s="266"/>
      <c r="B540" s="266"/>
      <c r="C540" s="279">
        <v>692639140112400</v>
      </c>
      <c r="D540" s="118" t="s">
        <v>353</v>
      </c>
      <c r="E540" s="284" t="s">
        <v>354</v>
      </c>
      <c r="F540" s="90">
        <v>108.8</v>
      </c>
      <c r="G540" s="115">
        <v>18</v>
      </c>
      <c r="H540" s="115">
        <v>18</v>
      </c>
      <c r="I540" s="90">
        <f t="shared" si="3"/>
      </c>
      <c r="J540" s="98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</row>
    <row r="541">
      <c r="A541" s="266"/>
      <c r="B541" s="266"/>
      <c r="C541" s="279">
        <v>692639140469900</v>
      </c>
      <c r="D541" s="118" t="s">
        <v>309</v>
      </c>
      <c r="E541" s="285" t="s">
        <v>310</v>
      </c>
      <c r="F541" s="90">
        <v>1252.9</v>
      </c>
      <c r="G541" s="115">
        <v>4</v>
      </c>
      <c r="H541" s="115">
        <v>4</v>
      </c>
      <c r="I541" s="90">
        <f t="shared" si="3"/>
      </c>
      <c r="J541" s="98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</row>
    <row r="542">
      <c r="A542" s="266" t="s">
        <v>611</v>
      </c>
      <c r="B542" s="266">
        <v>46107</v>
      </c>
      <c r="C542" s="94">
        <v>692639140199500</v>
      </c>
      <c r="D542" s="84" t="s">
        <v>385</v>
      </c>
      <c r="E542" s="86" t="s">
        <v>386</v>
      </c>
      <c r="F542" s="90">
        <v>130</v>
      </c>
      <c r="G542" s="115">
        <v>776</v>
      </c>
      <c r="H542" s="115">
        <v>776</v>
      </c>
      <c r="I542" s="90">
        <f t="shared" si="3"/>
      </c>
      <c r="J542" s="98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</row>
    <row r="543">
      <c r="A543" s="93"/>
      <c r="B543" s="93"/>
      <c r="C543" s="94">
        <v>692639140197100</v>
      </c>
      <c r="D543" s="84" t="s">
        <v>387</v>
      </c>
      <c r="E543" s="86" t="s">
        <v>388</v>
      </c>
      <c r="F543" s="90">
        <v>255</v>
      </c>
      <c r="G543" s="115">
        <v>348</v>
      </c>
      <c r="H543" s="115">
        <v>348</v>
      </c>
      <c r="I543" s="90">
        <f t="shared" si="3"/>
      </c>
      <c r="J543" s="98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</row>
    <row r="544">
      <c r="A544" s="93"/>
      <c r="B544" s="93"/>
      <c r="C544" s="94">
        <v>692639140358600</v>
      </c>
      <c r="D544" s="84" t="s">
        <v>393</v>
      </c>
      <c r="E544" s="86" t="s">
        <v>394</v>
      </c>
      <c r="F544" s="90">
        <v>365</v>
      </c>
      <c r="G544" s="115">
        <v>73</v>
      </c>
      <c r="H544" s="115">
        <v>73</v>
      </c>
      <c r="I544" s="90">
        <f t="shared" si="3"/>
      </c>
      <c r="J544" s="98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</row>
    <row r="545">
      <c r="A545" s="93"/>
      <c r="B545" s="93"/>
      <c r="C545" s="94">
        <v>692639140234300</v>
      </c>
      <c r="D545" s="84" t="s">
        <v>371</v>
      </c>
      <c r="E545" s="86" t="s">
        <v>372</v>
      </c>
      <c r="F545" s="90">
        <v>148</v>
      </c>
      <c r="G545" s="115">
        <v>65</v>
      </c>
      <c r="H545" s="115">
        <v>65</v>
      </c>
      <c r="I545" s="90">
        <f t="shared" si="3"/>
      </c>
      <c r="J545" s="98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</row>
    <row r="546">
      <c r="A546" s="93"/>
      <c r="B546" s="93"/>
      <c r="C546" s="94">
        <v>692639149929900</v>
      </c>
      <c r="D546" s="84" t="s">
        <v>361</v>
      </c>
      <c r="E546" s="86" t="s">
        <v>362</v>
      </c>
      <c r="F546" s="90">
        <v>160</v>
      </c>
      <c r="G546" s="115">
        <v>42</v>
      </c>
      <c r="H546" s="115">
        <v>42</v>
      </c>
      <c r="I546" s="90">
        <f t="shared" si="3"/>
      </c>
      <c r="J546" s="98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</row>
    <row r="547">
      <c r="A547" s="93"/>
      <c r="B547" s="93"/>
      <c r="C547" s="94">
        <v>692639149923700</v>
      </c>
      <c r="D547" s="84" t="s">
        <v>612</v>
      </c>
      <c r="E547" s="86" t="s">
        <v>613</v>
      </c>
      <c r="F547" s="90">
        <v>166</v>
      </c>
      <c r="G547" s="115">
        <v>27</v>
      </c>
      <c r="H547" s="115">
        <v>27</v>
      </c>
      <c r="I547" s="90">
        <f t="shared" si="3"/>
      </c>
      <c r="J547" s="98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</row>
    <row r="548">
      <c r="A548" s="93"/>
      <c r="B548" s="93"/>
      <c r="C548" s="94">
        <v>692639140167400</v>
      </c>
      <c r="D548" s="84" t="s">
        <v>614</v>
      </c>
      <c r="E548" s="86" t="s">
        <v>615</v>
      </c>
      <c r="F548" s="90">
        <v>2800</v>
      </c>
      <c r="G548" s="115">
        <v>11</v>
      </c>
      <c r="H548" s="115">
        <v>11</v>
      </c>
      <c r="I548" s="90">
        <f t="shared" si="3"/>
      </c>
      <c r="J548" s="98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</row>
    <row r="549">
      <c r="A549" s="93"/>
      <c r="B549" s="93"/>
      <c r="C549" s="94">
        <v>692639140331900</v>
      </c>
      <c r="D549" s="84" t="s">
        <v>355</v>
      </c>
      <c r="E549" s="86" t="s">
        <v>356</v>
      </c>
      <c r="F549" s="90">
        <v>1300</v>
      </c>
      <c r="G549" s="115">
        <v>6</v>
      </c>
      <c r="H549" s="115">
        <v>6</v>
      </c>
      <c r="I549" s="90">
        <f t="shared" si="3"/>
      </c>
      <c r="J549" s="98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</row>
    <row r="550">
      <c r="A550" s="93"/>
      <c r="B550" s="93"/>
      <c r="C550" s="94">
        <v>2508080001</v>
      </c>
      <c r="D550" s="84" t="s">
        <v>475</v>
      </c>
      <c r="E550" s="86" t="s">
        <v>476</v>
      </c>
      <c r="F550" s="90">
        <v>200</v>
      </c>
      <c r="G550" s="115">
        <v>78</v>
      </c>
      <c r="H550" s="115">
        <v>78</v>
      </c>
      <c r="I550" s="90">
        <f t="shared" si="3"/>
      </c>
      <c r="J550" s="98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</row>
    <row r="551">
      <c r="A551" s="93"/>
      <c r="B551" s="93"/>
      <c r="C551" s="94">
        <v>692639140261900</v>
      </c>
      <c r="D551" s="84" t="s">
        <v>616</v>
      </c>
      <c r="E551" s="86" t="s">
        <v>617</v>
      </c>
      <c r="F551" s="90">
        <v>408</v>
      </c>
      <c r="G551" s="115">
        <v>229</v>
      </c>
      <c r="H551" s="115">
        <v>229</v>
      </c>
      <c r="I551" s="90">
        <f t="shared" si="3"/>
      </c>
      <c r="J551" s="98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</row>
    <row r="552">
      <c r="A552" s="93"/>
      <c r="B552" s="93"/>
      <c r="C552" s="94">
        <v>692639141052200</v>
      </c>
      <c r="D552" s="84" t="s">
        <v>618</v>
      </c>
      <c r="E552" s="86" t="s">
        <v>619</v>
      </c>
      <c r="F552" s="90">
        <v>80</v>
      </c>
      <c r="G552" s="115">
        <v>2600</v>
      </c>
      <c r="H552" s="115">
        <v>2600</v>
      </c>
      <c r="I552" s="90">
        <f t="shared" si="3"/>
      </c>
      <c r="J552" s="98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</row>
    <row r="553">
      <c r="A553" s="266" t="s">
        <v>620</v>
      </c>
      <c r="B553" s="266">
        <v>46114</v>
      </c>
      <c r="C553" s="279">
        <v>692639140454500</v>
      </c>
      <c r="D553" s="118" t="s">
        <v>299</v>
      </c>
      <c r="E553" s="280" t="s">
        <v>300</v>
      </c>
      <c r="F553" s="203">
        <v>401.2</v>
      </c>
      <c r="G553" s="286">
        <v>30</v>
      </c>
      <c r="H553" s="286">
        <v>30</v>
      </c>
      <c r="I553" s="90">
        <f t="shared" si="3"/>
      </c>
      <c r="J553" s="98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</row>
    <row r="554">
      <c r="A554" s="266"/>
      <c r="B554" s="266"/>
      <c r="C554" s="279">
        <v>692639140473600</v>
      </c>
      <c r="D554" s="118" t="s">
        <v>297</v>
      </c>
      <c r="E554" s="280" t="s">
        <v>576</v>
      </c>
      <c r="F554" s="203">
        <v>114.92</v>
      </c>
      <c r="G554" s="286">
        <v>100</v>
      </c>
      <c r="H554" s="286">
        <v>100</v>
      </c>
      <c r="I554" s="90">
        <f t="shared" si="3"/>
      </c>
      <c r="J554" s="98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</row>
    <row r="555">
      <c r="A555" s="266"/>
      <c r="B555" s="266"/>
      <c r="C555" s="279">
        <v>692639140088200</v>
      </c>
      <c r="D555" s="118" t="s">
        <v>519</v>
      </c>
      <c r="E555" s="280" t="s">
        <v>520</v>
      </c>
      <c r="F555" s="203">
        <v>204</v>
      </c>
      <c r="G555" s="286">
        <v>112</v>
      </c>
      <c r="H555" s="286">
        <v>112</v>
      </c>
      <c r="I555" s="90">
        <f t="shared" si="3"/>
      </c>
      <c r="J555" s="98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</row>
    <row r="556">
      <c r="A556" s="266"/>
      <c r="B556" s="266"/>
      <c r="C556" s="279">
        <v>692639140234300</v>
      </c>
      <c r="D556" s="118" t="s">
        <v>371</v>
      </c>
      <c r="E556" s="280" t="s">
        <v>555</v>
      </c>
      <c r="F556" s="203">
        <v>142.8</v>
      </c>
      <c r="G556" s="286">
        <v>10</v>
      </c>
      <c r="H556" s="286">
        <v>10</v>
      </c>
      <c r="I556" s="90">
        <f t="shared" si="3"/>
      </c>
      <c r="J556" s="98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</row>
    <row r="557">
      <c r="A557" s="266"/>
      <c r="B557" s="266"/>
      <c r="C557" s="279">
        <v>692639140451400</v>
      </c>
      <c r="D557" s="118" t="s">
        <v>469</v>
      </c>
      <c r="E557" s="280" t="s">
        <v>470</v>
      </c>
      <c r="F557" s="203">
        <v>204</v>
      </c>
      <c r="G557" s="286">
        <v>54</v>
      </c>
      <c r="H557" s="286">
        <v>54</v>
      </c>
      <c r="I557" s="90">
        <f t="shared" si="3"/>
      </c>
      <c r="J557" s="98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</row>
    <row r="558">
      <c r="A558" s="266"/>
      <c r="B558" s="266"/>
      <c r="C558" s="106">
        <v>2508050002</v>
      </c>
      <c r="D558" s="206" t="s">
        <v>540</v>
      </c>
      <c r="E558" s="148" t="s">
        <v>541</v>
      </c>
      <c r="F558" s="207">
        <v>0</v>
      </c>
      <c r="G558" s="182">
        <v>3</v>
      </c>
      <c r="H558" s="182">
        <v>3</v>
      </c>
      <c r="I558" s="207">
        <f t="shared" ref="I558:I565" si="10">G558*F558</f>
      </c>
      <c r="J558" s="98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</row>
    <row r="559">
      <c r="A559" s="266" t="s">
        <v>621</v>
      </c>
      <c r="B559" s="266">
        <v>46128</v>
      </c>
      <c r="C559" s="279">
        <v>692639140469900</v>
      </c>
      <c r="D559" s="118" t="s">
        <v>309</v>
      </c>
      <c r="E559" s="280" t="s">
        <v>310</v>
      </c>
      <c r="F559" s="203">
        <v>1252.9</v>
      </c>
      <c r="G559" s="286">
        <v>8</v>
      </c>
      <c r="H559" s="286">
        <v>8</v>
      </c>
      <c r="I559" s="240">
        <f t="shared" si="10"/>
      </c>
      <c r="J559" s="98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</row>
    <row r="560">
      <c r="A560" s="266"/>
      <c r="B560" s="266"/>
      <c r="C560" s="279">
        <v>697884024077800</v>
      </c>
      <c r="D560" s="118" t="s">
        <v>299</v>
      </c>
      <c r="E560" s="287" t="s">
        <v>300</v>
      </c>
      <c r="F560" s="203">
        <v>401.2</v>
      </c>
      <c r="G560" s="286">
        <v>24</v>
      </c>
      <c r="H560" s="286">
        <v>24</v>
      </c>
      <c r="I560" s="240">
        <f t="shared" si="10"/>
      </c>
      <c r="J560" s="98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</row>
    <row r="561">
      <c r="A561" s="266"/>
      <c r="B561" s="266"/>
      <c r="C561" s="279">
        <v>692639140418700</v>
      </c>
      <c r="D561" s="118" t="s">
        <v>379</v>
      </c>
      <c r="E561" s="280" t="s">
        <v>622</v>
      </c>
      <c r="F561" s="203">
        <v>84.66</v>
      </c>
      <c r="G561" s="286">
        <v>20</v>
      </c>
      <c r="H561" s="286">
        <v>20</v>
      </c>
      <c r="I561" s="240">
        <f t="shared" si="10"/>
      </c>
      <c r="J561" s="98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</row>
    <row r="562">
      <c r="A562" s="266"/>
      <c r="B562" s="266"/>
      <c r="C562" s="279">
        <v>692639140473600</v>
      </c>
      <c r="D562" s="118" t="s">
        <v>297</v>
      </c>
      <c r="E562" s="280" t="s">
        <v>576</v>
      </c>
      <c r="F562" s="203">
        <v>114.92</v>
      </c>
      <c r="G562" s="286">
        <v>60</v>
      </c>
      <c r="H562" s="286">
        <v>60</v>
      </c>
      <c r="I562" s="240">
        <f t="shared" si="10"/>
      </c>
      <c r="J562" s="98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</row>
    <row r="563">
      <c r="A563" s="266"/>
      <c r="B563" s="266"/>
      <c r="C563" s="279">
        <v>692639140088200</v>
      </c>
      <c r="D563" s="118" t="s">
        <v>519</v>
      </c>
      <c r="E563" s="280" t="s">
        <v>520</v>
      </c>
      <c r="F563" s="203">
        <v>204</v>
      </c>
      <c r="G563" s="286">
        <v>120</v>
      </c>
      <c r="H563" s="286">
        <v>120</v>
      </c>
      <c r="I563" s="240">
        <f t="shared" si="10"/>
      </c>
      <c r="J563" s="98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</row>
    <row r="564">
      <c r="A564" s="266"/>
      <c r="B564" s="266"/>
      <c r="C564" s="279">
        <v>692639140112400</v>
      </c>
      <c r="D564" s="118" t="s">
        <v>353</v>
      </c>
      <c r="E564" s="280" t="s">
        <v>354</v>
      </c>
      <c r="F564" s="203">
        <v>108.8</v>
      </c>
      <c r="G564" s="286">
        <v>2</v>
      </c>
      <c r="H564" s="286">
        <v>2</v>
      </c>
      <c r="I564" s="240">
        <f t="shared" si="10"/>
      </c>
      <c r="J564" s="98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</row>
    <row r="565">
      <c r="A565" s="266"/>
      <c r="B565" s="266"/>
      <c r="C565" s="106">
        <v>2508050002</v>
      </c>
      <c r="D565" s="206" t="s">
        <v>540</v>
      </c>
      <c r="E565" s="148" t="s">
        <v>541</v>
      </c>
      <c r="F565" s="207">
        <v>0</v>
      </c>
      <c r="G565" s="182">
        <v>2</v>
      </c>
      <c r="H565" s="182">
        <v>2</v>
      </c>
      <c r="I565" s="207">
        <f t="shared" si="10"/>
      </c>
      <c r="J565" s="98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</row>
    <row r="566">
      <c r="A566" s="266" t="s">
        <v>623</v>
      </c>
      <c r="B566" s="266">
        <v>46132</v>
      </c>
      <c r="C566" s="94">
        <v>692639140469900</v>
      </c>
      <c r="D566" s="84" t="s">
        <v>309</v>
      </c>
      <c r="E566" s="86" t="s">
        <v>310</v>
      </c>
      <c r="F566" s="90">
        <v>1252.9</v>
      </c>
      <c r="G566" s="115">
        <v>16</v>
      </c>
      <c r="H566" s="115">
        <v>16</v>
      </c>
      <c r="I566" s="90">
        <f t="shared" ref="I566:I708" si="4">F566*G566</f>
      </c>
      <c r="J566" s="98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</row>
    <row r="567">
      <c r="A567" s="266"/>
      <c r="B567" s="266"/>
      <c r="C567" s="94">
        <v>692639140467500</v>
      </c>
      <c r="D567" s="84" t="s">
        <v>305</v>
      </c>
      <c r="E567" s="86" t="s">
        <v>306</v>
      </c>
      <c r="F567" s="90">
        <v>224.4</v>
      </c>
      <c r="G567" s="115">
        <v>32</v>
      </c>
      <c r="H567" s="115">
        <v>32</v>
      </c>
      <c r="I567" s="90">
        <f t="shared" si="4"/>
      </c>
      <c r="J567" s="98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</row>
    <row r="568">
      <c r="A568" s="266"/>
      <c r="B568" s="266"/>
      <c r="C568" s="94">
        <v>697884024034100</v>
      </c>
      <c r="D568" s="84" t="s">
        <v>561</v>
      </c>
      <c r="E568" s="86" t="s">
        <v>562</v>
      </c>
      <c r="F568" s="90">
        <v>1020</v>
      </c>
      <c r="G568" s="115">
        <v>2</v>
      </c>
      <c r="H568" s="115">
        <v>2</v>
      </c>
      <c r="I568" s="90">
        <f t="shared" si="4"/>
      </c>
      <c r="J568" s="98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</row>
    <row r="569">
      <c r="A569" s="266"/>
      <c r="B569" s="266"/>
      <c r="C569" s="94">
        <v>692639140470500</v>
      </c>
      <c r="D569" s="84" t="s">
        <v>311</v>
      </c>
      <c r="E569" s="86" t="s">
        <v>312</v>
      </c>
      <c r="F569" s="90">
        <v>78.2</v>
      </c>
      <c r="G569" s="115">
        <v>16</v>
      </c>
      <c r="H569" s="115">
        <v>16</v>
      </c>
      <c r="I569" s="90">
        <f t="shared" si="4"/>
      </c>
      <c r="J569" s="98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</row>
    <row r="570">
      <c r="A570" s="266"/>
      <c r="B570" s="266"/>
      <c r="C570" s="94">
        <v>692639140450700</v>
      </c>
      <c r="D570" s="84" t="s">
        <v>467</v>
      </c>
      <c r="E570" s="86" t="s">
        <v>468</v>
      </c>
      <c r="F570" s="90">
        <v>1360</v>
      </c>
      <c r="G570" s="115">
        <v>5</v>
      </c>
      <c r="H570" s="115">
        <v>5</v>
      </c>
      <c r="I570" s="90">
        <f t="shared" si="4"/>
      </c>
      <c r="J570" s="98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</row>
    <row r="571">
      <c r="A571" s="266" t="s">
        <v>624</v>
      </c>
      <c r="B571" s="266">
        <v>46135</v>
      </c>
      <c r="C571" s="94">
        <v>692639140469900</v>
      </c>
      <c r="D571" s="84" t="s">
        <v>309</v>
      </c>
      <c r="E571" s="86" t="s">
        <v>310</v>
      </c>
      <c r="F571" s="90">
        <v>1252.9</v>
      </c>
      <c r="G571" s="115">
        <v>6</v>
      </c>
      <c r="H571" s="115">
        <v>6</v>
      </c>
      <c r="I571" s="90">
        <f t="shared" si="4"/>
      </c>
      <c r="J571" s="98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</row>
    <row r="572">
      <c r="A572" s="266"/>
      <c r="B572" s="266"/>
      <c r="C572" s="94">
        <v>697884024077800</v>
      </c>
      <c r="D572" s="84" t="s">
        <v>299</v>
      </c>
      <c r="E572" s="86" t="s">
        <v>300</v>
      </c>
      <c r="F572" s="90">
        <v>401.2</v>
      </c>
      <c r="G572" s="115">
        <v>80</v>
      </c>
      <c r="H572" s="115">
        <v>80</v>
      </c>
      <c r="I572" s="90">
        <f t="shared" si="4"/>
      </c>
      <c r="J572" s="98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</row>
    <row r="573">
      <c r="A573" s="266"/>
      <c r="B573" s="266"/>
      <c r="C573" s="94">
        <v>692639140470500</v>
      </c>
      <c r="D573" s="84" t="s">
        <v>311</v>
      </c>
      <c r="E573" s="86" t="s">
        <v>312</v>
      </c>
      <c r="F573" s="90">
        <v>78.2</v>
      </c>
      <c r="G573" s="115">
        <v>32</v>
      </c>
      <c r="H573" s="115">
        <v>32</v>
      </c>
      <c r="I573" s="90">
        <f t="shared" si="4"/>
      </c>
      <c r="J573" s="98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</row>
    <row r="574">
      <c r="A574" s="266"/>
      <c r="B574" s="266"/>
      <c r="C574" s="94">
        <v>692639140409500</v>
      </c>
      <c r="D574" s="84" t="s">
        <v>339</v>
      </c>
      <c r="E574" s="86" t="s">
        <v>340</v>
      </c>
      <c r="F574" s="90">
        <v>629</v>
      </c>
      <c r="G574" s="115">
        <v>5</v>
      </c>
      <c r="H574" s="115">
        <v>5</v>
      </c>
      <c r="I574" s="90">
        <f t="shared" si="4"/>
      </c>
      <c r="J574" s="98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</row>
    <row r="575">
      <c r="A575" s="266"/>
      <c r="B575" s="266"/>
      <c r="C575" s="94">
        <v>692639140418700</v>
      </c>
      <c r="D575" s="84" t="s">
        <v>379</v>
      </c>
      <c r="E575" s="86" t="s">
        <v>622</v>
      </c>
      <c r="F575" s="90">
        <v>84.66</v>
      </c>
      <c r="G575" s="115">
        <v>5</v>
      </c>
      <c r="H575" s="115">
        <v>5</v>
      </c>
      <c r="I575" s="90">
        <f t="shared" si="4"/>
      </c>
      <c r="J575" s="98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</row>
    <row r="576">
      <c r="A576" s="266"/>
      <c r="B576" s="266"/>
      <c r="C576" s="94">
        <v>692639140456900</v>
      </c>
      <c r="D576" s="84" t="s">
        <v>301</v>
      </c>
      <c r="E576" s="86" t="s">
        <v>302</v>
      </c>
      <c r="F576" s="90">
        <v>176.12</v>
      </c>
      <c r="G576" s="115">
        <v>50</v>
      </c>
      <c r="H576" s="115">
        <v>50</v>
      </c>
      <c r="I576" s="90">
        <f t="shared" si="4"/>
      </c>
      <c r="J576" s="98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</row>
    <row r="577">
      <c r="A577" s="266"/>
      <c r="B577" s="266"/>
      <c r="C577" s="94">
        <v>692639140112400</v>
      </c>
      <c r="D577" s="84" t="s">
        <v>353</v>
      </c>
      <c r="E577" s="86" t="s">
        <v>354</v>
      </c>
      <c r="F577" s="90">
        <v>108.8</v>
      </c>
      <c r="G577" s="115">
        <v>3</v>
      </c>
      <c r="H577" s="115">
        <v>3</v>
      </c>
      <c r="I577" s="90">
        <f t="shared" si="4"/>
      </c>
      <c r="J577" s="98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</row>
    <row r="578">
      <c r="A578" s="266"/>
      <c r="B578" s="266"/>
      <c r="C578" s="94">
        <v>692639140467500</v>
      </c>
      <c r="D578" s="84" t="s">
        <v>305</v>
      </c>
      <c r="E578" s="86" t="s">
        <v>306</v>
      </c>
      <c r="F578" s="90">
        <v>224.4</v>
      </c>
      <c r="G578" s="115">
        <v>16</v>
      </c>
      <c r="H578" s="115">
        <v>16</v>
      </c>
      <c r="I578" s="90">
        <f t="shared" si="4"/>
      </c>
      <c r="J578" s="98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</row>
    <row r="579">
      <c r="A579" s="266"/>
      <c r="B579" s="266"/>
      <c r="C579" s="94">
        <v>692639140473600</v>
      </c>
      <c r="D579" s="84" t="s">
        <v>297</v>
      </c>
      <c r="E579" s="86" t="s">
        <v>576</v>
      </c>
      <c r="F579" s="90">
        <v>114.92</v>
      </c>
      <c r="G579" s="115">
        <v>70</v>
      </c>
      <c r="H579" s="115">
        <v>70</v>
      </c>
      <c r="I579" s="90">
        <f t="shared" si="4"/>
      </c>
      <c r="J579" s="98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</row>
    <row r="580">
      <c r="A580" s="266"/>
      <c r="B580" s="266"/>
      <c r="C580" s="106">
        <v>2508050004</v>
      </c>
      <c r="D580" s="206" t="s">
        <v>540</v>
      </c>
      <c r="E580" s="148" t="s">
        <v>558</v>
      </c>
      <c r="F580" s="207">
        <v>0</v>
      </c>
      <c r="G580" s="204">
        <v>8</v>
      </c>
      <c r="H580" s="204">
        <v>8</v>
      </c>
      <c r="I580" s="90">
        <f t="shared" si="4"/>
      </c>
      <c r="J580" s="98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</row>
    <row r="581">
      <c r="A581" s="266"/>
      <c r="B581" s="266"/>
      <c r="C581" s="106">
        <v>2508050003</v>
      </c>
      <c r="D581" s="206" t="s">
        <v>540</v>
      </c>
      <c r="E581" s="148" t="s">
        <v>512</v>
      </c>
      <c r="F581" s="207">
        <v>0</v>
      </c>
      <c r="G581" s="204">
        <v>5</v>
      </c>
      <c r="H581" s="204">
        <v>5</v>
      </c>
      <c r="I581" s="90">
        <f t="shared" si="4"/>
      </c>
      <c r="J581" s="98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</row>
    <row r="582">
      <c r="A582" s="266" t="s">
        <v>625</v>
      </c>
      <c r="B582" s="266">
        <v>46136</v>
      </c>
      <c r="C582" s="94">
        <v>697884024072300</v>
      </c>
      <c r="D582" s="288" t="s">
        <v>626</v>
      </c>
      <c r="E582" s="86" t="s">
        <v>627</v>
      </c>
      <c r="F582" s="289">
        <v>221</v>
      </c>
      <c r="G582" s="204">
        <v>50</v>
      </c>
      <c r="H582" s="89">
        <v>50</v>
      </c>
      <c r="I582" s="90">
        <f t="shared" si="4"/>
      </c>
      <c r="J582" s="290">
        <f t="shared" ref="J582:J590" si="5">G582-H582</f>
      </c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</row>
    <row r="583">
      <c r="A583" s="266"/>
      <c r="B583" s="266"/>
      <c r="C583" s="94">
        <v>697884024087700</v>
      </c>
      <c r="D583" s="288" t="s">
        <v>628</v>
      </c>
      <c r="E583" s="86" t="s">
        <v>629</v>
      </c>
      <c r="F583" s="289">
        <v>95.2</v>
      </c>
      <c r="G583" s="204">
        <v>80</v>
      </c>
      <c r="H583" s="89">
        <v>80</v>
      </c>
      <c r="I583" s="90">
        <f t="shared" si="4"/>
      </c>
      <c r="J583" s="290">
        <f t="shared" si="5"/>
      </c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</row>
    <row r="584">
      <c r="A584" s="266"/>
      <c r="B584" s="266"/>
      <c r="C584" s="94">
        <v>697884024074700</v>
      </c>
      <c r="D584" s="288" t="s">
        <v>630</v>
      </c>
      <c r="E584" s="86" t="s">
        <v>631</v>
      </c>
      <c r="F584" s="289">
        <v>68</v>
      </c>
      <c r="G584" s="204">
        <v>32</v>
      </c>
      <c r="H584" s="89">
        <v>32</v>
      </c>
      <c r="I584" s="90">
        <f t="shared" si="4"/>
      </c>
      <c r="J584" s="290">
        <f t="shared" si="5"/>
      </c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</row>
    <row r="585">
      <c r="A585" s="266"/>
      <c r="B585" s="266"/>
      <c r="C585" s="94">
        <v>697884024084600</v>
      </c>
      <c r="D585" s="288" t="s">
        <v>632</v>
      </c>
      <c r="E585" s="86" t="s">
        <v>633</v>
      </c>
      <c r="F585" s="289">
        <v>223.72</v>
      </c>
      <c r="G585" s="204">
        <v>32</v>
      </c>
      <c r="H585" s="204">
        <v>32</v>
      </c>
      <c r="I585" s="90">
        <f t="shared" si="4"/>
      </c>
      <c r="J585" s="290">
        <f t="shared" si="5"/>
      </c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</row>
    <row r="586">
      <c r="A586" s="266"/>
      <c r="B586" s="266"/>
      <c r="C586" s="94">
        <v>697884024085300</v>
      </c>
      <c r="D586" s="288" t="s">
        <v>634</v>
      </c>
      <c r="E586" s="86" t="s">
        <v>635</v>
      </c>
      <c r="F586" s="289">
        <v>61.2</v>
      </c>
      <c r="G586" s="204">
        <v>16</v>
      </c>
      <c r="H586" s="204">
        <v>16</v>
      </c>
      <c r="I586" s="90">
        <f t="shared" si="4"/>
      </c>
      <c r="J586" s="290">
        <f t="shared" si="5"/>
      </c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</row>
    <row r="587">
      <c r="A587" s="266"/>
      <c r="B587" s="266"/>
      <c r="C587" s="94">
        <v>697884024067900</v>
      </c>
      <c r="D587" s="288" t="s">
        <v>636</v>
      </c>
      <c r="E587" s="86" t="s">
        <v>637</v>
      </c>
      <c r="F587" s="289">
        <v>57.8</v>
      </c>
      <c r="G587" s="204">
        <v>190</v>
      </c>
      <c r="H587" s="89">
        <v>190</v>
      </c>
      <c r="I587" s="90">
        <f t="shared" si="4"/>
      </c>
      <c r="J587" s="290">
        <f t="shared" si="5"/>
      </c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</row>
    <row r="588">
      <c r="A588" s="266"/>
      <c r="B588" s="266"/>
      <c r="C588" s="94">
        <v>697884024068600</v>
      </c>
      <c r="D588" s="288" t="s">
        <v>638</v>
      </c>
      <c r="E588" s="86" t="s">
        <v>639</v>
      </c>
      <c r="F588" s="289">
        <v>240.72</v>
      </c>
      <c r="G588" s="204">
        <v>50</v>
      </c>
      <c r="H588" s="89">
        <v>50</v>
      </c>
      <c r="I588" s="90">
        <f t="shared" si="4"/>
      </c>
      <c r="J588" s="290">
        <f t="shared" si="5"/>
      </c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</row>
    <row r="589">
      <c r="A589" s="266"/>
      <c r="B589" s="266"/>
      <c r="C589" s="94">
        <v>697884024069300</v>
      </c>
      <c r="D589" s="288" t="s">
        <v>640</v>
      </c>
      <c r="E589" s="86" t="s">
        <v>641</v>
      </c>
      <c r="F589" s="289">
        <v>24</v>
      </c>
      <c r="G589" s="204">
        <v>380</v>
      </c>
      <c r="H589" s="89">
        <v>380</v>
      </c>
      <c r="I589" s="90">
        <f t="shared" si="4"/>
      </c>
      <c r="J589" s="290">
        <f t="shared" si="5"/>
      </c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</row>
    <row r="590">
      <c r="A590" s="266"/>
      <c r="B590" s="266"/>
      <c r="C590" s="94">
        <v>697884024070900</v>
      </c>
      <c r="D590" s="288" t="s">
        <v>642</v>
      </c>
      <c r="E590" s="86" t="s">
        <v>643</v>
      </c>
      <c r="F590" s="289">
        <v>102</v>
      </c>
      <c r="G590" s="204">
        <v>52</v>
      </c>
      <c r="H590" s="89">
        <v>52</v>
      </c>
      <c r="I590" s="90">
        <f t="shared" si="4"/>
      </c>
      <c r="J590" s="290">
        <f t="shared" si="5"/>
      </c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</row>
    <row r="591">
      <c r="A591" s="266"/>
      <c r="B591" s="266"/>
      <c r="C591" s="218">
        <v>2604290001</v>
      </c>
      <c r="D591" s="218" t="s">
        <v>540</v>
      </c>
      <c r="E591" s="220" t="s">
        <v>644</v>
      </c>
      <c r="F591" s="219">
        <v>0</v>
      </c>
      <c r="G591" s="291">
        <v>5</v>
      </c>
      <c r="H591" s="103">
        <v>5</v>
      </c>
      <c r="I591" s="104">
        <f t="shared" si="4"/>
      </c>
      <c r="J591" s="98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</row>
    <row r="592">
      <c r="A592" s="93" t="s">
        <v>645</v>
      </c>
      <c r="B592" s="292">
        <v>46141</v>
      </c>
      <c r="C592" s="94">
        <v>697884024063100</v>
      </c>
      <c r="D592" s="293"/>
      <c r="E592" s="86" t="s">
        <v>646</v>
      </c>
      <c r="F592" s="294">
        <v>68</v>
      </c>
      <c r="G592" s="204">
        <v>1</v>
      </c>
      <c r="H592" s="204">
        <v>1</v>
      </c>
      <c r="I592" s="295">
        <f t="shared" si="4"/>
      </c>
      <c r="J592" s="98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</row>
    <row r="593">
      <c r="A593" s="93"/>
      <c r="B593" s="292"/>
      <c r="C593" s="94">
        <v>697884024064800</v>
      </c>
      <c r="D593" s="293"/>
      <c r="E593" s="86" t="s">
        <v>647</v>
      </c>
      <c r="F593" s="294">
        <v>155.72</v>
      </c>
      <c r="G593" s="204">
        <v>1</v>
      </c>
      <c r="H593" s="204">
        <v>1</v>
      </c>
      <c r="I593" s="295">
        <f t="shared" si="4"/>
      </c>
      <c r="J593" s="98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</row>
    <row r="594">
      <c r="A594" s="93"/>
      <c r="B594" s="292"/>
      <c r="C594" s="94">
        <v>697884024065500</v>
      </c>
      <c r="D594" s="293"/>
      <c r="E594" s="86" t="s">
        <v>648</v>
      </c>
      <c r="F594" s="294">
        <v>333.2</v>
      </c>
      <c r="G594" s="204">
        <v>1</v>
      </c>
      <c r="H594" s="204">
        <v>1</v>
      </c>
      <c r="I594" s="295">
        <f t="shared" si="4"/>
      </c>
      <c r="J594" s="98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</row>
    <row r="595">
      <c r="A595" s="93"/>
      <c r="B595" s="292"/>
      <c r="C595" s="94">
        <v>692639140225100</v>
      </c>
      <c r="D595" s="293"/>
      <c r="E595" s="86" t="s">
        <v>649</v>
      </c>
      <c r="F595" s="294">
        <v>170</v>
      </c>
      <c r="G595" s="204">
        <v>2</v>
      </c>
      <c r="H595" s="204">
        <v>2</v>
      </c>
      <c r="I595" s="295">
        <f t="shared" si="4"/>
      </c>
      <c r="J595" s="98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</row>
    <row r="596">
      <c r="A596" s="266" t="s">
        <v>650</v>
      </c>
      <c r="B596" s="266">
        <v>46149</v>
      </c>
      <c r="C596" s="296">
        <v>692639140418700</v>
      </c>
      <c r="D596" s="297" t="s">
        <v>379</v>
      </c>
      <c r="E596" s="298" t="s">
        <v>622</v>
      </c>
      <c r="F596" s="299">
        <v>84.66</v>
      </c>
      <c r="G596" s="300">
        <v>40</v>
      </c>
      <c r="H596" s="300">
        <v>40</v>
      </c>
      <c r="I596" s="295">
        <f t="shared" si="4"/>
      </c>
      <c r="J596" s="98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</row>
    <row r="597">
      <c r="A597" s="266"/>
      <c r="B597" s="266"/>
      <c r="C597" s="94">
        <v>692639140499600</v>
      </c>
      <c r="D597" s="84" t="s">
        <v>529</v>
      </c>
      <c r="E597" s="86" t="s">
        <v>530</v>
      </c>
      <c r="F597" s="90">
        <v>1421.2</v>
      </c>
      <c r="G597" s="115">
        <v>3</v>
      </c>
      <c r="H597" s="115">
        <v>3</v>
      </c>
      <c r="I597" s="295">
        <f t="shared" si="4"/>
      </c>
      <c r="J597" s="98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</row>
    <row r="598">
      <c r="A598" s="266"/>
      <c r="B598" s="266"/>
      <c r="C598" s="94">
        <v>692639141128400</v>
      </c>
      <c r="D598" s="84" t="s">
        <v>651</v>
      </c>
      <c r="E598" s="86" t="s">
        <v>599</v>
      </c>
      <c r="F598" s="90">
        <v>147.6</v>
      </c>
      <c r="G598" s="115">
        <v>3</v>
      </c>
      <c r="H598" s="115">
        <v>3</v>
      </c>
      <c r="I598" s="295">
        <f t="shared" si="4"/>
      </c>
      <c r="J598" s="98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</row>
    <row r="599">
      <c r="A599" s="266"/>
      <c r="B599" s="266"/>
      <c r="C599" s="94">
        <v>697884024034100</v>
      </c>
      <c r="D599" s="84" t="s">
        <v>561</v>
      </c>
      <c r="E599" s="86" t="s">
        <v>562</v>
      </c>
      <c r="F599" s="90">
        <v>1020</v>
      </c>
      <c r="G599" s="115">
        <v>3</v>
      </c>
      <c r="H599" s="115">
        <v>3</v>
      </c>
      <c r="I599" s="295">
        <f t="shared" si="4"/>
      </c>
      <c r="J599" s="98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</row>
    <row r="600">
      <c r="A600" s="266"/>
      <c r="B600" s="266"/>
      <c r="C600" s="94">
        <v>692639141109300</v>
      </c>
      <c r="D600" s="84" t="s">
        <v>547</v>
      </c>
      <c r="E600" s="86" t="s">
        <v>548</v>
      </c>
      <c r="F600" s="90">
        <v>152</v>
      </c>
      <c r="G600" s="115">
        <v>5</v>
      </c>
      <c r="H600" s="115">
        <v>5</v>
      </c>
      <c r="I600" s="295">
        <f t="shared" si="4"/>
      </c>
      <c r="J600" s="98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</row>
    <row r="601">
      <c r="A601" s="266"/>
      <c r="B601" s="266"/>
      <c r="C601" s="94">
        <v>692639140467500</v>
      </c>
      <c r="D601" s="84" t="s">
        <v>305</v>
      </c>
      <c r="E601" s="86" t="s">
        <v>306</v>
      </c>
      <c r="F601" s="90">
        <v>224.4</v>
      </c>
      <c r="G601" s="115">
        <v>16</v>
      </c>
      <c r="H601" s="115">
        <v>16</v>
      </c>
      <c r="I601" s="295">
        <f t="shared" si="4"/>
      </c>
      <c r="J601" s="98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</row>
    <row r="602">
      <c r="A602" s="266"/>
      <c r="B602" s="266"/>
      <c r="C602" s="94">
        <v>692639140112400</v>
      </c>
      <c r="D602" s="84" t="s">
        <v>353</v>
      </c>
      <c r="E602" s="86" t="s">
        <v>354</v>
      </c>
      <c r="F602" s="90">
        <v>108.8</v>
      </c>
      <c r="G602" s="115">
        <v>1</v>
      </c>
      <c r="H602" s="115">
        <v>1</v>
      </c>
      <c r="I602" s="295">
        <f t="shared" si="4"/>
      </c>
      <c r="J602" s="98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</row>
    <row r="603">
      <c r="A603" s="266"/>
      <c r="B603" s="266"/>
      <c r="C603" s="94">
        <v>692639140473600</v>
      </c>
      <c r="D603" s="84" t="s">
        <v>297</v>
      </c>
      <c r="E603" s="86" t="s">
        <v>576</v>
      </c>
      <c r="F603" s="90">
        <v>114.92</v>
      </c>
      <c r="G603" s="115">
        <v>10</v>
      </c>
      <c r="H603" s="115">
        <v>10</v>
      </c>
      <c r="I603" s="295">
        <f t="shared" si="4"/>
      </c>
      <c r="J603" s="98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</row>
    <row r="604">
      <c r="A604" s="266"/>
      <c r="B604" s="266"/>
      <c r="C604" s="94">
        <v>692639140088200</v>
      </c>
      <c r="D604" s="84" t="s">
        <v>519</v>
      </c>
      <c r="E604" s="86" t="s">
        <v>520</v>
      </c>
      <c r="F604" s="90">
        <v>204</v>
      </c>
      <c r="G604" s="115">
        <v>6</v>
      </c>
      <c r="H604" s="115">
        <v>6</v>
      </c>
      <c r="I604" s="295">
        <f t="shared" si="4"/>
      </c>
      <c r="J604" s="98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</row>
    <row r="605">
      <c r="A605" s="266" t="s">
        <v>652</v>
      </c>
      <c r="B605" s="266">
        <v>46149</v>
      </c>
      <c r="C605" s="94">
        <v>692639140458300</v>
      </c>
      <c r="D605" s="84"/>
      <c r="E605" s="86" t="s">
        <v>304</v>
      </c>
      <c r="F605" s="90">
        <v>238</v>
      </c>
      <c r="G605" s="115">
        <v>110</v>
      </c>
      <c r="H605" s="89">
        <v>0</v>
      </c>
      <c r="I605" s="295">
        <f t="shared" si="4"/>
      </c>
      <c r="J605" s="301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</row>
    <row r="606">
      <c r="A606" s="266"/>
      <c r="B606" s="93"/>
      <c r="C606" s="94">
        <v>692639140467500</v>
      </c>
      <c r="D606" s="84"/>
      <c r="E606" s="86" t="s">
        <v>306</v>
      </c>
      <c r="F606" s="90">
        <v>224.4</v>
      </c>
      <c r="G606" s="115">
        <v>64</v>
      </c>
      <c r="H606" s="115">
        <v>64</v>
      </c>
      <c r="I606" s="295">
        <f t="shared" si="4"/>
      </c>
      <c r="J606" s="301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</row>
    <row r="607">
      <c r="A607" s="266"/>
      <c r="B607" s="93"/>
      <c r="C607" s="94">
        <v>692639140473600</v>
      </c>
      <c r="D607" s="84"/>
      <c r="E607" s="86" t="s">
        <v>576</v>
      </c>
      <c r="F607" s="90">
        <v>114.92</v>
      </c>
      <c r="G607" s="115">
        <v>300</v>
      </c>
      <c r="H607" s="115">
        <v>300</v>
      </c>
      <c r="I607" s="295">
        <f t="shared" si="4"/>
      </c>
      <c r="J607" s="301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</row>
    <row r="608">
      <c r="A608" s="266"/>
      <c r="B608" s="93"/>
      <c r="C608" s="94">
        <v>692639140112400</v>
      </c>
      <c r="D608" s="84"/>
      <c r="E608" s="86" t="s">
        <v>354</v>
      </c>
      <c r="F608" s="90">
        <v>108.8</v>
      </c>
      <c r="G608" s="115">
        <v>48</v>
      </c>
      <c r="H608" s="115">
        <v>48</v>
      </c>
      <c r="I608" s="295">
        <f t="shared" si="4"/>
      </c>
      <c r="J608" s="301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</row>
    <row r="609">
      <c r="A609" s="266"/>
      <c r="B609" s="93"/>
      <c r="C609" s="94">
        <v>692639140470500</v>
      </c>
      <c r="D609" s="84"/>
      <c r="E609" s="86" t="s">
        <v>312</v>
      </c>
      <c r="F609" s="90">
        <v>78.2</v>
      </c>
      <c r="G609" s="115">
        <v>64</v>
      </c>
      <c r="H609" s="115">
        <v>64</v>
      </c>
      <c r="I609" s="295">
        <f t="shared" si="4"/>
      </c>
      <c r="J609" s="301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</row>
    <row r="610">
      <c r="A610" s="266"/>
      <c r="B610" s="93"/>
      <c r="C610" s="94">
        <v>692639140418700</v>
      </c>
      <c r="D610" s="84"/>
      <c r="E610" s="86" t="s">
        <v>622</v>
      </c>
      <c r="F610" s="90">
        <v>84.66</v>
      </c>
      <c r="G610" s="115">
        <v>60</v>
      </c>
      <c r="H610" s="115">
        <v>60</v>
      </c>
      <c r="I610" s="295">
        <f t="shared" si="4"/>
      </c>
      <c r="J610" s="301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</row>
    <row r="611">
      <c r="A611" s="266"/>
      <c r="B611" s="93"/>
      <c r="C611" s="94">
        <v>692639140456900</v>
      </c>
      <c r="D611" s="84"/>
      <c r="E611" s="86" t="s">
        <v>302</v>
      </c>
      <c r="F611" s="90">
        <v>176.12</v>
      </c>
      <c r="G611" s="115">
        <v>70</v>
      </c>
      <c r="H611" s="115">
        <v>70</v>
      </c>
      <c r="I611" s="295">
        <f t="shared" si="4"/>
      </c>
      <c r="J611" s="301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</row>
    <row r="612">
      <c r="A612" s="266"/>
      <c r="B612" s="93"/>
      <c r="C612" s="94">
        <v>692639140254100</v>
      </c>
      <c r="D612" s="84"/>
      <c r="E612" s="86" t="s">
        <v>404</v>
      </c>
      <c r="F612" s="90">
        <v>408</v>
      </c>
      <c r="G612" s="115">
        <v>24</v>
      </c>
      <c r="H612" s="115">
        <v>24</v>
      </c>
      <c r="I612" s="295">
        <f t="shared" si="4"/>
      </c>
      <c r="J612" s="301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</row>
    <row r="613">
      <c r="A613" s="266"/>
      <c r="B613" s="93"/>
      <c r="C613" s="94">
        <v>692639140427900</v>
      </c>
      <c r="D613" s="84"/>
      <c r="E613" s="86" t="s">
        <v>338</v>
      </c>
      <c r="F613" s="90">
        <v>333.2</v>
      </c>
      <c r="G613" s="115">
        <v>84</v>
      </c>
      <c r="H613" s="115">
        <v>84</v>
      </c>
      <c r="I613" s="295">
        <f t="shared" si="4"/>
      </c>
      <c r="J613" s="301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</row>
    <row r="614">
      <c r="A614" s="266"/>
      <c r="B614" s="93"/>
      <c r="C614" s="94">
        <v>692639140471200</v>
      </c>
      <c r="D614" s="84"/>
      <c r="E614" s="86" t="s">
        <v>314</v>
      </c>
      <c r="F614" s="90">
        <v>214.2</v>
      </c>
      <c r="G614" s="115">
        <v>4</v>
      </c>
      <c r="H614" s="115">
        <v>4</v>
      </c>
      <c r="I614" s="295">
        <f t="shared" si="4"/>
      </c>
      <c r="J614" s="301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</row>
    <row r="615">
      <c r="A615" s="266"/>
      <c r="B615" s="93"/>
      <c r="C615" s="94">
        <v>692639140469900</v>
      </c>
      <c r="D615" s="84"/>
      <c r="E615" s="86" t="s">
        <v>310</v>
      </c>
      <c r="F615" s="90">
        <v>1252.9</v>
      </c>
      <c r="G615" s="115">
        <v>1</v>
      </c>
      <c r="H615" s="115">
        <v>1</v>
      </c>
      <c r="I615" s="295">
        <f t="shared" si="4"/>
      </c>
      <c r="J615" s="301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</row>
    <row r="616">
      <c r="A616" s="266"/>
      <c r="B616" s="93"/>
      <c r="C616" s="94">
        <v>697884024077800</v>
      </c>
      <c r="D616" s="84"/>
      <c r="E616" s="86" t="s">
        <v>300</v>
      </c>
      <c r="F616" s="90">
        <v>401.2</v>
      </c>
      <c r="G616" s="115">
        <v>80</v>
      </c>
      <c r="H616" s="115">
        <v>80</v>
      </c>
      <c r="I616" s="295">
        <f t="shared" si="4"/>
      </c>
      <c r="J616" s="301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</row>
    <row r="617">
      <c r="A617" s="266"/>
      <c r="B617" s="93"/>
      <c r="C617" s="94">
        <v>692639140450700</v>
      </c>
      <c r="D617" s="84"/>
      <c r="E617" s="86" t="s">
        <v>468</v>
      </c>
      <c r="F617" s="90">
        <v>1360</v>
      </c>
      <c r="G617" s="115">
        <v>5</v>
      </c>
      <c r="H617" s="115">
        <v>5</v>
      </c>
      <c r="I617" s="295">
        <f t="shared" si="4"/>
      </c>
      <c r="J617" s="301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</row>
    <row r="618">
      <c r="A618" s="266"/>
      <c r="B618" s="93"/>
      <c r="C618" s="106">
        <v>2508050002</v>
      </c>
      <c r="D618" s="206" t="s">
        <v>540</v>
      </c>
      <c r="E618" s="148" t="s">
        <v>541</v>
      </c>
      <c r="F618" s="207">
        <v>0</v>
      </c>
      <c r="G618" s="204">
        <v>8</v>
      </c>
      <c r="H618" s="204">
        <v>8</v>
      </c>
      <c r="I618" s="295">
        <f t="shared" si="4"/>
      </c>
      <c r="J618" s="301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</row>
    <row r="619">
      <c r="A619" s="266"/>
      <c r="B619" s="93"/>
      <c r="C619" s="106">
        <v>2508050004</v>
      </c>
      <c r="D619" s="206" t="s">
        <v>540</v>
      </c>
      <c r="E619" s="148" t="s">
        <v>558</v>
      </c>
      <c r="F619" s="207">
        <v>0</v>
      </c>
      <c r="G619" s="204">
        <v>11</v>
      </c>
      <c r="H619" s="89">
        <v>0</v>
      </c>
      <c r="I619" s="295">
        <f t="shared" si="4"/>
      </c>
      <c r="J619" s="301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</row>
    <row r="620">
      <c r="A620" s="266" t="s">
        <v>653</v>
      </c>
      <c r="B620" s="266">
        <v>46153</v>
      </c>
      <c r="C620" s="94">
        <v>692639140499600</v>
      </c>
      <c r="D620" s="84"/>
      <c r="E620" s="86" t="s">
        <v>530</v>
      </c>
      <c r="F620" s="90">
        <v>1421.2</v>
      </c>
      <c r="G620" s="115">
        <v>26</v>
      </c>
      <c r="H620" s="115">
        <v>26</v>
      </c>
      <c r="I620" s="295">
        <f t="shared" si="4"/>
      </c>
      <c r="J620" s="98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</row>
    <row r="621">
      <c r="A621" s="93"/>
      <c r="B621" s="93"/>
      <c r="C621" s="94">
        <v>692639140471200</v>
      </c>
      <c r="D621" s="84"/>
      <c r="E621" s="86" t="s">
        <v>314</v>
      </c>
      <c r="F621" s="90">
        <v>214.2</v>
      </c>
      <c r="G621" s="115">
        <v>26</v>
      </c>
      <c r="H621" s="115">
        <v>26</v>
      </c>
      <c r="I621" s="295">
        <f t="shared" si="4"/>
      </c>
      <c r="J621" s="98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</row>
    <row r="622">
      <c r="A622" s="93"/>
      <c r="B622" s="93"/>
      <c r="C622" s="94">
        <v>692639140254100</v>
      </c>
      <c r="D622" s="84"/>
      <c r="E622" s="86" t="s">
        <v>404</v>
      </c>
      <c r="F622" s="90">
        <v>408</v>
      </c>
      <c r="G622" s="115">
        <v>36</v>
      </c>
      <c r="H622" s="115">
        <v>36</v>
      </c>
      <c r="I622" s="295">
        <f t="shared" si="4"/>
      </c>
      <c r="J622" s="98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</row>
    <row r="623">
      <c r="A623" s="93"/>
      <c r="B623" s="93"/>
      <c r="C623" s="94">
        <v>692639140088200</v>
      </c>
      <c r="D623" s="84"/>
      <c r="E623" s="86" t="s">
        <v>520</v>
      </c>
      <c r="F623" s="90">
        <v>204</v>
      </c>
      <c r="G623" s="115">
        <v>66</v>
      </c>
      <c r="H623" s="115">
        <v>66</v>
      </c>
      <c r="I623" s="295">
        <f t="shared" si="4"/>
      </c>
      <c r="J623" s="98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</row>
    <row r="624">
      <c r="A624" s="93"/>
      <c r="B624" s="93"/>
      <c r="C624" s="94">
        <v>692639140418700</v>
      </c>
      <c r="D624" s="84"/>
      <c r="E624" s="86" t="s">
        <v>622</v>
      </c>
      <c r="F624" s="90">
        <v>84.66</v>
      </c>
      <c r="G624" s="115">
        <v>10</v>
      </c>
      <c r="H624" s="115">
        <v>10</v>
      </c>
      <c r="I624" s="295">
        <f t="shared" si="4"/>
      </c>
      <c r="J624" s="98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</row>
    <row r="625">
      <c r="A625" s="266" t="s">
        <v>654</v>
      </c>
      <c r="B625" s="266">
        <v>46154</v>
      </c>
      <c r="C625" s="94">
        <v>2503110002</v>
      </c>
      <c r="D625" s="282"/>
      <c r="E625" s="86" t="s">
        <v>609</v>
      </c>
      <c r="F625" s="110">
        <v>0</v>
      </c>
      <c r="G625" s="204">
        <v>110</v>
      </c>
      <c r="H625" s="204">
        <v>110</v>
      </c>
      <c r="I625" s="295">
        <f t="shared" si="4"/>
      </c>
      <c r="J625" s="98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</row>
    <row r="626">
      <c r="A626" s="266" t="s">
        <v>655</v>
      </c>
      <c r="B626" s="266">
        <v>46156</v>
      </c>
      <c r="C626" s="94">
        <v>692639140254100</v>
      </c>
      <c r="D626" s="84"/>
      <c r="E626" s="86" t="s">
        <v>404</v>
      </c>
      <c r="F626" s="90">
        <v>408</v>
      </c>
      <c r="G626" s="115">
        <v>87</v>
      </c>
      <c r="H626" s="115">
        <v>87</v>
      </c>
      <c r="I626" s="295">
        <f t="shared" si="4"/>
      </c>
      <c r="J626" s="98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</row>
    <row r="627">
      <c r="A627" s="266"/>
      <c r="B627" s="266"/>
      <c r="C627" s="94">
        <v>692639140499600</v>
      </c>
      <c r="D627" s="84"/>
      <c r="E627" s="86" t="s">
        <v>530</v>
      </c>
      <c r="F627" s="90">
        <v>1421.2</v>
      </c>
      <c r="G627" s="115">
        <v>5</v>
      </c>
      <c r="H627" s="115">
        <v>5</v>
      </c>
      <c r="I627" s="295">
        <f t="shared" si="4"/>
      </c>
      <c r="J627" s="98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</row>
    <row r="628">
      <c r="A628" s="266"/>
      <c r="B628" s="266"/>
      <c r="C628" s="94">
        <v>692639140471200</v>
      </c>
      <c r="D628" s="84"/>
      <c r="E628" s="86" t="s">
        <v>314</v>
      </c>
      <c r="F628" s="90">
        <v>214.2</v>
      </c>
      <c r="G628" s="115">
        <v>8</v>
      </c>
      <c r="H628" s="115">
        <v>8</v>
      </c>
      <c r="I628" s="295">
        <f t="shared" si="4"/>
      </c>
      <c r="J628" s="98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</row>
    <row r="629">
      <c r="A629" s="266"/>
      <c r="B629" s="266"/>
      <c r="C629" s="94">
        <v>692639140469900</v>
      </c>
      <c r="D629" s="84"/>
      <c r="E629" s="86" t="s">
        <v>310</v>
      </c>
      <c r="F629" s="90">
        <v>1252.9</v>
      </c>
      <c r="G629" s="115">
        <v>7</v>
      </c>
      <c r="H629" s="115">
        <v>7</v>
      </c>
      <c r="I629" s="295">
        <f t="shared" si="4"/>
      </c>
      <c r="J629" s="98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</row>
    <row r="630">
      <c r="A630" s="266"/>
      <c r="B630" s="266"/>
      <c r="C630" s="94">
        <v>692639140467500</v>
      </c>
      <c r="D630" s="84"/>
      <c r="E630" s="86" t="s">
        <v>306</v>
      </c>
      <c r="F630" s="90">
        <v>224.4</v>
      </c>
      <c r="G630" s="115">
        <v>55</v>
      </c>
      <c r="H630" s="115">
        <v>55</v>
      </c>
      <c r="I630" s="295">
        <f t="shared" si="4"/>
      </c>
      <c r="J630" s="98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</row>
    <row r="631">
      <c r="A631" s="266"/>
      <c r="B631" s="266"/>
      <c r="C631" s="94">
        <v>692639149817900</v>
      </c>
      <c r="D631" s="84"/>
      <c r="E631" s="86" t="s">
        <v>450</v>
      </c>
      <c r="F631" s="90">
        <v>1550.4</v>
      </c>
      <c r="G631" s="115">
        <v>1</v>
      </c>
      <c r="H631" s="115">
        <v>1</v>
      </c>
      <c r="I631" s="295">
        <f t="shared" si="4"/>
      </c>
      <c r="J631" s="98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</row>
    <row r="632">
      <c r="A632" s="266"/>
      <c r="B632" s="266"/>
      <c r="C632" s="94">
        <v>692639140450700</v>
      </c>
      <c r="D632" s="84"/>
      <c r="E632" s="86" t="s">
        <v>468</v>
      </c>
      <c r="F632" s="90">
        <v>1360</v>
      </c>
      <c r="G632" s="115">
        <v>5</v>
      </c>
      <c r="H632" s="115">
        <v>5</v>
      </c>
      <c r="I632" s="295">
        <f t="shared" si="4"/>
      </c>
      <c r="J632" s="98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</row>
    <row r="633">
      <c r="A633" s="266"/>
      <c r="B633" s="266"/>
      <c r="C633" s="94">
        <v>692639140361600</v>
      </c>
      <c r="D633" s="84"/>
      <c r="E633" s="86" t="s">
        <v>433</v>
      </c>
      <c r="F633" s="90">
        <v>714</v>
      </c>
      <c r="G633" s="115">
        <v>10</v>
      </c>
      <c r="H633" s="115">
        <v>10</v>
      </c>
      <c r="I633" s="295">
        <f t="shared" si="4"/>
      </c>
      <c r="J633" s="98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</row>
    <row r="634">
      <c r="A634" s="266"/>
      <c r="B634" s="266"/>
      <c r="C634" s="94">
        <v>697884024034100</v>
      </c>
      <c r="D634" s="84"/>
      <c r="E634" s="86" t="s">
        <v>562</v>
      </c>
      <c r="F634" s="90">
        <v>1020</v>
      </c>
      <c r="G634" s="115">
        <v>3</v>
      </c>
      <c r="H634" s="115">
        <v>3</v>
      </c>
      <c r="I634" s="295">
        <f t="shared" si="4"/>
      </c>
      <c r="J634" s="98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</row>
    <row r="635">
      <c r="A635" s="266"/>
      <c r="B635" s="266"/>
      <c r="C635" s="94">
        <v>692639140087500</v>
      </c>
      <c r="D635" s="84"/>
      <c r="E635" s="86" t="s">
        <v>406</v>
      </c>
      <c r="F635" s="90">
        <v>1360</v>
      </c>
      <c r="G635" s="115">
        <v>1</v>
      </c>
      <c r="H635" s="115">
        <v>1</v>
      </c>
      <c r="I635" s="295">
        <f t="shared" si="4"/>
      </c>
      <c r="J635" s="98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</row>
    <row r="636">
      <c r="A636" s="266" t="s">
        <v>656</v>
      </c>
      <c r="B636" s="266">
        <v>46157</v>
      </c>
      <c r="C636" s="94">
        <v>697884024063100</v>
      </c>
      <c r="D636" s="84"/>
      <c r="E636" s="86" t="s">
        <v>646</v>
      </c>
      <c r="F636" s="90">
        <v>68</v>
      </c>
      <c r="G636" s="115">
        <v>80</v>
      </c>
      <c r="H636" s="115">
        <v>80</v>
      </c>
      <c r="I636" s="295">
        <f t="shared" si="4"/>
      </c>
      <c r="J636" s="98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</row>
    <row r="637">
      <c r="A637" s="266"/>
      <c r="B637" s="266"/>
      <c r="C637" s="94">
        <v>697884024064800</v>
      </c>
      <c r="D637" s="84"/>
      <c r="E637" s="86" t="s">
        <v>647</v>
      </c>
      <c r="F637" s="90">
        <v>155.72</v>
      </c>
      <c r="G637" s="115">
        <v>22</v>
      </c>
      <c r="H637" s="115">
        <v>22</v>
      </c>
      <c r="I637" s="295">
        <f t="shared" si="4"/>
      </c>
      <c r="J637" s="98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</row>
    <row r="638">
      <c r="A638" s="266"/>
      <c r="B638" s="266"/>
      <c r="C638" s="94">
        <v>697884024065500</v>
      </c>
      <c r="D638" s="84"/>
      <c r="E638" s="86" t="s">
        <v>648</v>
      </c>
      <c r="F638" s="90">
        <v>333.2</v>
      </c>
      <c r="G638" s="115">
        <v>17</v>
      </c>
      <c r="H638" s="115">
        <v>17</v>
      </c>
      <c r="I638" s="295">
        <f t="shared" si="4"/>
      </c>
      <c r="J638" s="98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</row>
    <row r="639">
      <c r="A639" s="266" t="s">
        <v>657</v>
      </c>
      <c r="B639" s="266">
        <v>46161</v>
      </c>
      <c r="C639" s="94">
        <v>692639140426200</v>
      </c>
      <c r="D639" s="84"/>
      <c r="E639" s="86" t="s">
        <v>336</v>
      </c>
      <c r="F639" s="90">
        <v>155.72</v>
      </c>
      <c r="G639" s="115">
        <v>48</v>
      </c>
      <c r="H639" s="115">
        <v>48</v>
      </c>
      <c r="I639" s="295">
        <f t="shared" si="4"/>
      </c>
      <c r="J639" s="98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</row>
    <row r="640">
      <c r="A640" s="266"/>
      <c r="B640" s="266"/>
      <c r="C640" s="94">
        <v>692639140340100</v>
      </c>
      <c r="D640" s="84"/>
      <c r="E640" s="86" t="s">
        <v>456</v>
      </c>
      <c r="F640" s="90">
        <v>1360</v>
      </c>
      <c r="G640" s="115">
        <v>15</v>
      </c>
      <c r="H640" s="115">
        <v>15</v>
      </c>
      <c r="I640" s="295">
        <f t="shared" si="4"/>
      </c>
      <c r="J640" s="98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</row>
    <row r="641">
      <c r="A641" s="266"/>
      <c r="B641" s="266"/>
      <c r="C641" s="94">
        <v>692639140216900</v>
      </c>
      <c r="D641" s="84"/>
      <c r="E641" s="86" t="s">
        <v>598</v>
      </c>
      <c r="F641" s="90">
        <v>83</v>
      </c>
      <c r="G641" s="115">
        <v>22</v>
      </c>
      <c r="H641" s="115">
        <v>22</v>
      </c>
      <c r="I641" s="295">
        <f t="shared" si="4"/>
      </c>
      <c r="J641" s="98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</row>
    <row r="642">
      <c r="A642" s="266"/>
      <c r="B642" s="266"/>
      <c r="C642" s="94">
        <v>692639149817900</v>
      </c>
      <c r="D642" s="84"/>
      <c r="E642" s="86" t="s">
        <v>450</v>
      </c>
      <c r="F642" s="90">
        <v>1550.4</v>
      </c>
      <c r="G642" s="115">
        <v>3</v>
      </c>
      <c r="H642" s="115">
        <v>3</v>
      </c>
      <c r="I642" s="295">
        <f t="shared" si="4"/>
      </c>
      <c r="J642" s="98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</row>
    <row r="643">
      <c r="A643" s="266"/>
      <c r="B643" s="266"/>
      <c r="C643" s="94">
        <v>697884024020400</v>
      </c>
      <c r="D643" s="84"/>
      <c r="E643" s="86" t="s">
        <v>538</v>
      </c>
      <c r="F643" s="90">
        <v>299.2</v>
      </c>
      <c r="G643" s="115">
        <v>2</v>
      </c>
      <c r="H643" s="115">
        <v>2</v>
      </c>
      <c r="I643" s="295">
        <f t="shared" si="4"/>
      </c>
      <c r="J643" s="98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</row>
    <row r="644">
      <c r="A644" s="266"/>
      <c r="B644" s="266"/>
      <c r="C644" s="94">
        <v>692639140088200</v>
      </c>
      <c r="D644" s="84"/>
      <c r="E644" s="86" t="s">
        <v>520</v>
      </c>
      <c r="F644" s="90">
        <v>204</v>
      </c>
      <c r="G644" s="115">
        <v>6</v>
      </c>
      <c r="H644" s="115">
        <v>6</v>
      </c>
      <c r="I644" s="295">
        <f t="shared" si="4"/>
      </c>
      <c r="J644" s="98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</row>
    <row r="645">
      <c r="A645" s="266" t="s">
        <v>658</v>
      </c>
      <c r="B645" s="266">
        <v>46163</v>
      </c>
      <c r="C645" s="94">
        <v>692639140499600</v>
      </c>
      <c r="D645" s="84"/>
      <c r="E645" s="86" t="s">
        <v>530</v>
      </c>
      <c r="F645" s="90">
        <v>1421.2</v>
      </c>
      <c r="G645" s="302">
        <v>5</v>
      </c>
      <c r="H645" s="302">
        <v>5</v>
      </c>
      <c r="I645" s="295">
        <f t="shared" si="4"/>
      </c>
      <c r="J645" s="98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</row>
    <row r="646">
      <c r="A646" s="266"/>
      <c r="B646" s="266"/>
      <c r="C646" s="94">
        <v>692639140471200</v>
      </c>
      <c r="D646" s="84"/>
      <c r="E646" s="86" t="s">
        <v>314</v>
      </c>
      <c r="F646" s="90">
        <v>214.2</v>
      </c>
      <c r="G646" s="302">
        <v>7</v>
      </c>
      <c r="H646" s="302">
        <v>7</v>
      </c>
      <c r="I646" s="295">
        <f t="shared" si="4"/>
      </c>
      <c r="J646" s="98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</row>
    <row r="647">
      <c r="A647" s="266"/>
      <c r="B647" s="266"/>
      <c r="C647" s="94">
        <v>697884024077800</v>
      </c>
      <c r="D647" s="84"/>
      <c r="E647" s="86" t="s">
        <v>300</v>
      </c>
      <c r="F647" s="90">
        <v>401.2</v>
      </c>
      <c r="G647" s="302">
        <v>20</v>
      </c>
      <c r="H647" s="302">
        <v>20</v>
      </c>
      <c r="I647" s="295">
        <f t="shared" si="4"/>
      </c>
      <c r="J647" s="98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</row>
    <row r="648">
      <c r="A648" s="266"/>
      <c r="B648" s="266"/>
      <c r="C648" s="94">
        <v>692639140472900</v>
      </c>
      <c r="D648" s="84"/>
      <c r="E648" s="86" t="s">
        <v>316</v>
      </c>
      <c r="F648" s="90">
        <v>369.92</v>
      </c>
      <c r="G648" s="302">
        <v>5</v>
      </c>
      <c r="H648" s="302">
        <v>5</v>
      </c>
      <c r="I648" s="295">
        <f t="shared" si="4"/>
      </c>
      <c r="J648" s="98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</row>
    <row r="649">
      <c r="A649" s="266"/>
      <c r="B649" s="266"/>
      <c r="C649" s="94">
        <v>692639140216900</v>
      </c>
      <c r="D649" s="84"/>
      <c r="E649" s="86" t="s">
        <v>598</v>
      </c>
      <c r="F649" s="90">
        <v>83</v>
      </c>
      <c r="G649" s="302">
        <v>2</v>
      </c>
      <c r="H649" s="302">
        <v>2</v>
      </c>
      <c r="I649" s="295">
        <f t="shared" si="4"/>
      </c>
      <c r="J649" s="98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</row>
    <row r="650">
      <c r="A650" s="266"/>
      <c r="B650" s="266"/>
      <c r="C650" s="94">
        <v>692639140254100</v>
      </c>
      <c r="D650" s="84"/>
      <c r="E650" s="86" t="s">
        <v>404</v>
      </c>
      <c r="F650" s="90">
        <v>408</v>
      </c>
      <c r="G650" s="302">
        <v>80</v>
      </c>
      <c r="H650" s="302">
        <v>80</v>
      </c>
      <c r="I650" s="295">
        <f t="shared" si="4"/>
      </c>
      <c r="J650" s="301">
        <f>G650-H650</f>
      </c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</row>
    <row r="651">
      <c r="A651" s="266"/>
      <c r="B651" s="266"/>
      <c r="C651" s="94">
        <v>697884024018100</v>
      </c>
      <c r="D651" s="84"/>
      <c r="E651" s="86" t="s">
        <v>536</v>
      </c>
      <c r="F651" s="90">
        <v>901</v>
      </c>
      <c r="G651" s="302">
        <v>4</v>
      </c>
      <c r="H651" s="302">
        <v>4</v>
      </c>
      <c r="I651" s="295">
        <f t="shared" si="4"/>
      </c>
      <c r="J651" s="98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</row>
    <row r="652">
      <c r="A652" s="266"/>
      <c r="B652" s="266"/>
      <c r="C652" s="94">
        <v>697884024020400</v>
      </c>
      <c r="D652" s="84"/>
      <c r="E652" s="86" t="s">
        <v>538</v>
      </c>
      <c r="F652" s="90">
        <v>299.2</v>
      </c>
      <c r="G652" s="302">
        <v>8</v>
      </c>
      <c r="H652" s="302">
        <v>8</v>
      </c>
      <c r="I652" s="295">
        <f t="shared" si="4"/>
      </c>
      <c r="J652" s="98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</row>
    <row r="653">
      <c r="A653" s="266"/>
      <c r="B653" s="266"/>
      <c r="C653" s="94">
        <v>692639140451400</v>
      </c>
      <c r="D653" s="84"/>
      <c r="E653" s="86" t="s">
        <v>470</v>
      </c>
      <c r="F653" s="90">
        <v>204</v>
      </c>
      <c r="G653" s="302">
        <v>30</v>
      </c>
      <c r="H653" s="302">
        <v>30</v>
      </c>
      <c r="I653" s="295">
        <f t="shared" si="4"/>
      </c>
      <c r="J653" s="98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</row>
    <row r="654">
      <c r="A654" s="266"/>
      <c r="B654" s="266"/>
      <c r="C654" s="94">
        <v>692639140500900</v>
      </c>
      <c r="D654" s="84"/>
      <c r="E654" s="86" t="s">
        <v>532</v>
      </c>
      <c r="F654" s="90">
        <v>1360</v>
      </c>
      <c r="G654" s="302">
        <v>6</v>
      </c>
      <c r="H654" s="302">
        <v>6</v>
      </c>
      <c r="I654" s="295">
        <f t="shared" si="4"/>
      </c>
      <c r="J654" s="98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</row>
    <row r="655">
      <c r="A655" s="266"/>
      <c r="B655" s="266"/>
      <c r="C655" s="94">
        <v>692639140361600</v>
      </c>
      <c r="D655" s="84"/>
      <c r="E655" s="86" t="s">
        <v>433</v>
      </c>
      <c r="F655" s="90">
        <v>714</v>
      </c>
      <c r="G655" s="302">
        <v>10</v>
      </c>
      <c r="H655" s="302">
        <v>10</v>
      </c>
      <c r="I655" s="295">
        <f t="shared" si="4"/>
      </c>
      <c r="J655" s="98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</row>
    <row r="656">
      <c r="A656" s="266"/>
      <c r="B656" s="266"/>
      <c r="C656" s="94">
        <v>697884024034100</v>
      </c>
      <c r="D656" s="84"/>
      <c r="E656" s="86" t="s">
        <v>562</v>
      </c>
      <c r="F656" s="90">
        <v>1020</v>
      </c>
      <c r="G656" s="302">
        <v>3</v>
      </c>
      <c r="H656" s="302">
        <v>3</v>
      </c>
      <c r="I656" s="295">
        <f t="shared" si="4"/>
      </c>
      <c r="J656" s="98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</row>
    <row r="657">
      <c r="A657" s="266"/>
      <c r="B657" s="266"/>
      <c r="C657" s="94">
        <v>692639140087500</v>
      </c>
      <c r="D657" s="84"/>
      <c r="E657" s="86" t="s">
        <v>406</v>
      </c>
      <c r="F657" s="90">
        <v>1360</v>
      </c>
      <c r="G657" s="302">
        <v>3</v>
      </c>
      <c r="H657" s="302">
        <v>3</v>
      </c>
      <c r="I657" s="295">
        <f t="shared" si="4"/>
      </c>
      <c r="J657" s="98"/>
      <c r="K657" s="303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</row>
    <row r="658">
      <c r="A658" s="266"/>
      <c r="B658" s="266"/>
      <c r="C658" s="94">
        <v>692639140452100</v>
      </c>
      <c r="D658" s="84"/>
      <c r="E658" s="86" t="s">
        <v>472</v>
      </c>
      <c r="F658" s="90">
        <v>119</v>
      </c>
      <c r="G658" s="302">
        <v>6</v>
      </c>
      <c r="H658" s="302">
        <v>6</v>
      </c>
      <c r="I658" s="295">
        <f t="shared" si="4"/>
      </c>
      <c r="J658" s="98"/>
      <c r="K658" s="303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</row>
    <row r="659">
      <c r="A659" s="266"/>
      <c r="B659" s="266"/>
      <c r="C659" s="94">
        <v>692639140426200</v>
      </c>
      <c r="D659" s="84"/>
      <c r="E659" s="86" t="s">
        <v>336</v>
      </c>
      <c r="F659" s="90">
        <v>155.72</v>
      </c>
      <c r="G659" s="302">
        <v>8</v>
      </c>
      <c r="H659" s="302">
        <v>8</v>
      </c>
      <c r="I659" s="295">
        <f t="shared" si="4"/>
      </c>
      <c r="J659" s="98"/>
      <c r="K659" s="303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</row>
    <row r="660">
      <c r="A660" s="266"/>
      <c r="B660" s="266"/>
      <c r="C660" s="94">
        <v>692639140456900</v>
      </c>
      <c r="D660" s="84"/>
      <c r="E660" s="86" t="s">
        <v>302</v>
      </c>
      <c r="F660" s="90">
        <v>176.12</v>
      </c>
      <c r="G660" s="302">
        <v>13</v>
      </c>
      <c r="H660" s="302">
        <v>13</v>
      </c>
      <c r="I660" s="295">
        <f t="shared" si="4"/>
      </c>
      <c r="J660" s="98"/>
      <c r="K660" s="303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</row>
    <row r="661">
      <c r="A661" s="266"/>
      <c r="B661" s="266"/>
      <c r="C661" s="94">
        <v>692639140409500</v>
      </c>
      <c r="D661" s="84"/>
      <c r="E661" s="86" t="s">
        <v>340</v>
      </c>
      <c r="F661" s="90">
        <v>629</v>
      </c>
      <c r="G661" s="302">
        <v>2</v>
      </c>
      <c r="H661" s="302">
        <v>2</v>
      </c>
      <c r="I661" s="295">
        <f t="shared" si="4"/>
      </c>
      <c r="J661" s="98"/>
      <c r="K661" s="303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</row>
    <row r="662">
      <c r="A662" s="266"/>
      <c r="B662" s="266"/>
      <c r="C662" s="94">
        <v>692639140088200</v>
      </c>
      <c r="D662" s="84"/>
      <c r="E662" s="86" t="s">
        <v>520</v>
      </c>
      <c r="F662" s="90">
        <v>204</v>
      </c>
      <c r="G662" s="302">
        <v>30</v>
      </c>
      <c r="H662" s="302">
        <v>30</v>
      </c>
      <c r="I662" s="295">
        <f t="shared" si="4"/>
      </c>
      <c r="J662" s="98"/>
      <c r="K662" s="303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</row>
    <row r="663">
      <c r="A663" s="266"/>
      <c r="B663" s="266"/>
      <c r="C663" s="94">
        <v>692639140450700</v>
      </c>
      <c r="D663" s="84"/>
      <c r="E663" s="86" t="s">
        <v>468</v>
      </c>
      <c r="F663" s="90">
        <v>1360</v>
      </c>
      <c r="G663" s="302">
        <v>1</v>
      </c>
      <c r="H663" s="302">
        <v>1</v>
      </c>
      <c r="I663" s="295">
        <f t="shared" si="4"/>
      </c>
      <c r="J663" s="98"/>
      <c r="K663" s="303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</row>
    <row r="664">
      <c r="A664" s="266"/>
      <c r="B664" s="266"/>
      <c r="C664" s="94">
        <v>692639140418700</v>
      </c>
      <c r="D664" s="84"/>
      <c r="E664" s="86" t="s">
        <v>622</v>
      </c>
      <c r="F664" s="90">
        <v>84.66</v>
      </c>
      <c r="G664" s="302">
        <v>4</v>
      </c>
      <c r="H664" s="302">
        <v>4</v>
      </c>
      <c r="I664" s="295">
        <f t="shared" si="4"/>
      </c>
      <c r="J664" s="98"/>
      <c r="K664" s="303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</row>
    <row r="665">
      <c r="A665" s="266"/>
      <c r="B665" s="266"/>
      <c r="C665" s="94">
        <v>692639140467500</v>
      </c>
      <c r="D665" s="84"/>
      <c r="E665" s="86" t="s">
        <v>306</v>
      </c>
      <c r="F665" s="90">
        <v>224.4</v>
      </c>
      <c r="G665" s="302">
        <v>3</v>
      </c>
      <c r="H665" s="302">
        <v>3</v>
      </c>
      <c r="I665" s="295">
        <f t="shared" si="4"/>
      </c>
      <c r="J665" s="98"/>
      <c r="K665" s="303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</row>
    <row r="666">
      <c r="A666" s="266"/>
      <c r="B666" s="266"/>
      <c r="C666" s="304">
        <v>2508050002</v>
      </c>
      <c r="D666" s="305" t="s">
        <v>541</v>
      </c>
      <c r="E666" s="306" t="s">
        <v>541</v>
      </c>
      <c r="F666" s="307">
        <v>0</v>
      </c>
      <c r="G666" s="308">
        <v>2</v>
      </c>
      <c r="H666" s="308">
        <v>2</v>
      </c>
      <c r="I666" s="295">
        <f t="shared" si="4"/>
      </c>
      <c r="J666" s="98"/>
      <c r="K666" s="303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</row>
    <row r="667">
      <c r="A667" s="266"/>
      <c r="B667" s="266"/>
      <c r="C667" s="304">
        <v>2508050003</v>
      </c>
      <c r="D667" s="305" t="s">
        <v>512</v>
      </c>
      <c r="E667" s="306" t="s">
        <v>512</v>
      </c>
      <c r="F667" s="307">
        <v>0</v>
      </c>
      <c r="G667" s="308">
        <v>1</v>
      </c>
      <c r="H667" s="308">
        <v>1</v>
      </c>
      <c r="I667" s="295">
        <f t="shared" si="4"/>
      </c>
      <c r="J667" s="98"/>
      <c r="K667" s="303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</row>
    <row r="668">
      <c r="A668" s="266" t="s">
        <v>659</v>
      </c>
      <c r="B668" s="266">
        <v>46170</v>
      </c>
      <c r="C668" s="94">
        <v>697884024077800</v>
      </c>
      <c r="D668" s="84"/>
      <c r="E668" s="86" t="s">
        <v>300</v>
      </c>
      <c r="F668" s="90">
        <v>401.2</v>
      </c>
      <c r="G668" s="115">
        <v>10</v>
      </c>
      <c r="H668" s="115">
        <v>10</v>
      </c>
      <c r="I668" s="295">
        <f t="shared" si="4"/>
      </c>
      <c r="J668" s="98"/>
      <c r="K668" s="303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</row>
    <row r="669">
      <c r="A669" s="266"/>
      <c r="B669" s="266"/>
      <c r="C669" s="94">
        <v>692639140469900</v>
      </c>
      <c r="D669" s="84"/>
      <c r="E669" s="86" t="s">
        <v>310</v>
      </c>
      <c r="F669" s="90">
        <v>1252.9</v>
      </c>
      <c r="G669" s="115">
        <v>10</v>
      </c>
      <c r="H669" s="115">
        <v>10</v>
      </c>
      <c r="I669" s="295">
        <f t="shared" si="4"/>
      </c>
      <c r="J669" s="98"/>
      <c r="K669" s="303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</row>
    <row r="670">
      <c r="A670" s="266"/>
      <c r="B670" s="266"/>
      <c r="C670" s="94">
        <v>692639140418700</v>
      </c>
      <c r="D670" s="84"/>
      <c r="E670" s="86" t="s">
        <v>622</v>
      </c>
      <c r="F670" s="90">
        <v>84.66</v>
      </c>
      <c r="G670" s="115">
        <v>40</v>
      </c>
      <c r="H670" s="115">
        <v>40</v>
      </c>
      <c r="I670" s="295">
        <f t="shared" si="4"/>
      </c>
      <c r="J670" s="98"/>
      <c r="K670" s="303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</row>
    <row r="671">
      <c r="A671" s="266"/>
      <c r="B671" s="266"/>
      <c r="C671" s="94">
        <v>692639140088200</v>
      </c>
      <c r="D671" s="84"/>
      <c r="E671" s="86" t="s">
        <v>520</v>
      </c>
      <c r="F671" s="90">
        <v>204</v>
      </c>
      <c r="G671" s="115">
        <v>78</v>
      </c>
      <c r="H671" s="115">
        <v>78</v>
      </c>
      <c r="I671" s="295">
        <f t="shared" si="4"/>
      </c>
      <c r="J671" s="98"/>
      <c r="K671" s="303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</row>
    <row r="672">
      <c r="A672" s="266"/>
      <c r="B672" s="266"/>
      <c r="C672" s="94">
        <v>692639140499600</v>
      </c>
      <c r="D672" s="84"/>
      <c r="E672" s="86" t="s">
        <v>530</v>
      </c>
      <c r="F672" s="90">
        <v>1421.2</v>
      </c>
      <c r="G672" s="115">
        <v>1</v>
      </c>
      <c r="H672" s="115">
        <v>1</v>
      </c>
      <c r="I672" s="295">
        <f t="shared" si="4"/>
      </c>
      <c r="J672" s="98"/>
      <c r="K672" s="303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</row>
    <row r="673">
      <c r="A673" s="266"/>
      <c r="B673" s="266"/>
      <c r="C673" s="94">
        <v>692639140467500</v>
      </c>
      <c r="D673" s="84"/>
      <c r="E673" s="86" t="s">
        <v>306</v>
      </c>
      <c r="F673" s="90">
        <v>224.4</v>
      </c>
      <c r="G673" s="115">
        <v>16</v>
      </c>
      <c r="H673" s="115">
        <v>16</v>
      </c>
      <c r="I673" s="295">
        <f t="shared" si="4"/>
      </c>
      <c r="J673" s="98"/>
      <c r="K673" s="303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</row>
    <row r="674">
      <c r="A674" s="266"/>
      <c r="B674" s="266"/>
      <c r="C674" s="94">
        <v>692639140254100</v>
      </c>
      <c r="D674" s="84"/>
      <c r="E674" s="86" t="s">
        <v>404</v>
      </c>
      <c r="F674" s="90">
        <v>408</v>
      </c>
      <c r="G674" s="115">
        <v>24</v>
      </c>
      <c r="H674" s="115">
        <v>24</v>
      </c>
      <c r="I674" s="295">
        <f t="shared" si="4"/>
      </c>
      <c r="J674" s="98"/>
      <c r="K674" s="303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</row>
    <row r="675">
      <c r="A675" s="266"/>
      <c r="B675" s="266"/>
      <c r="C675" s="94">
        <v>692639140361600</v>
      </c>
      <c r="D675" s="84"/>
      <c r="E675" s="86" t="s">
        <v>433</v>
      </c>
      <c r="F675" s="90">
        <v>714</v>
      </c>
      <c r="G675" s="115">
        <v>5</v>
      </c>
      <c r="H675" s="115">
        <v>5</v>
      </c>
      <c r="I675" s="295">
        <f t="shared" si="4"/>
      </c>
      <c r="J675" s="98"/>
      <c r="K675" s="303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</row>
    <row r="676">
      <c r="A676" s="266"/>
      <c r="B676" s="266"/>
      <c r="C676" s="94">
        <v>692639140500900</v>
      </c>
      <c r="D676" s="84"/>
      <c r="E676" s="86" t="s">
        <v>532</v>
      </c>
      <c r="F676" s="90">
        <v>1360</v>
      </c>
      <c r="G676" s="115">
        <v>2</v>
      </c>
      <c r="H676" s="115">
        <v>2</v>
      </c>
      <c r="I676" s="295">
        <f t="shared" si="4"/>
      </c>
      <c r="J676" s="98"/>
      <c r="K676" s="303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</row>
    <row r="677">
      <c r="A677" s="266"/>
      <c r="B677" s="266"/>
      <c r="C677" s="94">
        <v>692639140450700</v>
      </c>
      <c r="D677" s="84"/>
      <c r="E677" s="86" t="s">
        <v>468</v>
      </c>
      <c r="F677" s="90">
        <v>1360</v>
      </c>
      <c r="G677" s="115">
        <v>6</v>
      </c>
      <c r="H677" s="115">
        <v>6</v>
      </c>
      <c r="I677" s="295">
        <f t="shared" si="4"/>
      </c>
      <c r="J677" s="98"/>
      <c r="K677" s="303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</row>
    <row r="678">
      <c r="A678" s="266"/>
      <c r="B678" s="266"/>
      <c r="C678" s="94">
        <v>692639140087500</v>
      </c>
      <c r="D678" s="84"/>
      <c r="E678" s="86" t="s">
        <v>406</v>
      </c>
      <c r="F678" s="90">
        <v>1360</v>
      </c>
      <c r="G678" s="115">
        <v>6</v>
      </c>
      <c r="H678" s="115">
        <v>6</v>
      </c>
      <c r="I678" s="295">
        <f t="shared" si="4"/>
      </c>
      <c r="J678" s="98"/>
      <c r="K678" s="303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</row>
    <row r="679">
      <c r="A679" s="266"/>
      <c r="B679" s="266"/>
      <c r="C679" s="94">
        <v>692639140452100</v>
      </c>
      <c r="D679" s="84"/>
      <c r="E679" s="86" t="s">
        <v>472</v>
      </c>
      <c r="F679" s="90">
        <v>119</v>
      </c>
      <c r="G679" s="115">
        <v>12</v>
      </c>
      <c r="H679" s="115">
        <v>12</v>
      </c>
      <c r="I679" s="295">
        <f t="shared" si="4"/>
      </c>
      <c r="J679" s="98"/>
      <c r="K679" s="303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</row>
    <row r="680">
      <c r="A680" s="266"/>
      <c r="B680" s="266"/>
      <c r="C680" s="94">
        <v>697884024018100</v>
      </c>
      <c r="D680" s="84"/>
      <c r="E680" s="86" t="s">
        <v>536</v>
      </c>
      <c r="F680" s="90">
        <v>901</v>
      </c>
      <c r="G680" s="115">
        <v>2</v>
      </c>
      <c r="H680" s="115">
        <v>2</v>
      </c>
      <c r="I680" s="295">
        <f t="shared" si="4"/>
      </c>
      <c r="J680" s="98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</row>
    <row r="681">
      <c r="A681" s="266"/>
      <c r="B681" s="266"/>
      <c r="C681" s="94">
        <v>692639140426200</v>
      </c>
      <c r="D681" s="84"/>
      <c r="E681" s="86" t="s">
        <v>336</v>
      </c>
      <c r="F681" s="90">
        <v>155.72</v>
      </c>
      <c r="G681" s="115">
        <v>24</v>
      </c>
      <c r="H681" s="115">
        <v>24</v>
      </c>
      <c r="I681" s="295">
        <f t="shared" si="4"/>
      </c>
      <c r="J681" s="98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</row>
    <row r="682">
      <c r="A682" s="266"/>
      <c r="B682" s="266"/>
      <c r="C682" s="94">
        <v>692639140340100</v>
      </c>
      <c r="D682" s="84"/>
      <c r="E682" s="86" t="s">
        <v>456</v>
      </c>
      <c r="F682" s="90">
        <v>1360</v>
      </c>
      <c r="G682" s="115">
        <v>6</v>
      </c>
      <c r="H682" s="115">
        <v>6</v>
      </c>
      <c r="I682" s="295">
        <f t="shared" si="4"/>
      </c>
      <c r="J682" s="98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</row>
    <row r="683">
      <c r="A683" s="266" t="s">
        <v>660</v>
      </c>
      <c r="B683" s="169">
        <v>46171</v>
      </c>
      <c r="C683" s="117">
        <v>697884024045700</v>
      </c>
      <c r="D683" s="84" t="s">
        <v>580</v>
      </c>
      <c r="E683" s="118" t="s">
        <v>581</v>
      </c>
      <c r="F683" s="110">
        <v>19.5</v>
      </c>
      <c r="G683" s="204">
        <v>1000</v>
      </c>
      <c r="H683" s="89">
        <v>0</v>
      </c>
      <c r="I683" s="295">
        <f t="shared" si="4"/>
      </c>
      <c r="J683" s="290">
        <f>G683-H683</f>
      </c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</row>
    <row r="684">
      <c r="A684" s="266" t="s">
        <v>661</v>
      </c>
      <c r="B684" s="266">
        <v>46174</v>
      </c>
      <c r="C684" s="94">
        <v>692639140471200</v>
      </c>
      <c r="D684" s="84"/>
      <c r="E684" s="86" t="s">
        <v>314</v>
      </c>
      <c r="F684" s="90">
        <v>214.2</v>
      </c>
      <c r="G684" s="115">
        <v>3</v>
      </c>
      <c r="H684" s="115">
        <v>3</v>
      </c>
      <c r="I684" s="295">
        <f t="shared" si="4"/>
      </c>
      <c r="J684" s="98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</row>
    <row r="685">
      <c r="A685" s="93"/>
      <c r="B685" s="93"/>
      <c r="C685" s="94">
        <v>692639140450700</v>
      </c>
      <c r="D685" s="84"/>
      <c r="E685" s="86" t="s">
        <v>468</v>
      </c>
      <c r="F685" s="90">
        <v>1360</v>
      </c>
      <c r="G685" s="115">
        <v>6</v>
      </c>
      <c r="H685" s="115">
        <v>6</v>
      </c>
      <c r="I685" s="295">
        <f t="shared" si="4"/>
      </c>
      <c r="J685" s="98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</row>
    <row r="686">
      <c r="A686" s="93"/>
      <c r="B686" s="93"/>
      <c r="C686" s="94">
        <v>692639140087500</v>
      </c>
      <c r="D686" s="84"/>
      <c r="E686" s="86" t="s">
        <v>406</v>
      </c>
      <c r="F686" s="90">
        <v>1360</v>
      </c>
      <c r="G686" s="115">
        <v>6</v>
      </c>
      <c r="H686" s="115">
        <v>6</v>
      </c>
      <c r="I686" s="295">
        <f t="shared" si="4"/>
      </c>
      <c r="J686" s="98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</row>
    <row r="687">
      <c r="A687" s="93"/>
      <c r="B687" s="93"/>
      <c r="C687" s="94">
        <v>692639140452100</v>
      </c>
      <c r="D687" s="84"/>
      <c r="E687" s="86" t="s">
        <v>472</v>
      </c>
      <c r="F687" s="90">
        <v>119</v>
      </c>
      <c r="G687" s="115">
        <v>12</v>
      </c>
      <c r="H687" s="115">
        <v>12</v>
      </c>
      <c r="I687" s="295">
        <f t="shared" si="4"/>
      </c>
      <c r="J687" s="98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</row>
    <row r="688">
      <c r="A688" s="93"/>
      <c r="B688" s="93"/>
      <c r="C688" s="94">
        <v>692639140451400</v>
      </c>
      <c r="D688" s="84"/>
      <c r="E688" s="86" t="s">
        <v>470</v>
      </c>
      <c r="F688" s="90">
        <v>204</v>
      </c>
      <c r="G688" s="115">
        <v>12</v>
      </c>
      <c r="H688" s="115">
        <v>12</v>
      </c>
      <c r="I688" s="295">
        <f t="shared" si="4"/>
      </c>
      <c r="J688" s="98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</row>
    <row r="689">
      <c r="A689" s="93"/>
      <c r="B689" s="93"/>
      <c r="C689" s="94">
        <v>697884024114000</v>
      </c>
      <c r="D689" s="84"/>
      <c r="E689" s="86" t="s">
        <v>662</v>
      </c>
      <c r="F689" s="90">
        <v>101.32</v>
      </c>
      <c r="G689" s="115">
        <v>10</v>
      </c>
      <c r="H689" s="115">
        <v>10</v>
      </c>
      <c r="I689" s="295">
        <f t="shared" si="4"/>
      </c>
      <c r="J689" s="98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</row>
    <row r="690">
      <c r="A690" s="266" t="s">
        <v>663</v>
      </c>
      <c r="B690" s="266">
        <v>46181</v>
      </c>
      <c r="C690" s="309">
        <v>692639140426200</v>
      </c>
      <c r="D690" s="84"/>
      <c r="E690" s="310" t="s">
        <v>336</v>
      </c>
      <c r="F690" s="311">
        <v>155.72</v>
      </c>
      <c r="G690" s="312">
        <v>48</v>
      </c>
      <c r="H690" s="312">
        <v>48</v>
      </c>
      <c r="I690" s="295">
        <f t="shared" si="4"/>
      </c>
      <c r="J690" s="290">
        <f t="shared" ref="J690:J701" si="6">G690-H690</f>
      </c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</row>
    <row r="691">
      <c r="A691" s="266"/>
      <c r="B691" s="266"/>
      <c r="C691" s="309">
        <v>692639140331900</v>
      </c>
      <c r="D691" s="84"/>
      <c r="E691" s="310" t="s">
        <v>356</v>
      </c>
      <c r="F691" s="311">
        <v>1752</v>
      </c>
      <c r="G691" s="312">
        <v>4</v>
      </c>
      <c r="H691" s="312">
        <v>4</v>
      </c>
      <c r="I691" s="295">
        <f t="shared" si="4"/>
      </c>
      <c r="J691" s="290">
        <f t="shared" si="6"/>
      </c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</row>
    <row r="692">
      <c r="A692" s="266"/>
      <c r="B692" s="266"/>
      <c r="C692" s="309">
        <v>692639140467500</v>
      </c>
      <c r="D692" s="84"/>
      <c r="E692" s="310" t="s">
        <v>306</v>
      </c>
      <c r="F692" s="311">
        <v>224.4</v>
      </c>
      <c r="G692" s="312">
        <v>48</v>
      </c>
      <c r="H692" s="312">
        <v>48</v>
      </c>
      <c r="I692" s="295">
        <f t="shared" si="4"/>
      </c>
      <c r="J692" s="290">
        <f t="shared" si="6"/>
      </c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</row>
    <row r="693">
      <c r="A693" s="266"/>
      <c r="B693" s="266"/>
      <c r="C693" s="309">
        <v>692639140456900</v>
      </c>
      <c r="D693" s="84"/>
      <c r="E693" s="310" t="s">
        <v>302</v>
      </c>
      <c r="F693" s="311">
        <v>176.12</v>
      </c>
      <c r="G693" s="312">
        <v>70</v>
      </c>
      <c r="H693" s="312">
        <v>70</v>
      </c>
      <c r="I693" s="295">
        <f t="shared" si="4"/>
      </c>
      <c r="J693" s="290">
        <f t="shared" si="6"/>
      </c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</row>
    <row r="694">
      <c r="A694" s="266"/>
      <c r="B694" s="266"/>
      <c r="C694" s="309">
        <v>692639140361600</v>
      </c>
      <c r="D694" s="84"/>
      <c r="E694" s="310" t="s">
        <v>433</v>
      </c>
      <c r="F694" s="311">
        <v>714</v>
      </c>
      <c r="G694" s="312">
        <v>15</v>
      </c>
      <c r="H694" s="312">
        <v>15</v>
      </c>
      <c r="I694" s="295">
        <f t="shared" si="4"/>
      </c>
      <c r="J694" s="290">
        <f t="shared" si="6"/>
      </c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</row>
    <row r="695">
      <c r="A695" s="266"/>
      <c r="B695" s="266"/>
      <c r="C695" s="309">
        <v>692639140451400</v>
      </c>
      <c r="D695" s="84"/>
      <c r="E695" s="310" t="s">
        <v>470</v>
      </c>
      <c r="F695" s="311">
        <v>204</v>
      </c>
      <c r="G695" s="312">
        <v>36</v>
      </c>
      <c r="H695" s="312">
        <v>36</v>
      </c>
      <c r="I695" s="295">
        <f t="shared" si="4"/>
      </c>
      <c r="J695" s="290">
        <f t="shared" si="6"/>
      </c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</row>
    <row r="696">
      <c r="A696" s="266"/>
      <c r="B696" s="266"/>
      <c r="C696" s="309">
        <v>692639140500900</v>
      </c>
      <c r="D696" s="84"/>
      <c r="E696" s="313" t="s">
        <v>532</v>
      </c>
      <c r="F696" s="311">
        <v>1360</v>
      </c>
      <c r="G696" s="312">
        <v>6</v>
      </c>
      <c r="H696" s="312">
        <v>6</v>
      </c>
      <c r="I696" s="295">
        <f t="shared" si="4"/>
      </c>
      <c r="J696" s="290">
        <f t="shared" si="6"/>
      </c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</row>
    <row r="697">
      <c r="A697" s="266"/>
      <c r="B697" s="266"/>
      <c r="C697" s="309">
        <v>692639140452100</v>
      </c>
      <c r="D697" s="84"/>
      <c r="E697" s="310" t="s">
        <v>472</v>
      </c>
      <c r="F697" s="311">
        <v>119</v>
      </c>
      <c r="G697" s="312">
        <v>24</v>
      </c>
      <c r="H697" s="312">
        <v>24</v>
      </c>
      <c r="I697" s="295">
        <f t="shared" si="4"/>
      </c>
      <c r="J697" s="290">
        <f t="shared" si="6"/>
      </c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</row>
    <row r="698">
      <c r="A698" s="266"/>
      <c r="B698" s="266"/>
      <c r="C698" s="309">
        <v>697884024034100</v>
      </c>
      <c r="D698" s="84"/>
      <c r="E698" s="313" t="s">
        <v>562</v>
      </c>
      <c r="F698" s="311">
        <v>1020</v>
      </c>
      <c r="G698" s="312">
        <v>5</v>
      </c>
      <c r="H698" s="312">
        <v>5</v>
      </c>
      <c r="I698" s="295">
        <f t="shared" si="4"/>
      </c>
      <c r="J698" s="290">
        <f t="shared" si="6"/>
      </c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</row>
    <row r="699">
      <c r="A699" s="266"/>
      <c r="B699" s="266"/>
      <c r="C699" s="309">
        <v>692639140470500</v>
      </c>
      <c r="D699" s="84"/>
      <c r="E699" s="310" t="s">
        <v>312</v>
      </c>
      <c r="F699" s="311">
        <v>78.2</v>
      </c>
      <c r="G699" s="312">
        <v>96</v>
      </c>
      <c r="H699" s="312">
        <v>96</v>
      </c>
      <c r="I699" s="295">
        <f t="shared" si="4"/>
      </c>
      <c r="J699" s="290">
        <f t="shared" si="6"/>
      </c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</row>
    <row r="700">
      <c r="A700" s="266"/>
      <c r="B700" s="266"/>
      <c r="C700" s="309">
        <v>692639140112400</v>
      </c>
      <c r="D700" s="84"/>
      <c r="E700" s="310" t="s">
        <v>354</v>
      </c>
      <c r="F700" s="311">
        <v>108.8</v>
      </c>
      <c r="G700" s="312">
        <v>18</v>
      </c>
      <c r="H700" s="312">
        <v>18</v>
      </c>
      <c r="I700" s="295">
        <f t="shared" si="4"/>
      </c>
      <c r="J700" s="290">
        <f t="shared" si="6"/>
      </c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</row>
    <row r="701">
      <c r="A701" s="266"/>
      <c r="B701" s="266"/>
      <c r="C701" s="304">
        <v>2508050003</v>
      </c>
      <c r="D701" s="305" t="s">
        <v>512</v>
      </c>
      <c r="E701" s="306" t="s">
        <v>512</v>
      </c>
      <c r="F701" s="314">
        <v>0</v>
      </c>
      <c r="G701" s="315">
        <v>7</v>
      </c>
      <c r="H701" s="316">
        <v>7</v>
      </c>
      <c r="I701" s="295">
        <f t="shared" si="4"/>
      </c>
      <c r="J701" s="290">
        <f t="shared" si="6"/>
      </c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</row>
    <row r="702">
      <c r="A702" s="266" t="s">
        <v>664</v>
      </c>
      <c r="B702" s="317" t="s">
        <v>665</v>
      </c>
      <c r="C702" s="94">
        <v>692639140499600</v>
      </c>
      <c r="D702" s="84" t="s">
        <v>530</v>
      </c>
      <c r="E702" s="86" t="s">
        <v>530</v>
      </c>
      <c r="F702" s="90">
        <v>1421.2</v>
      </c>
      <c r="G702" s="318">
        <v>4</v>
      </c>
      <c r="H702" s="97"/>
      <c r="I702" s="295">
        <f t="shared" si="4"/>
      </c>
      <c r="J702" s="98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</row>
    <row r="703">
      <c r="A703" s="266"/>
      <c r="B703" s="319"/>
      <c r="C703" s="94">
        <v>692639140361600</v>
      </c>
      <c r="D703" s="84" t="s">
        <v>433</v>
      </c>
      <c r="E703" s="86" t="s">
        <v>433</v>
      </c>
      <c r="F703" s="90">
        <v>714</v>
      </c>
      <c r="G703" s="115">
        <v>10</v>
      </c>
      <c r="H703" s="97"/>
      <c r="I703" s="295">
        <f t="shared" si="4"/>
      </c>
      <c r="J703" s="98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</row>
    <row r="704">
      <c r="A704" s="266"/>
      <c r="B704" s="319"/>
      <c r="C704" s="94">
        <v>692639140254100</v>
      </c>
      <c r="D704" s="84" t="s">
        <v>404</v>
      </c>
      <c r="E704" s="86" t="s">
        <v>404</v>
      </c>
      <c r="F704" s="90">
        <v>408</v>
      </c>
      <c r="G704" s="115">
        <v>12</v>
      </c>
      <c r="H704" s="97"/>
      <c r="I704" s="295">
        <f t="shared" si="4"/>
      </c>
      <c r="J704" s="98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</row>
    <row r="705">
      <c r="A705" s="266"/>
      <c r="B705" s="319"/>
      <c r="C705" s="94">
        <v>692639140087500</v>
      </c>
      <c r="D705" s="84" t="s">
        <v>406</v>
      </c>
      <c r="E705" s="86" t="s">
        <v>406</v>
      </c>
      <c r="F705" s="90">
        <v>1360</v>
      </c>
      <c r="G705" s="115">
        <v>6</v>
      </c>
      <c r="H705" s="97"/>
      <c r="I705" s="295">
        <f t="shared" si="4"/>
      </c>
      <c r="J705" s="98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</row>
    <row r="706">
      <c r="A706" s="266"/>
      <c r="B706" s="319"/>
      <c r="C706" s="94">
        <v>692639140470500</v>
      </c>
      <c r="D706" s="84" t="s">
        <v>312</v>
      </c>
      <c r="E706" s="86" t="s">
        <v>312</v>
      </c>
      <c r="F706" s="90">
        <v>78.2</v>
      </c>
      <c r="G706" s="115">
        <v>32</v>
      </c>
      <c r="H706" s="97"/>
      <c r="I706" s="295">
        <f t="shared" si="4"/>
      </c>
      <c r="J706" s="98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</row>
    <row r="707">
      <c r="A707" s="266"/>
      <c r="B707" s="319"/>
      <c r="C707" s="94">
        <v>692639140088200</v>
      </c>
      <c r="D707" s="84" t="s">
        <v>520</v>
      </c>
      <c r="E707" s="86" t="s">
        <v>520</v>
      </c>
      <c r="F707" s="90">
        <v>204</v>
      </c>
      <c r="G707" s="115">
        <v>90</v>
      </c>
      <c r="H707" s="97"/>
      <c r="I707" s="295">
        <f t="shared" si="4"/>
      </c>
      <c r="J707" s="98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</row>
    <row r="708">
      <c r="A708" s="266"/>
      <c r="B708" s="319"/>
      <c r="C708" s="94">
        <v>692639140452100</v>
      </c>
      <c r="D708" s="84" t="s">
        <v>472</v>
      </c>
      <c r="E708" s="86" t="s">
        <v>472</v>
      </c>
      <c r="F708" s="90">
        <v>119</v>
      </c>
      <c r="G708" s="115">
        <v>24</v>
      </c>
      <c r="H708" s="97"/>
      <c r="I708" s="295">
        <f t="shared" si="4"/>
      </c>
      <c r="J708" s="98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</row>
    <row r="709">
      <c r="A709" s="93"/>
      <c r="B709" s="93"/>
      <c r="C709" s="94"/>
      <c r="D709" s="84"/>
      <c r="E709" s="86"/>
      <c r="F709" s="90"/>
      <c r="G709" s="115"/>
      <c r="H709" s="97"/>
      <c r="I709" s="90"/>
      <c r="J709" s="98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</row>
    <row r="710">
      <c r="A710" s="93"/>
      <c r="B710" s="93"/>
      <c r="C710" s="94"/>
      <c r="D710" s="84"/>
      <c r="E710" s="86"/>
      <c r="F710" s="90"/>
      <c r="G710" s="115"/>
      <c r="H710" s="97"/>
      <c r="I710" s="90"/>
      <c r="J710" s="98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</row>
    <row r="711">
      <c r="A711" s="93"/>
      <c r="B711" s="93"/>
      <c r="C711" s="94"/>
      <c r="D711" s="84"/>
      <c r="E711" s="86"/>
      <c r="F711" s="90"/>
      <c r="G711" s="115"/>
      <c r="H711" s="97"/>
      <c r="I711" s="90"/>
      <c r="J711" s="98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</row>
    <row r="712">
      <c r="A712" s="93"/>
      <c r="B712" s="93"/>
      <c r="C712" s="94"/>
      <c r="D712" s="84"/>
      <c r="E712" s="86"/>
      <c r="F712" s="90"/>
      <c r="G712" s="115"/>
      <c r="H712" s="97"/>
      <c r="I712" s="90"/>
      <c r="J712" s="98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</row>
    <row r="713">
      <c r="A713" s="93"/>
      <c r="B713" s="93"/>
      <c r="C713" s="94"/>
      <c r="D713" s="84"/>
      <c r="E713" s="86"/>
      <c r="F713" s="90"/>
      <c r="G713" s="115"/>
      <c r="H713" s="97"/>
      <c r="I713" s="90"/>
      <c r="J713" s="98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</row>
    <row r="714">
      <c r="A714" s="93"/>
      <c r="B714" s="93"/>
      <c r="C714" s="94"/>
      <c r="D714" s="84"/>
      <c r="E714" s="86"/>
      <c r="F714" s="90"/>
      <c r="G714" s="115"/>
      <c r="H714" s="97"/>
      <c r="I714" s="90"/>
      <c r="J714" s="98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</row>
    <row r="715">
      <c r="A715" s="93"/>
      <c r="B715" s="93"/>
      <c r="C715" s="94"/>
      <c r="D715" s="84"/>
      <c r="E715" s="86"/>
      <c r="F715" s="90"/>
      <c r="G715" s="115"/>
      <c r="H715" s="97"/>
      <c r="I715" s="90"/>
      <c r="J715" s="98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</row>
    <row r="716">
      <c r="A716" s="93"/>
      <c r="B716" s="93"/>
      <c r="C716" s="94"/>
      <c r="D716" s="84"/>
      <c r="E716" s="86"/>
      <c r="F716" s="90"/>
      <c r="G716" s="115"/>
      <c r="H716" s="97"/>
      <c r="I716" s="90"/>
      <c r="J716" s="98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</row>
    <row r="717">
      <c r="A717" s="93"/>
      <c r="B717" s="93"/>
      <c r="C717" s="94"/>
      <c r="D717" s="84"/>
      <c r="E717" s="86"/>
      <c r="F717" s="90"/>
      <c r="G717" s="115"/>
      <c r="H717" s="97"/>
      <c r="I717" s="90"/>
      <c r="J717" s="98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</row>
    <row r="718">
      <c r="A718" s="93"/>
      <c r="B718" s="93"/>
      <c r="C718" s="94"/>
      <c r="D718" s="84"/>
      <c r="E718" s="86"/>
      <c r="F718" s="90"/>
      <c r="G718" s="115"/>
      <c r="H718" s="97"/>
      <c r="I718" s="90"/>
      <c r="J718" s="98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</row>
    <row r="719">
      <c r="A719" s="93"/>
      <c r="B719" s="93"/>
      <c r="C719" s="94"/>
      <c r="D719" s="84"/>
      <c r="E719" s="86"/>
      <c r="F719" s="90"/>
      <c r="G719" s="115"/>
      <c r="H719" s="97"/>
      <c r="I719" s="90"/>
      <c r="J719" s="98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</row>
    <row r="720">
      <c r="A720" s="93"/>
      <c r="B720" s="93"/>
      <c r="C720" s="94"/>
      <c r="D720" s="84"/>
      <c r="E720" s="86"/>
      <c r="F720" s="90"/>
      <c r="G720" s="115"/>
      <c r="H720" s="97"/>
      <c r="I720" s="90"/>
      <c r="J720" s="98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</row>
    <row r="721">
      <c r="A721" s="93"/>
      <c r="B721" s="93"/>
      <c r="C721" s="94"/>
      <c r="D721" s="84"/>
      <c r="E721" s="86"/>
      <c r="F721" s="90"/>
      <c r="G721" s="115"/>
      <c r="H721" s="97"/>
      <c r="I721" s="90"/>
      <c r="J721" s="98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</row>
    <row r="722">
      <c r="A722" s="93"/>
      <c r="B722" s="93"/>
      <c r="C722" s="94"/>
      <c r="D722" s="84"/>
      <c r="E722" s="86"/>
      <c r="F722" s="90"/>
      <c r="G722" s="115"/>
      <c r="H722" s="97"/>
      <c r="I722" s="90"/>
      <c r="J722" s="98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</row>
    <row r="723">
      <c r="A723" s="93"/>
      <c r="B723" s="93"/>
      <c r="C723" s="94"/>
      <c r="D723" s="84"/>
      <c r="E723" s="86"/>
      <c r="F723" s="90"/>
      <c r="G723" s="115"/>
      <c r="H723" s="97"/>
      <c r="I723" s="90"/>
      <c r="J723" s="98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</row>
    <row r="724">
      <c r="A724" s="93"/>
      <c r="B724" s="93"/>
      <c r="C724" s="94"/>
      <c r="D724" s="84"/>
      <c r="E724" s="86"/>
      <c r="F724" s="90"/>
      <c r="G724" s="115"/>
      <c r="H724" s="97"/>
      <c r="I724" s="90"/>
      <c r="J724" s="98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</row>
    <row r="725">
      <c r="A725" s="93"/>
      <c r="B725" s="93"/>
      <c r="C725" s="94"/>
      <c r="D725" s="84"/>
      <c r="E725" s="86"/>
      <c r="F725" s="90"/>
      <c r="G725" s="115"/>
      <c r="H725" s="97"/>
      <c r="I725" s="90"/>
      <c r="J725" s="98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</row>
    <row r="726">
      <c r="A726" s="93"/>
      <c r="B726" s="93"/>
      <c r="C726" s="94"/>
      <c r="D726" s="84"/>
      <c r="E726" s="86"/>
      <c r="F726" s="90"/>
      <c r="G726" s="115"/>
      <c r="H726" s="97"/>
      <c r="I726" s="90"/>
      <c r="J726" s="98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</row>
    <row r="727">
      <c r="A727" s="93"/>
      <c r="B727" s="93"/>
      <c r="C727" s="94"/>
      <c r="D727" s="84"/>
      <c r="E727" s="86"/>
      <c r="F727" s="90"/>
      <c r="G727" s="115"/>
      <c r="H727" s="97"/>
      <c r="I727" s="90"/>
      <c r="J727" s="98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</row>
    <row r="728">
      <c r="A728" s="93"/>
      <c r="B728" s="93"/>
      <c r="C728" s="94"/>
      <c r="D728" s="84"/>
      <c r="E728" s="86"/>
      <c r="F728" s="90"/>
      <c r="G728" s="115"/>
      <c r="H728" s="97"/>
      <c r="I728" s="90"/>
      <c r="J728" s="98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</row>
    <row r="729">
      <c r="A729" s="93"/>
      <c r="B729" s="93"/>
      <c r="C729" s="94"/>
      <c r="D729" s="84"/>
      <c r="E729" s="86"/>
      <c r="F729" s="90"/>
      <c r="G729" s="115"/>
      <c r="H729" s="97"/>
      <c r="I729" s="90"/>
      <c r="J729" s="98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</row>
    <row r="730">
      <c r="A730" s="93"/>
      <c r="B730" s="93"/>
      <c r="C730" s="94"/>
      <c r="D730" s="84"/>
      <c r="E730" s="86"/>
      <c r="F730" s="90"/>
      <c r="G730" s="115"/>
      <c r="H730" s="97"/>
      <c r="I730" s="90"/>
      <c r="J730" s="98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</row>
    <row r="731">
      <c r="A731" s="93"/>
      <c r="B731" s="93"/>
      <c r="C731" s="94"/>
      <c r="D731" s="84"/>
      <c r="E731" s="86"/>
      <c r="F731" s="90"/>
      <c r="G731" s="115"/>
      <c r="H731" s="97"/>
      <c r="I731" s="90"/>
      <c r="J731" s="98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</row>
    <row r="732">
      <c r="A732" s="93"/>
      <c r="B732" s="93"/>
      <c r="C732" s="94"/>
      <c r="D732" s="84"/>
      <c r="E732" s="86"/>
      <c r="F732" s="90"/>
      <c r="G732" s="115"/>
      <c r="H732" s="97"/>
      <c r="I732" s="90"/>
      <c r="J732" s="98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</row>
    <row r="733">
      <c r="A733" s="93"/>
      <c r="B733" s="93"/>
      <c r="C733" s="94"/>
      <c r="D733" s="84"/>
      <c r="E733" s="86"/>
      <c r="F733" s="90"/>
      <c r="G733" s="115"/>
      <c r="H733" s="97"/>
      <c r="I733" s="90"/>
      <c r="J733" s="98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</row>
    <row r="734">
      <c r="A734" s="93"/>
      <c r="B734" s="93"/>
      <c r="C734" s="94"/>
      <c r="D734" s="84"/>
      <c r="E734" s="86"/>
      <c r="F734" s="90"/>
      <c r="G734" s="115"/>
      <c r="H734" s="97"/>
      <c r="I734" s="90"/>
      <c r="J734" s="98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</row>
    <row r="735">
      <c r="A735" s="93"/>
      <c r="B735" s="93"/>
      <c r="C735" s="94"/>
      <c r="D735" s="84"/>
      <c r="E735" s="86"/>
      <c r="F735" s="90"/>
      <c r="G735" s="115"/>
      <c r="H735" s="97"/>
      <c r="I735" s="90"/>
      <c r="J735" s="98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</row>
    <row r="736">
      <c r="A736" s="93"/>
      <c r="B736" s="93"/>
      <c r="C736" s="94"/>
      <c r="D736" s="84"/>
      <c r="E736" s="86"/>
      <c r="F736" s="90"/>
      <c r="G736" s="115"/>
      <c r="H736" s="97"/>
      <c r="I736" s="90"/>
      <c r="J736" s="98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</row>
    <row r="737">
      <c r="A737" s="93"/>
      <c r="B737" s="93"/>
      <c r="C737" s="94"/>
      <c r="D737" s="84"/>
      <c r="E737" s="86"/>
      <c r="F737" s="90"/>
      <c r="G737" s="115"/>
      <c r="H737" s="97"/>
      <c r="I737" s="90"/>
      <c r="J737" s="98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</row>
    <row r="738">
      <c r="A738" s="93"/>
      <c r="B738" s="93"/>
      <c r="C738" s="94"/>
      <c r="D738" s="84"/>
      <c r="E738" s="86"/>
      <c r="F738" s="90"/>
      <c r="G738" s="115"/>
      <c r="H738" s="97"/>
      <c r="I738" s="90"/>
      <c r="J738" s="98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</row>
    <row r="739">
      <c r="A739" s="93"/>
      <c r="B739" s="93"/>
      <c r="C739" s="94"/>
      <c r="D739" s="84"/>
      <c r="E739" s="86"/>
      <c r="F739" s="90"/>
      <c r="G739" s="115"/>
      <c r="H739" s="97"/>
      <c r="I739" s="90"/>
      <c r="J739" s="98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</row>
    <row r="740">
      <c r="A740" s="93"/>
      <c r="B740" s="93"/>
      <c r="C740" s="94"/>
      <c r="D740" s="84"/>
      <c r="E740" s="86"/>
      <c r="F740" s="90"/>
      <c r="G740" s="115"/>
      <c r="H740" s="97"/>
      <c r="I740" s="90"/>
      <c r="J740" s="98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</row>
    <row r="741">
      <c r="A741" s="93"/>
      <c r="B741" s="93"/>
      <c r="C741" s="94"/>
      <c r="D741" s="84"/>
      <c r="E741" s="86"/>
      <c r="F741" s="90"/>
      <c r="G741" s="115"/>
      <c r="H741" s="97"/>
      <c r="I741" s="90"/>
      <c r="J741" s="98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</row>
    <row r="742">
      <c r="A742" s="93"/>
      <c r="B742" s="93"/>
      <c r="C742" s="94"/>
      <c r="D742" s="84"/>
      <c r="E742" s="86"/>
      <c r="F742" s="90"/>
      <c r="G742" s="115"/>
      <c r="H742" s="97"/>
      <c r="I742" s="90"/>
      <c r="J742" s="98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</row>
    <row r="743">
      <c r="A743" s="93"/>
      <c r="B743" s="93"/>
      <c r="C743" s="94"/>
      <c r="D743" s="84"/>
      <c r="E743" s="86"/>
      <c r="F743" s="90"/>
      <c r="G743" s="115"/>
      <c r="H743" s="97"/>
      <c r="I743" s="90"/>
      <c r="J743" s="98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</row>
    <row r="744">
      <c r="A744" s="93"/>
      <c r="B744" s="93"/>
      <c r="C744" s="94"/>
      <c r="D744" s="84"/>
      <c r="E744" s="86"/>
      <c r="F744" s="90"/>
      <c r="G744" s="115"/>
      <c r="H744" s="97"/>
      <c r="I744" s="90"/>
      <c r="J744" s="98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</row>
    <row r="745">
      <c r="A745" s="93"/>
      <c r="B745" s="93"/>
      <c r="C745" s="94"/>
      <c r="D745" s="84"/>
      <c r="E745" s="86"/>
      <c r="F745" s="90"/>
      <c r="G745" s="115"/>
      <c r="H745" s="97"/>
      <c r="I745" s="90"/>
      <c r="J745" s="98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</row>
    <row r="746">
      <c r="A746" s="93"/>
      <c r="B746" s="93"/>
      <c r="C746" s="94"/>
      <c r="D746" s="84"/>
      <c r="E746" s="86"/>
      <c r="F746" s="90"/>
      <c r="G746" s="115"/>
      <c r="H746" s="97"/>
      <c r="I746" s="90"/>
      <c r="J746" s="98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</row>
    <row r="747">
      <c r="A747" s="93"/>
      <c r="B747" s="93"/>
      <c r="C747" s="94"/>
      <c r="D747" s="84"/>
      <c r="E747" s="86"/>
      <c r="F747" s="90"/>
      <c r="G747" s="115"/>
      <c r="H747" s="97"/>
      <c r="I747" s="90"/>
      <c r="J747" s="98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</row>
    <row r="748">
      <c r="A748" s="93"/>
      <c r="B748" s="93"/>
      <c r="C748" s="94"/>
      <c r="D748" s="84"/>
      <c r="E748" s="86"/>
      <c r="F748" s="90"/>
      <c r="G748" s="115"/>
      <c r="H748" s="97"/>
      <c r="I748" s="90"/>
      <c r="J748" s="98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</row>
    <row r="749">
      <c r="A749" s="93"/>
      <c r="B749" s="93"/>
      <c r="C749" s="94"/>
      <c r="D749" s="84"/>
      <c r="E749" s="86"/>
      <c r="F749" s="90"/>
      <c r="G749" s="115"/>
      <c r="H749" s="97"/>
      <c r="I749" s="90"/>
      <c r="J749" s="98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</row>
    <row r="750">
      <c r="A750" s="93"/>
      <c r="B750" s="93"/>
      <c r="C750" s="94"/>
      <c r="D750" s="84"/>
      <c r="E750" s="86"/>
      <c r="F750" s="90"/>
      <c r="G750" s="115"/>
      <c r="H750" s="97"/>
      <c r="I750" s="90"/>
      <c r="J750" s="98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</row>
    <row r="751">
      <c r="A751" s="93"/>
      <c r="B751" s="93"/>
      <c r="C751" s="94"/>
      <c r="D751" s="84"/>
      <c r="E751" s="86"/>
      <c r="F751" s="90"/>
      <c r="G751" s="115"/>
      <c r="H751" s="97"/>
      <c r="I751" s="90"/>
      <c r="J751" s="98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</row>
    <row r="752">
      <c r="A752" s="93"/>
      <c r="B752" s="93"/>
      <c r="C752" s="94"/>
      <c r="D752" s="84"/>
      <c r="E752" s="86"/>
      <c r="F752" s="90"/>
      <c r="G752" s="115"/>
      <c r="H752" s="97"/>
      <c r="I752" s="90"/>
      <c r="J752" s="98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</row>
    <row r="753">
      <c r="A753" s="93"/>
      <c r="B753" s="93"/>
      <c r="C753" s="94"/>
      <c r="D753" s="84"/>
      <c r="E753" s="86"/>
      <c r="F753" s="90"/>
      <c r="G753" s="115"/>
      <c r="H753" s="97"/>
      <c r="I753" s="90"/>
      <c r="J753" s="98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</row>
    <row r="754">
      <c r="A754" s="93"/>
      <c r="B754" s="93"/>
      <c r="C754" s="94"/>
      <c r="D754" s="84"/>
      <c r="E754" s="86"/>
      <c r="F754" s="90"/>
      <c r="G754" s="115"/>
      <c r="H754" s="97"/>
      <c r="I754" s="90"/>
      <c r="J754" s="98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</row>
    <row r="755">
      <c r="A755" s="93"/>
      <c r="B755" s="93"/>
      <c r="C755" s="94"/>
      <c r="D755" s="84"/>
      <c r="E755" s="86"/>
      <c r="F755" s="90"/>
      <c r="G755" s="115"/>
      <c r="H755" s="97"/>
      <c r="I755" s="90"/>
      <c r="J755" s="98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</row>
    <row r="756">
      <c r="A756" s="93"/>
      <c r="B756" s="93"/>
      <c r="C756" s="94"/>
      <c r="D756" s="84"/>
      <c r="E756" s="86"/>
      <c r="F756" s="90"/>
      <c r="G756" s="115"/>
      <c r="H756" s="97"/>
      <c r="I756" s="90"/>
      <c r="J756" s="98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</row>
    <row r="757">
      <c r="A757" s="93"/>
      <c r="B757" s="93"/>
      <c r="C757" s="94"/>
      <c r="D757" s="84"/>
      <c r="E757" s="86"/>
      <c r="F757" s="90"/>
      <c r="G757" s="115"/>
      <c r="H757" s="97"/>
      <c r="I757" s="90"/>
      <c r="J757" s="98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</row>
    <row r="758">
      <c r="A758" s="93"/>
      <c r="B758" s="93"/>
      <c r="C758" s="94"/>
      <c r="D758" s="84"/>
      <c r="E758" s="86"/>
      <c r="F758" s="90"/>
      <c r="G758" s="115"/>
      <c r="H758" s="97"/>
      <c r="I758" s="90"/>
      <c r="J758" s="98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</row>
    <row r="759">
      <c r="A759" s="93"/>
      <c r="B759" s="93"/>
      <c r="C759" s="94"/>
      <c r="D759" s="84"/>
      <c r="E759" s="86"/>
      <c r="F759" s="90"/>
      <c r="G759" s="115"/>
      <c r="H759" s="97"/>
      <c r="I759" s="90"/>
      <c r="J759" s="98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</row>
    <row r="760">
      <c r="A760" s="93"/>
      <c r="B760" s="93"/>
      <c r="C760" s="94"/>
      <c r="D760" s="84"/>
      <c r="E760" s="86"/>
      <c r="F760" s="90"/>
      <c r="G760" s="115"/>
      <c r="H760" s="97"/>
      <c r="I760" s="90"/>
      <c r="J760" s="98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</row>
    <row r="761">
      <c r="A761" s="93"/>
      <c r="B761" s="93"/>
      <c r="C761" s="94"/>
      <c r="D761" s="84"/>
      <c r="E761" s="86"/>
      <c r="F761" s="90"/>
      <c r="G761" s="115"/>
      <c r="H761" s="97"/>
      <c r="I761" s="90"/>
      <c r="J761" s="98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</row>
    <row r="762">
      <c r="A762" s="93"/>
      <c r="B762" s="93"/>
      <c r="C762" s="94"/>
      <c r="D762" s="84"/>
      <c r="E762" s="86"/>
      <c r="F762" s="90"/>
      <c r="G762" s="115"/>
      <c r="H762" s="97"/>
      <c r="I762" s="90"/>
      <c r="J762" s="98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</row>
    <row r="763">
      <c r="A763" s="93"/>
      <c r="B763" s="93"/>
      <c r="C763" s="94"/>
      <c r="D763" s="84"/>
      <c r="E763" s="86"/>
      <c r="F763" s="90"/>
      <c r="G763" s="115"/>
      <c r="H763" s="97"/>
      <c r="I763" s="90"/>
      <c r="J763" s="98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</row>
    <row r="764">
      <c r="A764" s="93"/>
      <c r="B764" s="93"/>
      <c r="C764" s="94"/>
      <c r="D764" s="84"/>
      <c r="E764" s="86"/>
      <c r="F764" s="90"/>
      <c r="G764" s="115"/>
      <c r="H764" s="97"/>
      <c r="I764" s="90"/>
      <c r="J764" s="98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</row>
    <row r="765">
      <c r="A765" s="93"/>
      <c r="B765" s="93"/>
      <c r="C765" s="94"/>
      <c r="D765" s="84"/>
      <c r="E765" s="86"/>
      <c r="F765" s="90"/>
      <c r="G765" s="115"/>
      <c r="H765" s="97"/>
      <c r="I765" s="90"/>
      <c r="J765" s="98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</row>
    <row r="766">
      <c r="A766" s="93"/>
      <c r="B766" s="93"/>
      <c r="C766" s="94"/>
      <c r="D766" s="84"/>
      <c r="E766" s="86"/>
      <c r="F766" s="90"/>
      <c r="G766" s="115"/>
      <c r="H766" s="97"/>
      <c r="I766" s="90"/>
      <c r="J766" s="98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</row>
    <row r="767">
      <c r="A767" s="93"/>
      <c r="B767" s="93"/>
      <c r="C767" s="94"/>
      <c r="D767" s="84"/>
      <c r="E767" s="86"/>
      <c r="F767" s="90"/>
      <c r="G767" s="115"/>
      <c r="H767" s="97"/>
      <c r="I767" s="90"/>
      <c r="J767" s="98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</row>
    <row r="768">
      <c r="A768" s="93"/>
      <c r="B768" s="93"/>
      <c r="C768" s="94"/>
      <c r="D768" s="84"/>
      <c r="E768" s="86"/>
      <c r="F768" s="90"/>
      <c r="G768" s="115"/>
      <c r="H768" s="97"/>
      <c r="I768" s="90"/>
      <c r="J768" s="98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</row>
    <row r="769">
      <c r="A769" s="93"/>
      <c r="B769" s="93"/>
      <c r="C769" s="94"/>
      <c r="D769" s="84"/>
      <c r="E769" s="86"/>
      <c r="F769" s="90"/>
      <c r="G769" s="115"/>
      <c r="H769" s="97"/>
      <c r="I769" s="90"/>
      <c r="J769" s="98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</row>
    <row r="770">
      <c r="A770" s="93"/>
      <c r="B770" s="93"/>
      <c r="C770" s="94"/>
      <c r="D770" s="84"/>
      <c r="E770" s="86"/>
      <c r="F770" s="90"/>
      <c r="G770" s="115"/>
      <c r="H770" s="97"/>
      <c r="I770" s="90"/>
      <c r="J770" s="98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</row>
    <row r="771">
      <c r="A771" s="93"/>
      <c r="B771" s="93"/>
      <c r="C771" s="94"/>
      <c r="D771" s="84"/>
      <c r="E771" s="86"/>
      <c r="F771" s="90"/>
      <c r="G771" s="115"/>
      <c r="H771" s="97"/>
      <c r="I771" s="90"/>
      <c r="J771" s="98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</row>
    <row r="772">
      <c r="A772" s="93"/>
      <c r="B772" s="93"/>
      <c r="C772" s="94"/>
      <c r="D772" s="84"/>
      <c r="E772" s="86"/>
      <c r="F772" s="90"/>
      <c r="G772" s="115"/>
      <c r="H772" s="97"/>
      <c r="I772" s="90"/>
      <c r="J772" s="98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</row>
    <row r="773">
      <c r="A773" s="93"/>
      <c r="B773" s="93"/>
      <c r="C773" s="94"/>
      <c r="D773" s="84"/>
      <c r="E773" s="86"/>
      <c r="F773" s="90"/>
      <c r="G773" s="115"/>
      <c r="H773" s="97"/>
      <c r="I773" s="90"/>
      <c r="J773" s="98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</row>
    <row r="774">
      <c r="A774" s="93"/>
      <c r="B774" s="93"/>
      <c r="C774" s="94"/>
      <c r="D774" s="84"/>
      <c r="E774" s="86"/>
      <c r="F774" s="90"/>
      <c r="G774" s="115"/>
      <c r="H774" s="97"/>
      <c r="I774" s="90"/>
      <c r="J774" s="98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</row>
    <row r="775">
      <c r="A775" s="93"/>
      <c r="B775" s="93"/>
      <c r="C775" s="94"/>
      <c r="D775" s="84"/>
      <c r="E775" s="86"/>
      <c r="F775" s="90"/>
      <c r="G775" s="115"/>
      <c r="H775" s="97"/>
      <c r="I775" s="90"/>
      <c r="J775" s="98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</row>
    <row r="776">
      <c r="A776" s="93"/>
      <c r="B776" s="93"/>
      <c r="C776" s="94"/>
      <c r="D776" s="84"/>
      <c r="E776" s="86"/>
      <c r="F776" s="90"/>
      <c r="G776" s="115"/>
      <c r="H776" s="97"/>
      <c r="I776" s="90"/>
      <c r="J776" s="98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</row>
    <row r="777">
      <c r="A777" s="93"/>
      <c r="B777" s="93"/>
      <c r="C777" s="94"/>
      <c r="D777" s="84"/>
      <c r="E777" s="86"/>
      <c r="F777" s="90"/>
      <c r="G777" s="115"/>
      <c r="H777" s="97"/>
      <c r="I777" s="90"/>
      <c r="J777" s="98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</row>
    <row r="778">
      <c r="A778" s="93"/>
      <c r="B778" s="93"/>
      <c r="C778" s="94"/>
      <c r="D778" s="84"/>
      <c r="E778" s="86"/>
      <c r="F778" s="90"/>
      <c r="G778" s="115"/>
      <c r="H778" s="97"/>
      <c r="I778" s="90"/>
      <c r="J778" s="98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</row>
    <row r="779">
      <c r="A779" s="93"/>
      <c r="B779" s="93"/>
      <c r="C779" s="94"/>
      <c r="D779" s="84"/>
      <c r="E779" s="86"/>
      <c r="F779" s="90"/>
      <c r="G779" s="115"/>
      <c r="H779" s="97"/>
      <c r="I779" s="90"/>
      <c r="J779" s="98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</row>
    <row r="780">
      <c r="A780" s="93"/>
      <c r="B780" s="93"/>
      <c r="C780" s="94"/>
      <c r="D780" s="84"/>
      <c r="E780" s="86"/>
      <c r="F780" s="90"/>
      <c r="G780" s="115"/>
      <c r="H780" s="97"/>
      <c r="I780" s="90"/>
      <c r="J780" s="98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</row>
    <row r="781">
      <c r="A781" s="93"/>
      <c r="B781" s="93"/>
      <c r="C781" s="94"/>
      <c r="D781" s="84"/>
      <c r="E781" s="86"/>
      <c r="F781" s="90"/>
      <c r="G781" s="115"/>
      <c r="H781" s="97"/>
      <c r="I781" s="90"/>
      <c r="J781" s="98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</row>
    <row r="782">
      <c r="A782" s="93"/>
      <c r="B782" s="93"/>
      <c r="C782" s="94"/>
      <c r="D782" s="84"/>
      <c r="E782" s="86"/>
      <c r="F782" s="90"/>
      <c r="G782" s="115"/>
      <c r="H782" s="97"/>
      <c r="I782" s="90"/>
      <c r="J782" s="98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</row>
    <row r="783">
      <c r="A783" s="93"/>
      <c r="B783" s="93"/>
      <c r="C783" s="94"/>
      <c r="D783" s="84"/>
      <c r="E783" s="86"/>
      <c r="F783" s="90"/>
      <c r="G783" s="115"/>
      <c r="H783" s="97"/>
      <c r="I783" s="90"/>
      <c r="J783" s="98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</row>
    <row r="784">
      <c r="A784" s="93"/>
      <c r="B784" s="93"/>
      <c r="C784" s="94"/>
      <c r="D784" s="84"/>
      <c r="E784" s="86"/>
      <c r="F784" s="90"/>
      <c r="G784" s="115"/>
      <c r="H784" s="97"/>
      <c r="I784" s="90"/>
      <c r="J784" s="98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</row>
    <row r="785">
      <c r="A785" s="93"/>
      <c r="B785" s="93"/>
      <c r="C785" s="94"/>
      <c r="D785" s="84"/>
      <c r="E785" s="86"/>
      <c r="F785" s="90"/>
      <c r="G785" s="115"/>
      <c r="H785" s="97"/>
      <c r="I785" s="90"/>
      <c r="J785" s="98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</row>
    <row r="786">
      <c r="A786" s="93"/>
      <c r="B786" s="93"/>
      <c r="C786" s="94"/>
      <c r="D786" s="84"/>
      <c r="E786" s="86"/>
      <c r="F786" s="90"/>
      <c r="G786" s="115"/>
      <c r="H786" s="97"/>
      <c r="I786" s="90"/>
      <c r="J786" s="98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</row>
    <row r="787">
      <c r="A787" s="93"/>
      <c r="B787" s="93"/>
      <c r="C787" s="94"/>
      <c r="D787" s="84"/>
      <c r="E787" s="86"/>
      <c r="F787" s="90"/>
      <c r="G787" s="115"/>
      <c r="H787" s="97"/>
      <c r="I787" s="90"/>
      <c r="J787" s="98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</row>
    <row r="788">
      <c r="A788" s="93"/>
      <c r="B788" s="93"/>
      <c r="C788" s="94"/>
      <c r="D788" s="84"/>
      <c r="E788" s="86"/>
      <c r="F788" s="90"/>
      <c r="G788" s="115"/>
      <c r="H788" s="97"/>
      <c r="I788" s="90"/>
      <c r="J788" s="98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</row>
    <row r="789">
      <c r="A789" s="93"/>
      <c r="B789" s="93"/>
      <c r="C789" s="94"/>
      <c r="D789" s="84"/>
      <c r="E789" s="86"/>
      <c r="F789" s="90"/>
      <c r="G789" s="115"/>
      <c r="H789" s="97"/>
      <c r="I789" s="90"/>
      <c r="J789" s="98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</row>
    <row r="790">
      <c r="A790" s="93"/>
      <c r="B790" s="93"/>
      <c r="C790" s="94"/>
      <c r="D790" s="84"/>
      <c r="E790" s="86"/>
      <c r="F790" s="90"/>
      <c r="G790" s="115"/>
      <c r="H790" s="97"/>
      <c r="I790" s="90"/>
      <c r="J790" s="98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</row>
    <row r="791">
      <c r="A791" s="93"/>
      <c r="B791" s="93"/>
      <c r="C791" s="94"/>
      <c r="D791" s="84"/>
      <c r="E791" s="86"/>
      <c r="F791" s="90"/>
      <c r="G791" s="115"/>
      <c r="H791" s="97"/>
      <c r="I791" s="90"/>
      <c r="J791" s="98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</row>
    <row r="792">
      <c r="A792" s="93"/>
      <c r="B792" s="93"/>
      <c r="C792" s="94"/>
      <c r="D792" s="84"/>
      <c r="E792" s="86"/>
      <c r="F792" s="90"/>
      <c r="G792" s="115"/>
      <c r="H792" s="97"/>
      <c r="I792" s="90"/>
      <c r="J792" s="98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</row>
    <row r="793">
      <c r="A793" s="93"/>
      <c r="B793" s="93"/>
      <c r="C793" s="94"/>
      <c r="D793" s="84"/>
      <c r="E793" s="86"/>
      <c r="F793" s="90"/>
      <c r="G793" s="115"/>
      <c r="H793" s="97"/>
      <c r="I793" s="90"/>
      <c r="J793" s="98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</row>
    <row r="794">
      <c r="A794" s="93"/>
      <c r="B794" s="93"/>
      <c r="C794" s="94"/>
      <c r="D794" s="84"/>
      <c r="E794" s="86"/>
      <c r="F794" s="90"/>
      <c r="G794" s="115"/>
      <c r="H794" s="97"/>
      <c r="I794" s="90"/>
      <c r="J794" s="98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</row>
    <row r="795">
      <c r="A795" s="93"/>
      <c r="B795" s="93"/>
      <c r="C795" s="94"/>
      <c r="D795" s="84"/>
      <c r="E795" s="86"/>
      <c r="F795" s="90"/>
      <c r="G795" s="115"/>
      <c r="H795" s="97"/>
      <c r="I795" s="90"/>
      <c r="J795" s="98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</row>
    <row r="796">
      <c r="A796" s="93"/>
      <c r="B796" s="93"/>
      <c r="C796" s="94"/>
      <c r="D796" s="84"/>
      <c r="E796" s="86"/>
      <c r="F796" s="90"/>
      <c r="G796" s="115"/>
      <c r="H796" s="97"/>
      <c r="I796" s="90"/>
      <c r="J796" s="98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</row>
    <row r="797">
      <c r="A797" s="93"/>
      <c r="B797" s="93"/>
      <c r="C797" s="94"/>
      <c r="D797" s="84"/>
      <c r="E797" s="86"/>
      <c r="F797" s="90"/>
      <c r="G797" s="115"/>
      <c r="H797" s="97"/>
      <c r="I797" s="90"/>
      <c r="J797" s="98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</row>
    <row r="798">
      <c r="A798" s="93"/>
      <c r="B798" s="93"/>
      <c r="C798" s="94"/>
      <c r="D798" s="84"/>
      <c r="E798" s="86"/>
      <c r="F798" s="90"/>
      <c r="G798" s="115"/>
      <c r="H798" s="97"/>
      <c r="I798" s="90"/>
      <c r="J798" s="98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</row>
    <row r="799">
      <c r="A799" s="93"/>
      <c r="B799" s="93"/>
      <c r="C799" s="94"/>
      <c r="D799" s="84"/>
      <c r="E799" s="86"/>
      <c r="F799" s="90"/>
      <c r="G799" s="115"/>
      <c r="H799" s="97"/>
      <c r="I799" s="90"/>
      <c r="J799" s="98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</row>
    <row r="800">
      <c r="A800" s="93"/>
      <c r="B800" s="93"/>
      <c r="C800" s="94"/>
      <c r="D800" s="84"/>
      <c r="E800" s="86"/>
      <c r="F800" s="90"/>
      <c r="G800" s="115"/>
      <c r="H800" s="97"/>
      <c r="I800" s="90"/>
      <c r="J800" s="98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</row>
    <row r="801">
      <c r="A801" s="93"/>
      <c r="B801" s="93"/>
      <c r="C801" s="94"/>
      <c r="D801" s="84"/>
      <c r="E801" s="86"/>
      <c r="F801" s="90"/>
      <c r="G801" s="115"/>
      <c r="H801" s="97"/>
      <c r="I801" s="90"/>
      <c r="J801" s="98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</row>
    <row r="802">
      <c r="A802" s="93"/>
      <c r="B802" s="93"/>
      <c r="C802" s="94"/>
      <c r="D802" s="84"/>
      <c r="E802" s="86"/>
      <c r="F802" s="90"/>
      <c r="G802" s="115"/>
      <c r="H802" s="97"/>
      <c r="I802" s="90"/>
      <c r="J802" s="98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</row>
    <row r="803">
      <c r="A803" s="93"/>
      <c r="B803" s="93"/>
      <c r="C803" s="94"/>
      <c r="D803" s="84"/>
      <c r="E803" s="86"/>
      <c r="F803" s="90"/>
      <c r="G803" s="115"/>
      <c r="H803" s="97"/>
      <c r="I803" s="90"/>
      <c r="J803" s="98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</row>
    <row r="804">
      <c r="A804" s="93"/>
      <c r="B804" s="93"/>
      <c r="C804" s="94"/>
      <c r="D804" s="84"/>
      <c r="E804" s="86"/>
      <c r="F804" s="90"/>
      <c r="G804" s="115"/>
      <c r="H804" s="97"/>
      <c r="I804" s="90"/>
      <c r="J804" s="98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</row>
    <row r="805">
      <c r="A805" s="93"/>
      <c r="B805" s="93"/>
      <c r="C805" s="94"/>
      <c r="D805" s="84"/>
      <c r="E805" s="86"/>
      <c r="F805" s="90"/>
      <c r="G805" s="115"/>
      <c r="H805" s="97"/>
      <c r="I805" s="90"/>
      <c r="J805" s="98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</row>
    <row r="806">
      <c r="A806" s="93"/>
      <c r="B806" s="93"/>
      <c r="C806" s="94"/>
      <c r="D806" s="84"/>
      <c r="E806" s="86"/>
      <c r="F806" s="90"/>
      <c r="G806" s="115"/>
      <c r="H806" s="97"/>
      <c r="I806" s="90"/>
      <c r="J806" s="98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</row>
    <row r="807">
      <c r="A807" s="93"/>
      <c r="B807" s="93"/>
      <c r="C807" s="94"/>
      <c r="D807" s="84"/>
      <c r="E807" s="86"/>
      <c r="F807" s="90"/>
      <c r="G807" s="115"/>
      <c r="H807" s="97"/>
      <c r="I807" s="90"/>
      <c r="J807" s="98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</row>
    <row r="808">
      <c r="A808" s="93"/>
      <c r="B808" s="93"/>
      <c r="C808" s="94"/>
      <c r="D808" s="84"/>
      <c r="E808" s="86"/>
      <c r="F808" s="90"/>
      <c r="G808" s="115"/>
      <c r="H808" s="97"/>
      <c r="I808" s="90"/>
      <c r="J808" s="98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</row>
    <row r="809">
      <c r="A809" s="93"/>
      <c r="B809" s="93"/>
      <c r="C809" s="94"/>
      <c r="D809" s="84"/>
      <c r="E809" s="86"/>
      <c r="F809" s="90"/>
      <c r="G809" s="115"/>
      <c r="H809" s="97"/>
      <c r="I809" s="90"/>
      <c r="J809" s="98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</row>
    <row r="810">
      <c r="A810" s="93"/>
      <c r="B810" s="93"/>
      <c r="C810" s="94"/>
      <c r="D810" s="84"/>
      <c r="E810" s="86"/>
      <c r="F810" s="90"/>
      <c r="G810" s="115"/>
      <c r="H810" s="97"/>
      <c r="I810" s="90"/>
      <c r="J810" s="98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</row>
    <row r="811">
      <c r="A811" s="93"/>
      <c r="B811" s="93"/>
      <c r="C811" s="94"/>
      <c r="D811" s="84"/>
      <c r="E811" s="86"/>
      <c r="F811" s="90"/>
      <c r="G811" s="115"/>
      <c r="H811" s="97"/>
      <c r="I811" s="90"/>
      <c r="J811" s="98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</row>
    <row r="812">
      <c r="A812" s="93"/>
      <c r="B812" s="93"/>
      <c r="C812" s="94"/>
      <c r="D812" s="84"/>
      <c r="E812" s="86"/>
      <c r="F812" s="90"/>
      <c r="G812" s="115"/>
      <c r="H812" s="97"/>
      <c r="I812" s="90"/>
      <c r="J812" s="98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</row>
    <row r="813">
      <c r="A813" s="93"/>
      <c r="B813" s="93"/>
      <c r="C813" s="94"/>
      <c r="D813" s="84"/>
      <c r="E813" s="86"/>
      <c r="F813" s="90"/>
      <c r="G813" s="115"/>
      <c r="H813" s="97"/>
      <c r="I813" s="90"/>
      <c r="J813" s="98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</row>
    <row r="814">
      <c r="A814" s="93"/>
      <c r="B814" s="93"/>
      <c r="C814" s="94"/>
      <c r="D814" s="84"/>
      <c r="E814" s="86"/>
      <c r="F814" s="90"/>
      <c r="G814" s="115"/>
      <c r="H814" s="97"/>
      <c r="I814" s="90"/>
      <c r="J814" s="98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</row>
    <row r="815">
      <c r="A815" s="93"/>
      <c r="B815" s="93"/>
      <c r="C815" s="94"/>
      <c r="D815" s="84"/>
      <c r="E815" s="86"/>
      <c r="F815" s="90"/>
      <c r="G815" s="115"/>
      <c r="H815" s="97"/>
      <c r="I815" s="90"/>
      <c r="J815" s="98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</row>
    <row r="816">
      <c r="A816" s="93"/>
      <c r="B816" s="93"/>
      <c r="C816" s="94"/>
      <c r="D816" s="84"/>
      <c r="E816" s="86"/>
      <c r="F816" s="90"/>
      <c r="G816" s="115"/>
      <c r="H816" s="97"/>
      <c r="I816" s="90"/>
      <c r="J816" s="98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</row>
    <row r="817">
      <c r="A817" s="93"/>
      <c r="B817" s="93"/>
      <c r="C817" s="94"/>
      <c r="D817" s="84"/>
      <c r="E817" s="86"/>
      <c r="F817" s="90"/>
      <c r="G817" s="115"/>
      <c r="H817" s="97"/>
      <c r="I817" s="90"/>
      <c r="J817" s="98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</row>
    <row r="818">
      <c r="A818" s="93"/>
      <c r="B818" s="93"/>
      <c r="C818" s="94"/>
      <c r="D818" s="84"/>
      <c r="E818" s="86"/>
      <c r="F818" s="90"/>
      <c r="G818" s="115"/>
      <c r="H818" s="97"/>
      <c r="I818" s="90"/>
      <c r="J818" s="98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</row>
    <row r="819">
      <c r="A819" s="93"/>
      <c r="B819" s="93"/>
      <c r="C819" s="94"/>
      <c r="D819" s="84"/>
      <c r="E819" s="86"/>
      <c r="F819" s="90"/>
      <c r="G819" s="115"/>
      <c r="H819" s="97"/>
      <c r="I819" s="90"/>
      <c r="J819" s="98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</row>
    <row r="820">
      <c r="A820" s="93"/>
      <c r="B820" s="93"/>
      <c r="C820" s="94"/>
      <c r="D820" s="84"/>
      <c r="E820" s="86"/>
      <c r="F820" s="90"/>
      <c r="G820" s="115"/>
      <c r="H820" s="97"/>
      <c r="I820" s="90"/>
      <c r="J820" s="98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</row>
    <row r="821">
      <c r="A821" s="93"/>
      <c r="B821" s="93"/>
      <c r="C821" s="94"/>
      <c r="D821" s="84"/>
      <c r="E821" s="86"/>
      <c r="F821" s="90"/>
      <c r="G821" s="115"/>
      <c r="H821" s="97"/>
      <c r="I821" s="90"/>
      <c r="J821" s="98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</row>
    <row r="822">
      <c r="A822" s="93"/>
      <c r="B822" s="93"/>
      <c r="C822" s="94"/>
      <c r="D822" s="84"/>
      <c r="E822" s="86"/>
      <c r="F822" s="90"/>
      <c r="G822" s="115"/>
      <c r="H822" s="97"/>
      <c r="I822" s="90"/>
      <c r="J822" s="98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</row>
    <row r="823">
      <c r="A823" s="93"/>
      <c r="B823" s="93"/>
      <c r="C823" s="94"/>
      <c r="D823" s="84"/>
      <c r="E823" s="86"/>
      <c r="F823" s="90"/>
      <c r="G823" s="115"/>
      <c r="H823" s="97"/>
      <c r="I823" s="90"/>
      <c r="J823" s="98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</row>
    <row r="824">
      <c r="A824" s="93"/>
      <c r="B824" s="93"/>
      <c r="C824" s="94"/>
      <c r="D824" s="84"/>
      <c r="E824" s="86"/>
      <c r="F824" s="90"/>
      <c r="G824" s="115"/>
      <c r="H824" s="97"/>
      <c r="I824" s="90"/>
      <c r="J824" s="98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</row>
    <row r="825">
      <c r="A825" s="93"/>
      <c r="B825" s="93"/>
      <c r="C825" s="94"/>
      <c r="D825" s="84"/>
      <c r="E825" s="86"/>
      <c r="F825" s="90"/>
      <c r="G825" s="115"/>
      <c r="H825" s="97"/>
      <c r="I825" s="90"/>
      <c r="J825" s="98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</row>
    <row r="826">
      <c r="A826" s="93"/>
      <c r="B826" s="93"/>
      <c r="C826" s="94"/>
      <c r="D826" s="84"/>
      <c r="E826" s="86"/>
      <c r="F826" s="90"/>
      <c r="G826" s="115"/>
      <c r="H826" s="97"/>
      <c r="I826" s="90"/>
      <c r="J826" s="98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</row>
    <row r="827">
      <c r="A827" s="93"/>
      <c r="B827" s="93"/>
      <c r="C827" s="94"/>
      <c r="D827" s="84"/>
      <c r="E827" s="86"/>
      <c r="F827" s="90"/>
      <c r="G827" s="115"/>
      <c r="H827" s="97"/>
      <c r="I827" s="90"/>
      <c r="J827" s="98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</row>
    <row r="828">
      <c r="A828" s="93"/>
      <c r="B828" s="93"/>
      <c r="C828" s="94"/>
      <c r="D828" s="84"/>
      <c r="E828" s="86"/>
      <c r="F828" s="90"/>
      <c r="G828" s="115"/>
      <c r="H828" s="97"/>
      <c r="I828" s="90"/>
      <c r="J828" s="98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</row>
    <row r="829">
      <c r="A829" s="93"/>
      <c r="B829" s="93"/>
      <c r="C829" s="94"/>
      <c r="D829" s="84"/>
      <c r="E829" s="86"/>
      <c r="F829" s="90"/>
      <c r="G829" s="115"/>
      <c r="H829" s="97"/>
      <c r="I829" s="90"/>
      <c r="J829" s="98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</row>
    <row r="830">
      <c r="A830" s="93"/>
      <c r="B830" s="93"/>
      <c r="C830" s="94"/>
      <c r="D830" s="84"/>
      <c r="E830" s="86"/>
      <c r="F830" s="90"/>
      <c r="G830" s="115"/>
      <c r="H830" s="97"/>
      <c r="I830" s="90"/>
      <c r="J830" s="98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</row>
    <row r="831">
      <c r="A831" s="93"/>
      <c r="B831" s="93"/>
      <c r="C831" s="94"/>
      <c r="D831" s="84"/>
      <c r="E831" s="86"/>
      <c r="F831" s="90"/>
      <c r="G831" s="115"/>
      <c r="H831" s="97"/>
      <c r="I831" s="90"/>
      <c r="J831" s="98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</row>
    <row r="832">
      <c r="A832" s="93"/>
      <c r="B832" s="93"/>
      <c r="C832" s="94"/>
      <c r="D832" s="84"/>
      <c r="E832" s="86"/>
      <c r="F832" s="90"/>
      <c r="G832" s="115"/>
      <c r="H832" s="97"/>
      <c r="I832" s="90"/>
      <c r="J832" s="98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</row>
    <row r="833">
      <c r="A833" s="93"/>
      <c r="B833" s="93"/>
      <c r="C833" s="94"/>
      <c r="D833" s="84"/>
      <c r="E833" s="86"/>
      <c r="F833" s="90"/>
      <c r="G833" s="115"/>
      <c r="H833" s="97"/>
      <c r="I833" s="90"/>
      <c r="J833" s="98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</row>
    <row r="834">
      <c r="A834" s="93"/>
      <c r="B834" s="93"/>
      <c r="C834" s="94"/>
      <c r="D834" s="84"/>
      <c r="E834" s="86"/>
      <c r="F834" s="90"/>
      <c r="G834" s="115"/>
      <c r="H834" s="97"/>
      <c r="I834" s="90"/>
      <c r="J834" s="98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</row>
    <row r="835">
      <c r="A835" s="93"/>
      <c r="B835" s="93"/>
      <c r="C835" s="94"/>
      <c r="D835" s="84"/>
      <c r="E835" s="86"/>
      <c r="F835" s="90"/>
      <c r="G835" s="115"/>
      <c r="H835" s="97"/>
      <c r="I835" s="90"/>
      <c r="J835" s="98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</row>
    <row r="836">
      <c r="A836" s="93"/>
      <c r="B836" s="93"/>
      <c r="C836" s="94"/>
      <c r="D836" s="84"/>
      <c r="E836" s="86"/>
      <c r="F836" s="90"/>
      <c r="G836" s="115"/>
      <c r="H836" s="97"/>
      <c r="I836" s="90"/>
      <c r="J836" s="98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</row>
    <row r="837">
      <c r="A837" s="93"/>
      <c r="B837" s="93"/>
      <c r="C837" s="94"/>
      <c r="D837" s="84"/>
      <c r="E837" s="86"/>
      <c r="F837" s="90"/>
      <c r="G837" s="115"/>
      <c r="H837" s="97"/>
      <c r="I837" s="90"/>
      <c r="J837" s="98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</row>
    <row r="838">
      <c r="A838" s="93"/>
      <c r="B838" s="93"/>
      <c r="C838" s="94"/>
      <c r="D838" s="84"/>
      <c r="E838" s="86"/>
      <c r="F838" s="90"/>
      <c r="G838" s="115"/>
      <c r="H838" s="97"/>
      <c r="I838" s="90"/>
      <c r="J838" s="98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</row>
    <row r="839">
      <c r="A839" s="93"/>
      <c r="B839" s="93"/>
      <c r="C839" s="94"/>
      <c r="D839" s="84"/>
      <c r="E839" s="86"/>
      <c r="F839" s="90"/>
      <c r="G839" s="115"/>
      <c r="H839" s="97"/>
      <c r="I839" s="90"/>
      <c r="J839" s="98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</row>
    <row r="840">
      <c r="A840" s="93"/>
      <c r="B840" s="93"/>
      <c r="C840" s="94"/>
      <c r="D840" s="84"/>
      <c r="E840" s="86"/>
      <c r="F840" s="90"/>
      <c r="G840" s="115"/>
      <c r="H840" s="97"/>
      <c r="I840" s="90"/>
      <c r="J840" s="98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</row>
    <row r="841">
      <c r="A841" s="93"/>
      <c r="B841" s="93"/>
      <c r="C841" s="94"/>
      <c r="D841" s="84"/>
      <c r="E841" s="86"/>
      <c r="F841" s="90"/>
      <c r="G841" s="115"/>
      <c r="H841" s="97"/>
      <c r="I841" s="90"/>
      <c r="J841" s="98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</row>
    <row r="842">
      <c r="A842" s="93"/>
      <c r="B842" s="93"/>
      <c r="C842" s="94"/>
      <c r="D842" s="84"/>
      <c r="E842" s="86"/>
      <c r="F842" s="90"/>
      <c r="G842" s="115"/>
      <c r="H842" s="97"/>
      <c r="I842" s="90"/>
      <c r="J842" s="98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</row>
    <row r="843">
      <c r="A843" s="93"/>
      <c r="B843" s="93"/>
      <c r="C843" s="94"/>
      <c r="D843" s="84"/>
      <c r="E843" s="86"/>
      <c r="F843" s="90"/>
      <c r="G843" s="115"/>
      <c r="H843" s="97"/>
      <c r="I843" s="90"/>
      <c r="J843" s="98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</row>
    <row r="844">
      <c r="A844" s="93"/>
      <c r="B844" s="93"/>
      <c r="C844" s="94"/>
      <c r="D844" s="84"/>
      <c r="E844" s="86"/>
      <c r="F844" s="90"/>
      <c r="G844" s="115"/>
      <c r="H844" s="97"/>
      <c r="I844" s="90"/>
      <c r="J844" s="98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</row>
    <row r="845">
      <c r="A845" s="93"/>
      <c r="B845" s="93"/>
      <c r="C845" s="94"/>
      <c r="D845" s="84"/>
      <c r="E845" s="86"/>
      <c r="F845" s="90"/>
      <c r="G845" s="115"/>
      <c r="H845" s="97"/>
      <c r="I845" s="90"/>
      <c r="J845" s="98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</row>
    <row r="846">
      <c r="A846" s="93"/>
      <c r="B846" s="93"/>
      <c r="C846" s="94"/>
      <c r="D846" s="84"/>
      <c r="E846" s="86"/>
      <c r="F846" s="90"/>
      <c r="G846" s="115"/>
      <c r="H846" s="97"/>
      <c r="I846" s="90"/>
      <c r="J846" s="98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</row>
    <row r="847">
      <c r="A847" s="93"/>
      <c r="B847" s="93"/>
      <c r="C847" s="94"/>
      <c r="D847" s="84"/>
      <c r="E847" s="86"/>
      <c r="F847" s="90"/>
      <c r="G847" s="115"/>
      <c r="H847" s="97"/>
      <c r="I847" s="90"/>
      <c r="J847" s="98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</row>
    <row r="848">
      <c r="A848" s="93"/>
      <c r="B848" s="93"/>
      <c r="C848" s="94"/>
      <c r="D848" s="84"/>
      <c r="E848" s="86"/>
      <c r="F848" s="90"/>
      <c r="G848" s="115"/>
      <c r="H848" s="97"/>
      <c r="I848" s="90"/>
      <c r="J848" s="98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</row>
    <row r="849">
      <c r="A849" s="93"/>
      <c r="B849" s="93"/>
      <c r="C849" s="94"/>
      <c r="D849" s="84"/>
      <c r="E849" s="86"/>
      <c r="F849" s="90"/>
      <c r="G849" s="115"/>
      <c r="H849" s="97"/>
      <c r="I849" s="90"/>
      <c r="J849" s="98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</row>
    <row r="850">
      <c r="A850" s="93"/>
      <c r="B850" s="93"/>
      <c r="C850" s="94"/>
      <c r="D850" s="84"/>
      <c r="E850" s="86"/>
      <c r="F850" s="90"/>
      <c r="G850" s="115"/>
      <c r="H850" s="97"/>
      <c r="I850" s="90"/>
      <c r="J850" s="98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</row>
    <row r="851">
      <c r="A851" s="93"/>
      <c r="B851" s="93"/>
      <c r="C851" s="94"/>
      <c r="D851" s="84"/>
      <c r="E851" s="86"/>
      <c r="F851" s="90"/>
      <c r="G851" s="115"/>
      <c r="H851" s="97"/>
      <c r="I851" s="90"/>
      <c r="J851" s="98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</row>
    <row r="852">
      <c r="A852" s="93"/>
      <c r="B852" s="93"/>
      <c r="C852" s="94"/>
      <c r="D852" s="84"/>
      <c r="E852" s="86"/>
      <c r="F852" s="90"/>
      <c r="G852" s="115"/>
      <c r="H852" s="97"/>
      <c r="I852" s="90"/>
      <c r="J852" s="98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</row>
    <row r="853">
      <c r="A853" s="93"/>
      <c r="B853" s="93"/>
      <c r="C853" s="94"/>
      <c r="D853" s="84"/>
      <c r="E853" s="86"/>
      <c r="F853" s="90"/>
      <c r="G853" s="115"/>
      <c r="H853" s="97"/>
      <c r="I853" s="90"/>
      <c r="J853" s="98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</row>
    <row r="854">
      <c r="A854" s="93"/>
      <c r="B854" s="93"/>
      <c r="C854" s="94"/>
      <c r="D854" s="84"/>
      <c r="E854" s="86"/>
      <c r="F854" s="90"/>
      <c r="G854" s="115"/>
      <c r="H854" s="97"/>
      <c r="I854" s="90"/>
      <c r="J854" s="98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</row>
    <row r="855">
      <c r="A855" s="93"/>
      <c r="B855" s="93"/>
      <c r="C855" s="94"/>
      <c r="D855" s="84"/>
      <c r="E855" s="86"/>
      <c r="F855" s="90"/>
      <c r="G855" s="115"/>
      <c r="H855" s="97"/>
      <c r="I855" s="90"/>
      <c r="J855" s="98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</row>
    <row r="856">
      <c r="A856" s="93"/>
      <c r="B856" s="93"/>
      <c r="C856" s="94"/>
      <c r="D856" s="84"/>
      <c r="E856" s="86"/>
      <c r="F856" s="90"/>
      <c r="G856" s="115"/>
      <c r="H856" s="97"/>
      <c r="I856" s="90"/>
      <c r="J856" s="98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</row>
    <row r="857">
      <c r="A857" s="93"/>
      <c r="B857" s="93"/>
      <c r="C857" s="94"/>
      <c r="D857" s="84"/>
      <c r="E857" s="86"/>
      <c r="F857" s="90"/>
      <c r="G857" s="115"/>
      <c r="H857" s="97"/>
      <c r="I857" s="90"/>
      <c r="J857" s="98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</row>
    <row r="858">
      <c r="A858" s="93"/>
      <c r="B858" s="93"/>
      <c r="C858" s="94"/>
      <c r="D858" s="84"/>
      <c r="E858" s="86"/>
      <c r="F858" s="90"/>
      <c r="G858" s="115"/>
      <c r="H858" s="97"/>
      <c r="I858" s="90"/>
      <c r="J858" s="98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</row>
    <row r="859">
      <c r="A859" s="93"/>
      <c r="B859" s="93"/>
      <c r="C859" s="94"/>
      <c r="D859" s="84"/>
      <c r="E859" s="86"/>
      <c r="F859" s="90"/>
      <c r="G859" s="115"/>
      <c r="H859" s="97"/>
      <c r="I859" s="90"/>
      <c r="J859" s="98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</row>
    <row r="860">
      <c r="A860" s="93"/>
      <c r="B860" s="93"/>
      <c r="C860" s="94"/>
      <c r="D860" s="84"/>
      <c r="E860" s="86"/>
      <c r="F860" s="90"/>
      <c r="G860" s="115"/>
      <c r="H860" s="97"/>
      <c r="I860" s="90"/>
      <c r="J860" s="98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</row>
    <row r="861">
      <c r="A861" s="93"/>
      <c r="B861" s="93"/>
      <c r="C861" s="94"/>
      <c r="D861" s="84"/>
      <c r="E861" s="86"/>
      <c r="F861" s="90"/>
      <c r="G861" s="115"/>
      <c r="H861" s="97"/>
      <c r="I861" s="90"/>
      <c r="J861" s="98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</row>
    <row r="862">
      <c r="A862" s="93"/>
      <c r="B862" s="93"/>
      <c r="C862" s="94"/>
      <c r="D862" s="84"/>
      <c r="E862" s="86"/>
      <c r="F862" s="90"/>
      <c r="G862" s="115"/>
      <c r="H862" s="97"/>
      <c r="I862" s="90"/>
      <c r="J862" s="98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</row>
    <row r="863">
      <c r="A863" s="93"/>
      <c r="B863" s="93"/>
      <c r="C863" s="94"/>
      <c r="D863" s="84"/>
      <c r="E863" s="86"/>
      <c r="F863" s="90"/>
      <c r="G863" s="115"/>
      <c r="H863" s="97"/>
      <c r="I863" s="90"/>
      <c r="J863" s="98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</row>
    <row r="864">
      <c r="A864" s="93"/>
      <c r="B864" s="93"/>
      <c r="C864" s="94"/>
      <c r="D864" s="84"/>
      <c r="E864" s="86"/>
      <c r="F864" s="90"/>
      <c r="G864" s="115"/>
      <c r="H864" s="97"/>
      <c r="I864" s="90"/>
      <c r="J864" s="98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</row>
    <row r="865">
      <c r="A865" s="93"/>
      <c r="B865" s="93"/>
      <c r="C865" s="94"/>
      <c r="D865" s="84"/>
      <c r="E865" s="86"/>
      <c r="F865" s="90"/>
      <c r="G865" s="115"/>
      <c r="H865" s="97"/>
      <c r="I865" s="90"/>
      <c r="J865" s="98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</row>
    <row r="866">
      <c r="A866" s="93"/>
      <c r="B866" s="93"/>
      <c r="C866" s="94"/>
      <c r="D866" s="84"/>
      <c r="E866" s="86"/>
      <c r="F866" s="90"/>
      <c r="G866" s="115"/>
      <c r="H866" s="97"/>
      <c r="I866" s="90"/>
      <c r="J866" s="98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</row>
    <row r="867">
      <c r="A867" s="93"/>
      <c r="B867" s="93"/>
      <c r="C867" s="94"/>
      <c r="D867" s="84"/>
      <c r="E867" s="86"/>
      <c r="F867" s="90"/>
      <c r="G867" s="115"/>
      <c r="H867" s="97"/>
      <c r="I867" s="90"/>
      <c r="J867" s="98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</row>
    <row r="868">
      <c r="A868" s="93"/>
      <c r="B868" s="93"/>
      <c r="C868" s="94"/>
      <c r="D868" s="84"/>
      <c r="E868" s="86"/>
      <c r="F868" s="90"/>
      <c r="G868" s="115"/>
      <c r="H868" s="97"/>
      <c r="I868" s="90"/>
      <c r="J868" s="98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</row>
    <row r="869">
      <c r="A869" s="93"/>
      <c r="B869" s="93"/>
      <c r="C869" s="94"/>
      <c r="D869" s="84"/>
      <c r="E869" s="86"/>
      <c r="F869" s="90"/>
      <c r="G869" s="115"/>
      <c r="H869" s="97"/>
      <c r="I869" s="90"/>
      <c r="J869" s="98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</row>
    <row r="870">
      <c r="A870" s="93"/>
      <c r="B870" s="93"/>
      <c r="C870" s="94"/>
      <c r="D870" s="84"/>
      <c r="E870" s="86"/>
      <c r="F870" s="90"/>
      <c r="G870" s="115"/>
      <c r="H870" s="97"/>
      <c r="I870" s="90"/>
      <c r="J870" s="98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</row>
    <row r="871">
      <c r="A871" s="93"/>
      <c r="B871" s="93"/>
      <c r="C871" s="94"/>
      <c r="D871" s="84"/>
      <c r="E871" s="86"/>
      <c r="F871" s="90"/>
      <c r="G871" s="115"/>
      <c r="H871" s="97"/>
      <c r="I871" s="90"/>
      <c r="J871" s="98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</row>
    <row r="872">
      <c r="A872" s="93"/>
      <c r="B872" s="93"/>
      <c r="C872" s="94"/>
      <c r="D872" s="84"/>
      <c r="E872" s="86"/>
      <c r="F872" s="90"/>
      <c r="G872" s="115"/>
      <c r="H872" s="97"/>
      <c r="I872" s="90"/>
      <c r="J872" s="98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</row>
    <row r="873">
      <c r="A873" s="93"/>
      <c r="B873" s="93"/>
      <c r="C873" s="94"/>
      <c r="D873" s="84"/>
      <c r="E873" s="86"/>
      <c r="F873" s="90"/>
      <c r="G873" s="115"/>
      <c r="H873" s="97"/>
      <c r="I873" s="90"/>
      <c r="J873" s="98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</row>
    <row r="874">
      <c r="A874" s="93"/>
      <c r="B874" s="93"/>
      <c r="C874" s="94"/>
      <c r="D874" s="84"/>
      <c r="E874" s="86"/>
      <c r="F874" s="90"/>
      <c r="G874" s="115"/>
      <c r="H874" s="97"/>
      <c r="I874" s="90"/>
      <c r="J874" s="98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</row>
    <row r="875">
      <c r="A875" s="93"/>
      <c r="B875" s="93"/>
      <c r="C875" s="94"/>
      <c r="D875" s="84"/>
      <c r="E875" s="86"/>
      <c r="F875" s="90"/>
      <c r="G875" s="115"/>
      <c r="H875" s="97"/>
      <c r="I875" s="90"/>
      <c r="J875" s="98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</row>
    <row r="876">
      <c r="A876" s="93"/>
      <c r="B876" s="93"/>
      <c r="C876" s="94"/>
      <c r="D876" s="84"/>
      <c r="E876" s="86"/>
      <c r="F876" s="90"/>
      <c r="G876" s="115"/>
      <c r="H876" s="97"/>
      <c r="I876" s="90"/>
      <c r="J876" s="98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</row>
    <row r="877">
      <c r="A877" s="93"/>
      <c r="B877" s="93"/>
      <c r="C877" s="94"/>
      <c r="D877" s="84"/>
      <c r="E877" s="86"/>
      <c r="F877" s="90"/>
      <c r="G877" s="115"/>
      <c r="H877" s="97"/>
      <c r="I877" s="90"/>
      <c r="J877" s="98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</row>
    <row r="878">
      <c r="A878" s="93"/>
      <c r="B878" s="93"/>
      <c r="C878" s="94"/>
      <c r="D878" s="84"/>
      <c r="E878" s="86"/>
      <c r="F878" s="90"/>
      <c r="G878" s="115"/>
      <c r="H878" s="97"/>
      <c r="I878" s="90"/>
      <c r="J878" s="98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</row>
    <row r="879">
      <c r="A879" s="93"/>
      <c r="B879" s="93"/>
      <c r="C879" s="94"/>
      <c r="D879" s="84"/>
      <c r="E879" s="86"/>
      <c r="F879" s="90"/>
      <c r="G879" s="115"/>
      <c r="H879" s="97"/>
      <c r="I879" s="90"/>
      <c r="J879" s="98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</row>
    <row r="880">
      <c r="A880" s="93"/>
      <c r="B880" s="93"/>
      <c r="C880" s="94"/>
      <c r="D880" s="84"/>
      <c r="E880" s="86"/>
      <c r="F880" s="90"/>
      <c r="G880" s="115"/>
      <c r="H880" s="97"/>
      <c r="I880" s="90"/>
      <c r="J880" s="98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</row>
    <row r="881">
      <c r="A881" s="93"/>
      <c r="B881" s="93"/>
      <c r="C881" s="94"/>
      <c r="D881" s="84"/>
      <c r="E881" s="86"/>
      <c r="F881" s="90"/>
      <c r="G881" s="115"/>
      <c r="H881" s="97"/>
      <c r="I881" s="90"/>
      <c r="J881" s="98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</row>
    <row r="882">
      <c r="A882" s="93"/>
      <c r="B882" s="93"/>
      <c r="C882" s="94"/>
      <c r="D882" s="84"/>
      <c r="E882" s="86"/>
      <c r="F882" s="90"/>
      <c r="G882" s="115"/>
      <c r="H882" s="97"/>
      <c r="I882" s="90"/>
      <c r="J882" s="98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</row>
    <row r="883">
      <c r="A883" s="93"/>
      <c r="B883" s="93"/>
      <c r="C883" s="94"/>
      <c r="D883" s="84"/>
      <c r="E883" s="86"/>
      <c r="F883" s="90"/>
      <c r="G883" s="115"/>
      <c r="H883" s="97"/>
      <c r="I883" s="90"/>
      <c r="J883" s="98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</row>
    <row r="884">
      <c r="A884" s="93"/>
      <c r="B884" s="93"/>
      <c r="C884" s="94"/>
      <c r="D884" s="84"/>
      <c r="E884" s="86"/>
      <c r="F884" s="90"/>
      <c r="G884" s="115"/>
      <c r="H884" s="97"/>
      <c r="I884" s="90"/>
      <c r="J884" s="98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</row>
    <row r="885">
      <c r="A885" s="93"/>
      <c r="B885" s="93"/>
      <c r="C885" s="94"/>
      <c r="D885" s="84"/>
      <c r="E885" s="86"/>
      <c r="F885" s="90"/>
      <c r="G885" s="115"/>
      <c r="H885" s="97"/>
      <c r="I885" s="90"/>
      <c r="J885" s="98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</row>
    <row r="886">
      <c r="A886" s="93"/>
      <c r="B886" s="93"/>
      <c r="C886" s="94"/>
      <c r="D886" s="84"/>
      <c r="E886" s="86"/>
      <c r="F886" s="90"/>
      <c r="G886" s="115"/>
      <c r="H886" s="97"/>
      <c r="I886" s="90"/>
      <c r="J886" s="98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</row>
    <row r="887">
      <c r="A887" s="93"/>
      <c r="B887" s="93"/>
      <c r="C887" s="94"/>
      <c r="D887" s="84"/>
      <c r="E887" s="86"/>
      <c r="F887" s="90"/>
      <c r="G887" s="115"/>
      <c r="H887" s="97"/>
      <c r="I887" s="90"/>
      <c r="J887" s="98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</row>
    <row r="888">
      <c r="A888" s="93"/>
      <c r="B888" s="93"/>
      <c r="C888" s="94"/>
      <c r="D888" s="84"/>
      <c r="E888" s="86"/>
      <c r="F888" s="90"/>
      <c r="G888" s="115"/>
      <c r="H888" s="97"/>
      <c r="I888" s="90"/>
      <c r="J888" s="98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</row>
    <row r="889">
      <c r="A889" s="93"/>
      <c r="B889" s="93"/>
      <c r="C889" s="94"/>
      <c r="D889" s="84"/>
      <c r="E889" s="86"/>
      <c r="F889" s="90"/>
      <c r="G889" s="115"/>
      <c r="H889" s="97"/>
      <c r="I889" s="90"/>
      <c r="J889" s="98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</row>
    <row r="890">
      <c r="A890" s="93"/>
      <c r="B890" s="93"/>
      <c r="C890" s="94"/>
      <c r="D890" s="84"/>
      <c r="E890" s="86"/>
      <c r="F890" s="90"/>
      <c r="G890" s="115"/>
      <c r="H890" s="97"/>
      <c r="I890" s="90"/>
      <c r="J890" s="98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</row>
  </sheetData>
  <mergeCells>
    <mergeCell ref="A668:A682"/>
    <mergeCell ref="B668:B682"/>
    <mergeCell ref="B645:B667"/>
    <mergeCell ref="A645:A667"/>
    <mergeCell ref="A528:A529"/>
    <mergeCell ref="B528:B529"/>
    <mergeCell ref="A310:A313"/>
    <mergeCell ref="A289:A309"/>
    <mergeCell ref="A277:A287"/>
    <mergeCell ref="A316:A327"/>
    <mergeCell ref="A329:A344"/>
    <mergeCell ref="A346:A357"/>
    <mergeCell ref="A486:A510"/>
    <mergeCell ref="B486:B510"/>
    <mergeCell ref="B461:B485"/>
    <mergeCell ref="A461:A485"/>
    <mergeCell ref="B420:B431"/>
    <mergeCell ref="B411:B419"/>
    <mergeCell ref="B408:B409"/>
    <mergeCell ref="B258:B276"/>
    <mergeCell ref="B277:B287"/>
    <mergeCell ref="B289:B309"/>
    <mergeCell ref="B310:B313"/>
    <mergeCell ref="B316:B327"/>
    <mergeCell ref="B329:B344"/>
    <mergeCell ref="B346:B357"/>
    <mergeCell ref="B358:B407"/>
    <mergeCell ref="A420:A431"/>
    <mergeCell ref="A411:A419"/>
    <mergeCell ref="A358:A407"/>
    <mergeCell ref="A408:A409"/>
    <mergeCell ref="B433:B444"/>
    <mergeCell ref="A433:A444"/>
    <mergeCell ref="B445:B452"/>
    <mergeCell ref="A445:A452"/>
    <mergeCell ref="B454:B457"/>
    <mergeCell ref="A454:A457"/>
    <mergeCell ref="A458:A460"/>
    <mergeCell ref="B458:B460"/>
    <mergeCell ref="A513:A527"/>
    <mergeCell ref="B513:B527"/>
    <mergeCell ref="A530:A541"/>
    <mergeCell ref="B530:B541"/>
    <mergeCell ref="A542:A552"/>
    <mergeCell ref="B542:B552"/>
    <mergeCell ref="A553:A558"/>
    <mergeCell ref="B553:B558"/>
    <mergeCell ref="A559:A565"/>
    <mergeCell ref="B559:B565"/>
    <mergeCell ref="A566:A570"/>
    <mergeCell ref="B566:B570"/>
    <mergeCell ref="A571:A581"/>
    <mergeCell ref="B571:B581"/>
    <mergeCell ref="A253:A257"/>
    <mergeCell ref="A582:A591"/>
    <mergeCell ref="B582:B591"/>
    <mergeCell ref="A592:A595"/>
    <mergeCell ref="B592:B595"/>
    <mergeCell ref="B596:B604"/>
    <mergeCell ref="A596:A604"/>
    <mergeCell ref="A605:A619"/>
    <mergeCell ref="B605:B619"/>
    <mergeCell ref="A620:A624"/>
    <mergeCell ref="B620:B624"/>
    <mergeCell ref="B626:B635"/>
    <mergeCell ref="A626:A635"/>
    <mergeCell ref="A636:A638"/>
    <mergeCell ref="B636:B638"/>
    <mergeCell ref="A639:A644"/>
    <mergeCell ref="B639:B644"/>
    <mergeCell ref="A684:A689"/>
    <mergeCell ref="B684:B689"/>
    <mergeCell ref="A690:A701"/>
    <mergeCell ref="B690:B701"/>
    <mergeCell ref="A702:A708"/>
    <mergeCell ref="B702:B708"/>
  </mergeCells>
  <conditionalFormatting sqref="E96:E96">
    <cfRule dxfId="1" priority="2" stopIfTrue="true" type="duplicateValues"/>
  </conditionalFormatting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3" xSplit="9" ySplit="2"/>
    </sheetView>
  </sheetViews>
  <sheetFormatPr defaultColWidth="14" defaultRowHeight="19"/>
  <cols>
    <col collapsed="false" customWidth="true" hidden="false" max="23" min="23" style="0" width="8"/>
    <col collapsed="false" customWidth="true" hidden="false" max="40" min="40" style="0" width="8"/>
    <col collapsed="false" customWidth="true" hidden="false" max="56" min="56" style="0" width="8"/>
    <col collapsed="false" customWidth="true" hidden="false" max="72" min="72" style="0" width="10"/>
    <col collapsed="false" customWidth="true" hidden="false" max="88" min="88" style="0" width="10"/>
    <col collapsed="false" customWidth="true" hidden="false" max="7" min="7" style="0" width="7"/>
    <col collapsed="false" customWidth="true" hidden="false" max="22" min="22" style="0" width="8"/>
    <col collapsed="false" customWidth="true" hidden="false" max="39" min="39" style="0" width="8"/>
    <col collapsed="false" customWidth="true" hidden="false" max="55" min="55" style="0" width="11"/>
    <col collapsed="false" customWidth="true" hidden="false" max="71" min="71" style="0" width="10"/>
    <col collapsed="false" customWidth="true" hidden="false" max="87" min="87" style="0" width="10"/>
    <col collapsed="false" customWidth="true" hidden="false" max="6" min="6" style="0" width="9"/>
    <col collapsed="false" customWidth="true" hidden="false" max="21" min="21" style="0" width="8"/>
    <col collapsed="false" customWidth="true" hidden="false" max="38" min="38" style="0" width="8"/>
    <col collapsed="false" customWidth="true" hidden="false" max="54" min="54" style="0" width="8"/>
    <col collapsed="false" customWidth="true" hidden="false" max="70" min="70" style="0" width="10"/>
    <col collapsed="false" customWidth="true" hidden="false" max="86" min="86" style="0" width="10"/>
    <col collapsed="false" customWidth="true" hidden="false" max="5" min="5" style="0" width="8"/>
    <col collapsed="false" customWidth="true" hidden="false" max="37" min="37" style="0" width="8"/>
    <col collapsed="false" customWidth="true" hidden="false" max="53" min="53" style="0" width="8"/>
    <col collapsed="false" customWidth="true" hidden="false" max="69" min="69" style="0" width="10"/>
    <col collapsed="false" customWidth="true" hidden="false" max="85" min="85" style="0" width="10"/>
    <col collapsed="false" customWidth="true" hidden="false" max="12" min="12" style="0" width="8"/>
    <col collapsed="false" customWidth="true" hidden="false" max="28" min="28" style="0" width="8"/>
    <col collapsed="false" customWidth="true" hidden="false" max="44" min="44" style="0" width="8"/>
    <col collapsed="false" customWidth="true" hidden="false" max="60" min="60" style="0" width="8"/>
    <col collapsed="false" customWidth="true" hidden="false" max="76" min="76" style="0" width="10"/>
    <col collapsed="false" customWidth="true" hidden="false" max="92" min="92" style="0" width="13"/>
    <col collapsed="false" customWidth="true" hidden="false" max="11" min="11" style="0" width="8"/>
    <col collapsed="false" customWidth="true" hidden="false" max="27" min="27" style="0" width="8"/>
    <col collapsed="false" customWidth="true" hidden="false" max="43" min="43" style="0" width="8"/>
    <col collapsed="false" customWidth="true" hidden="false" max="59" min="59" style="0" width="8"/>
    <col collapsed="false" customWidth="true" hidden="false" max="75" min="75" style="0" width="10"/>
    <col collapsed="false" customWidth="true" hidden="false" max="91" min="91" style="0" width="13"/>
    <col collapsed="false" customWidth="true" hidden="false" max="10" min="10" style="0" width="8"/>
    <col collapsed="false" customWidth="true" hidden="false" max="26" min="26" style="0" width="8"/>
    <col collapsed="false" customWidth="true" hidden="false" max="42" min="42" style="0" width="8"/>
    <col collapsed="false" customWidth="true" hidden="false" max="58" min="58" style="0" width="8"/>
    <col collapsed="false" customWidth="true" hidden="false" max="74" min="74" style="0" width="10"/>
    <col collapsed="false" customWidth="true" hidden="false" max="90" min="90" style="0" width="13"/>
    <col collapsed="false" customWidth="true" hidden="false" max="9" min="9" style="0" width="13"/>
    <col collapsed="false" customWidth="true" hidden="false" max="25" min="25" style="0" width="8"/>
    <col collapsed="false" customWidth="true" hidden="false" max="41" min="41" style="0" width="8"/>
    <col collapsed="false" customWidth="true" hidden="false" max="57" min="57" style="0" width="11"/>
    <col collapsed="false" customWidth="true" hidden="false" max="73" min="73" style="0" width="10"/>
    <col collapsed="false" customWidth="true" hidden="false" max="89" min="89" style="0" width="10"/>
    <col collapsed="false" customWidth="true" hidden="false" max="16" min="16" style="0" width="8"/>
    <col collapsed="false" customWidth="true" hidden="false" max="32" min="32" style="0" width="8"/>
    <col collapsed="false" customWidth="true" hidden="false" max="48" min="48" style="0" width="8"/>
    <col collapsed="false" customWidth="true" hidden="false" max="64" min="64" style="0" width="8"/>
    <col collapsed="false" customWidth="true" hidden="false" max="80" min="80" style="0" width="10"/>
    <col collapsed="false" customWidth="true" hidden="false" max="15" min="15" style="0" width="8"/>
    <col collapsed="false" customWidth="true" hidden="false" max="30" min="30" style="0" width="8"/>
    <col collapsed="false" customWidth="true" hidden="false" max="31" min="31" style="0" width="8"/>
    <col collapsed="false" customWidth="true" hidden="false" max="47" min="47" style="0" width="8"/>
    <col collapsed="false" customWidth="true" hidden="false" max="63" min="63" style="0" width="8"/>
    <col collapsed="false" customWidth="true" hidden="false" max="79" min="79" style="0" width="10"/>
    <col collapsed="false" customWidth="true" hidden="false" max="14" min="14" style="0" width="8"/>
    <col collapsed="false" customWidth="true" hidden="false" max="29" min="29" style="0" width="8"/>
    <col collapsed="false" customWidth="true" hidden="false" max="46" min="46" style="0" width="8"/>
    <col collapsed="false" customWidth="true" hidden="false" max="62" min="62" style="0" width="8"/>
    <col collapsed="false" customWidth="true" hidden="false" max="78" min="78" style="0" width="10"/>
    <col collapsed="false" customWidth="true" hidden="false" max="13" min="13" style="0" width="8"/>
    <col collapsed="false" customWidth="true" hidden="false" max="20" min="20" style="0" width="8"/>
    <col collapsed="false" customWidth="true" hidden="false" max="45" min="45" style="0" width="8"/>
    <col collapsed="false" customWidth="true" hidden="false" max="61" min="61" style="0" width="8"/>
    <col collapsed="false" customWidth="true" hidden="false" max="77" min="77" style="0" width="10"/>
    <col collapsed="false" customWidth="true" hidden="false" max="93" min="93" style="0" width="20"/>
    <col collapsed="false" customWidth="true" hidden="false" max="4" min="4" style="0" width="25"/>
    <col collapsed="false" customWidth="true" hidden="false" max="19" min="19" style="0" width="8"/>
    <col collapsed="false" customWidth="true" hidden="false" max="36" min="36" style="0" width="8"/>
    <col collapsed="false" customWidth="true" hidden="false" max="52" min="52" style="0" width="8"/>
    <col collapsed="false" customWidth="true" hidden="false" max="68" min="68" style="0" width="10"/>
    <col collapsed="false" customWidth="true" hidden="false" max="84" min="84" style="0" width="10"/>
    <col collapsed="false" customWidth="true" hidden="false" max="3" min="3" style="0" width="19"/>
    <col collapsed="false" customWidth="true" hidden="false" max="18" min="18" style="0" width="8"/>
    <col collapsed="false" customWidth="true" hidden="false" max="35" min="35" style="0" width="8"/>
    <col collapsed="false" customWidth="true" hidden="false" max="51" min="51" style="0" width="8"/>
    <col collapsed="false" customWidth="true" hidden="false" max="67" min="67" style="0" width="10"/>
    <col collapsed="false" customWidth="true" hidden="false" max="83" min="83" style="0" width="10"/>
    <col collapsed="false" customWidth="true" hidden="false" max="2" min="2" style="0" width="22"/>
    <col collapsed="false" customWidth="true" hidden="false" max="17" min="17" style="0" width="8"/>
    <col collapsed="false" customWidth="true" hidden="false" max="34" min="34" style="0" width="8"/>
    <col collapsed="false" customWidth="true" hidden="false" max="50" min="50" style="0" width="8"/>
    <col collapsed="false" customWidth="true" hidden="false" max="66" min="66" style="0" width="8"/>
    <col collapsed="false" customWidth="true" hidden="false" max="82" min="82" style="0" width="10"/>
    <col collapsed="false" customWidth="true" hidden="false" max="1" min="1" style="0" width="7"/>
    <col collapsed="false" customWidth="true" hidden="false" max="24" min="24" style="0" width="8"/>
    <col collapsed="false" customWidth="true" hidden="false" max="33" min="33" style="0" width="8"/>
    <col collapsed="false" customWidth="true" hidden="false" max="49" min="49" style="0" width="8"/>
    <col collapsed="false" customWidth="true" hidden="false" max="65" min="65" style="0" width="10"/>
    <col collapsed="false" customWidth="true" hidden="false" max="81" min="81" style="0" width="10"/>
    <col collapsed="false" customWidth="true" hidden="false" max="8" min="8" style="0" width="8"/>
  </cols>
  <sheetData>
    <row customHeight="true" ht="30" r="1">
      <c r="A1" s="320" t="s">
        <v>666</v>
      </c>
      <c r="B1" s="321" t="s">
        <v>667</v>
      </c>
      <c r="C1" s="320" t="s">
        <v>668</v>
      </c>
      <c r="D1" s="322" t="s">
        <v>669</v>
      </c>
      <c r="E1" s="323" t="s">
        <v>670</v>
      </c>
      <c r="F1" s="323" t="s">
        <v>671</v>
      </c>
      <c r="G1" s="324" t="s">
        <v>672</v>
      </c>
      <c r="H1" s="325" t="s">
        <v>673</v>
      </c>
      <c r="I1" s="326"/>
      <c r="J1" s="327" t="s">
        <v>674</v>
      </c>
      <c r="K1" s="320"/>
      <c r="L1" s="327" t="s">
        <v>675</v>
      </c>
      <c r="M1" s="320"/>
      <c r="N1" s="328" t="s">
        <v>676</v>
      </c>
      <c r="O1" s="329"/>
      <c r="P1" s="328" t="s">
        <v>677</v>
      </c>
      <c r="Q1" s="330"/>
      <c r="R1" s="331" t="s">
        <v>678</v>
      </c>
      <c r="S1" s="332"/>
      <c r="T1" s="333" t="s">
        <v>679</v>
      </c>
      <c r="U1" s="332"/>
      <c r="V1" s="333" t="s">
        <v>680</v>
      </c>
      <c r="W1" s="334"/>
      <c r="X1" s="333" t="s">
        <v>681</v>
      </c>
      <c r="Y1" s="334"/>
      <c r="Z1" s="333" t="s">
        <v>682</v>
      </c>
      <c r="AA1" s="333"/>
      <c r="AB1" s="333" t="s">
        <v>683</v>
      </c>
      <c r="AC1" s="335"/>
      <c r="AD1" s="336" t="s">
        <v>684</v>
      </c>
      <c r="AE1" s="333"/>
      <c r="AF1" s="336" t="s">
        <v>685</v>
      </c>
      <c r="AG1" s="335"/>
      <c r="AH1" s="336" t="s">
        <v>686</v>
      </c>
      <c r="AI1" s="334"/>
      <c r="AJ1" s="336" t="s">
        <v>687</v>
      </c>
      <c r="AK1" s="336"/>
      <c r="AL1" s="336" t="s">
        <v>688</v>
      </c>
      <c r="AM1" s="336"/>
      <c r="AN1" s="336" t="s">
        <v>689</v>
      </c>
      <c r="AO1" s="336"/>
      <c r="AP1" s="336" t="s">
        <v>690</v>
      </c>
      <c r="AQ1" s="336"/>
      <c r="AR1" s="336" t="s">
        <v>691</v>
      </c>
      <c r="AS1" s="336"/>
      <c r="AT1" s="336" t="s">
        <v>692</v>
      </c>
      <c r="AU1" s="334"/>
      <c r="AV1" s="336" t="s">
        <v>692</v>
      </c>
      <c r="AW1" s="336"/>
      <c r="AX1" s="336" t="s">
        <v>693</v>
      </c>
      <c r="AY1" s="336"/>
      <c r="AZ1" s="336" t="s">
        <v>694</v>
      </c>
      <c r="BA1" s="336"/>
      <c r="BB1" s="336" t="s">
        <v>695</v>
      </c>
      <c r="BC1" s="337"/>
      <c r="BD1" s="336" t="s">
        <v>696</v>
      </c>
      <c r="BE1" s="336"/>
      <c r="BF1" s="336" t="s">
        <v>697</v>
      </c>
      <c r="BG1" s="336"/>
      <c r="BH1" s="336" t="s">
        <v>698</v>
      </c>
      <c r="BI1" s="336"/>
      <c r="BJ1" s="336" t="s">
        <v>699</v>
      </c>
      <c r="BK1" s="336"/>
      <c r="BL1" s="336" t="s">
        <v>700</v>
      </c>
      <c r="BM1" s="336"/>
      <c r="BN1" s="336" t="s">
        <v>700</v>
      </c>
      <c r="BO1" s="336"/>
      <c r="BP1" s="336" t="s">
        <v>701</v>
      </c>
      <c r="BQ1" s="334"/>
      <c r="BR1" s="336" t="s">
        <v>702</v>
      </c>
      <c r="BS1" s="336"/>
      <c r="BT1" s="336" t="s">
        <v>703</v>
      </c>
      <c r="BU1" s="336"/>
      <c r="BV1" s="336" t="s">
        <v>704</v>
      </c>
      <c r="BW1" s="336"/>
      <c r="BX1" s="336" t="s">
        <v>705</v>
      </c>
      <c r="BY1" s="336"/>
      <c r="BZ1" s="336" t="s">
        <v>706</v>
      </c>
      <c r="CA1" s="336"/>
      <c r="CB1" s="336" t="s">
        <v>706</v>
      </c>
      <c r="CC1" s="336"/>
      <c r="CD1" s="336" t="s">
        <v>707</v>
      </c>
      <c r="CE1" s="336"/>
      <c r="CF1" s="336" t="s">
        <v>708</v>
      </c>
      <c r="CG1" s="338"/>
      <c r="CH1" s="336" t="s">
        <v>709</v>
      </c>
      <c r="CI1" s="336"/>
      <c r="CJ1" s="336" t="s">
        <v>710</v>
      </c>
      <c r="CK1" s="336"/>
      <c r="CL1" s="339" t="s">
        <v>711</v>
      </c>
      <c r="CM1" s="328" t="s">
        <v>712</v>
      </c>
      <c r="CN1" s="340" t="s">
        <v>713</v>
      </c>
      <c r="CO1" s="340"/>
    </row>
    <row r="2">
      <c r="A2" s="320"/>
      <c r="B2" s="320"/>
      <c r="C2" s="320"/>
      <c r="D2" s="322"/>
      <c r="E2" s="323"/>
      <c r="F2" s="323"/>
      <c r="G2" s="325"/>
      <c r="H2" s="341" t="s">
        <v>714</v>
      </c>
      <c r="I2" s="342" t="s">
        <v>715</v>
      </c>
      <c r="J2" s="327" t="s">
        <v>714</v>
      </c>
      <c r="K2" s="320" t="s">
        <v>715</v>
      </c>
      <c r="L2" s="327" t="s">
        <v>714</v>
      </c>
      <c r="M2" s="320" t="s">
        <v>715</v>
      </c>
      <c r="N2" s="328" t="s">
        <v>716</v>
      </c>
      <c r="O2" s="320" t="s">
        <v>715</v>
      </c>
      <c r="P2" s="328" t="s">
        <v>716</v>
      </c>
      <c r="Q2" s="342" t="s">
        <v>715</v>
      </c>
      <c r="R2" s="331" t="s">
        <v>716</v>
      </c>
      <c r="S2" s="332" t="s">
        <v>715</v>
      </c>
      <c r="T2" s="343" t="s">
        <v>716</v>
      </c>
      <c r="U2" s="332" t="s">
        <v>715</v>
      </c>
      <c r="V2" s="343" t="s">
        <v>716</v>
      </c>
      <c r="W2" s="332" t="s">
        <v>715</v>
      </c>
      <c r="X2" s="343" t="s">
        <v>716</v>
      </c>
      <c r="Y2" s="332" t="s">
        <v>715</v>
      </c>
      <c r="Z2" s="343" t="s">
        <v>716</v>
      </c>
      <c r="AA2" s="332" t="s">
        <v>715</v>
      </c>
      <c r="AB2" s="344" t="s">
        <v>716</v>
      </c>
      <c r="AC2" s="345" t="s">
        <v>715</v>
      </c>
      <c r="AD2" s="346" t="s">
        <v>716</v>
      </c>
      <c r="AE2" s="345" t="s">
        <v>715</v>
      </c>
      <c r="AF2" s="346" t="s">
        <v>716</v>
      </c>
      <c r="AG2" s="345" t="s">
        <v>715</v>
      </c>
      <c r="AH2" s="346" t="s">
        <v>716</v>
      </c>
      <c r="AI2" s="347" t="s">
        <v>715</v>
      </c>
      <c r="AJ2" s="346" t="s">
        <v>716</v>
      </c>
      <c r="AK2" s="347" t="s">
        <v>715</v>
      </c>
      <c r="AL2" s="346" t="s">
        <v>716</v>
      </c>
      <c r="AM2" s="347" t="s">
        <v>715</v>
      </c>
      <c r="AN2" s="346" t="s">
        <v>716</v>
      </c>
      <c r="AO2" s="347" t="s">
        <v>715</v>
      </c>
      <c r="AP2" s="346" t="s">
        <v>716</v>
      </c>
      <c r="AQ2" s="347" t="s">
        <v>715</v>
      </c>
      <c r="AR2" s="346" t="s">
        <v>716</v>
      </c>
      <c r="AS2" s="347" t="s">
        <v>715</v>
      </c>
      <c r="AT2" s="346" t="s">
        <v>716</v>
      </c>
      <c r="AU2" s="347" t="s">
        <v>715</v>
      </c>
      <c r="AV2" s="346" t="s">
        <v>716</v>
      </c>
      <c r="AW2" s="347" t="s">
        <v>715</v>
      </c>
      <c r="AX2" s="346" t="s">
        <v>716</v>
      </c>
      <c r="AY2" s="347" t="s">
        <v>715</v>
      </c>
      <c r="AZ2" s="346" t="s">
        <v>716</v>
      </c>
      <c r="BA2" s="347" t="s">
        <v>715</v>
      </c>
      <c r="BB2" s="346" t="s">
        <v>716</v>
      </c>
      <c r="BC2" s="348" t="s">
        <v>715</v>
      </c>
      <c r="BD2" s="346" t="s">
        <v>716</v>
      </c>
      <c r="BE2" s="348" t="s">
        <v>715</v>
      </c>
      <c r="BF2" s="346" t="s">
        <v>716</v>
      </c>
      <c r="BG2" s="348" t="s">
        <v>715</v>
      </c>
      <c r="BH2" s="346" t="s">
        <v>716</v>
      </c>
      <c r="BI2" s="348" t="s">
        <v>715</v>
      </c>
      <c r="BJ2" s="346" t="s">
        <v>716</v>
      </c>
      <c r="BK2" s="348" t="s">
        <v>715</v>
      </c>
      <c r="BL2" s="346" t="s">
        <v>716</v>
      </c>
      <c r="BM2" s="348" t="s">
        <v>715</v>
      </c>
      <c r="BN2" s="346" t="s">
        <v>716</v>
      </c>
      <c r="BO2" s="348" t="s">
        <v>715</v>
      </c>
      <c r="BP2" s="346" t="s">
        <v>716</v>
      </c>
      <c r="BQ2" s="348" t="s">
        <v>715</v>
      </c>
      <c r="BR2" s="346" t="s">
        <v>716</v>
      </c>
      <c r="BS2" s="348" t="s">
        <v>715</v>
      </c>
      <c r="BT2" s="346" t="s">
        <v>716</v>
      </c>
      <c r="BU2" s="348" t="s">
        <v>715</v>
      </c>
      <c r="BV2" s="346" t="s">
        <v>716</v>
      </c>
      <c r="BW2" s="348" t="s">
        <v>715</v>
      </c>
      <c r="BX2" s="346" t="s">
        <v>716</v>
      </c>
      <c r="BY2" s="348" t="s">
        <v>715</v>
      </c>
      <c r="BZ2" s="346" t="s">
        <v>716</v>
      </c>
      <c r="CA2" s="348" t="s">
        <v>715</v>
      </c>
      <c r="CB2" s="346" t="s">
        <v>716</v>
      </c>
      <c r="CC2" s="348" t="s">
        <v>715</v>
      </c>
      <c r="CD2" s="346" t="s">
        <v>716</v>
      </c>
      <c r="CE2" s="348" t="s">
        <v>715</v>
      </c>
      <c r="CF2" s="346" t="s">
        <v>716</v>
      </c>
      <c r="CG2" s="349" t="s">
        <v>715</v>
      </c>
      <c r="CH2" s="346" t="s">
        <v>716</v>
      </c>
      <c r="CI2" s="349" t="s">
        <v>715</v>
      </c>
      <c r="CJ2" s="346" t="s">
        <v>716</v>
      </c>
      <c r="CK2" s="349" t="s">
        <v>715</v>
      </c>
      <c r="CL2" s="350"/>
      <c r="CM2" s="328"/>
      <c r="CN2" s="340"/>
      <c r="CO2" s="340"/>
    </row>
    <row r="3">
      <c r="A3" s="351">
        <v>1</v>
      </c>
      <c r="B3" s="352" t="s">
        <v>717</v>
      </c>
      <c r="C3" s="353">
        <v>697884024026600</v>
      </c>
      <c r="D3" s="354" t="s">
        <v>718</v>
      </c>
      <c r="E3" s="355">
        <v>98.8</v>
      </c>
      <c r="F3" s="356">
        <v>756</v>
      </c>
      <c r="G3" s="357">
        <v>40</v>
      </c>
      <c r="H3" s="358">
        <v>1800</v>
      </c>
      <c r="I3" s="359">
        <v>177840</v>
      </c>
      <c r="J3" s="360"/>
      <c r="K3" s="351"/>
      <c r="L3" s="361"/>
      <c r="M3" s="362"/>
      <c r="N3" s="363">
        <v>500</v>
      </c>
      <c r="O3" s="364">
        <v>49400</v>
      </c>
      <c r="P3" s="363"/>
      <c r="Q3" s="365"/>
      <c r="R3" s="366"/>
      <c r="S3" s="367"/>
      <c r="T3" s="368" t="s">
        <v>719</v>
      </c>
      <c r="U3" s="369" t="s">
        <v>719</v>
      </c>
      <c r="V3" s="368" t="s">
        <v>719</v>
      </c>
      <c r="W3" s="369" t="s">
        <v>719</v>
      </c>
      <c r="X3" s="368" t="s">
        <v>719</v>
      </c>
      <c r="Y3" s="369" t="s">
        <v>719</v>
      </c>
      <c r="Z3" s="368" t="s">
        <v>719</v>
      </c>
      <c r="AA3" s="370" t="s">
        <v>719</v>
      </c>
      <c r="AB3" s="371" t="s">
        <v>719</v>
      </c>
      <c r="AC3" s="372" t="s">
        <v>719</v>
      </c>
      <c r="AD3" s="371" t="s">
        <v>719</v>
      </c>
      <c r="AE3" s="372" t="s">
        <v>719</v>
      </c>
      <c r="AF3" s="371" t="s">
        <v>719</v>
      </c>
      <c r="AG3" s="373" t="s">
        <v>719</v>
      </c>
      <c r="AH3" s="371" t="s">
        <v>719</v>
      </c>
      <c r="AI3" s="372" t="s">
        <v>719</v>
      </c>
      <c r="AJ3" s="371" t="s">
        <v>719</v>
      </c>
      <c r="AK3" s="372" t="s">
        <v>719</v>
      </c>
      <c r="AL3" s="371" t="s">
        <v>719</v>
      </c>
      <c r="AM3" s="372" t="s">
        <v>719</v>
      </c>
      <c r="AN3" s="371" t="s">
        <v>719</v>
      </c>
      <c r="AO3" s="372" t="s">
        <v>719</v>
      </c>
      <c r="AP3" s="371" t="s">
        <v>719</v>
      </c>
      <c r="AQ3" s="372" t="s">
        <v>719</v>
      </c>
      <c r="AR3" s="371" t="s">
        <v>719</v>
      </c>
      <c r="AS3" s="372" t="s">
        <v>719</v>
      </c>
      <c r="AT3" s="371" t="s">
        <v>719</v>
      </c>
      <c r="AU3" s="372" t="s">
        <v>719</v>
      </c>
      <c r="AV3" s="371" t="s">
        <v>719</v>
      </c>
      <c r="AW3" s="372" t="s">
        <v>719</v>
      </c>
      <c r="AX3" s="371" t="s">
        <v>719</v>
      </c>
      <c r="AY3" s="372" t="s">
        <v>719</v>
      </c>
      <c r="AZ3" s="371" t="s">
        <v>719</v>
      </c>
      <c r="BA3" s="372" t="s">
        <v>719</v>
      </c>
      <c r="BB3" s="371" t="s">
        <v>719</v>
      </c>
      <c r="BC3" s="374" t="s">
        <v>719</v>
      </c>
      <c r="BD3" s="371" t="s">
        <v>719</v>
      </c>
      <c r="BE3" s="374" t="s">
        <v>719</v>
      </c>
      <c r="BF3" s="371" t="s">
        <v>719</v>
      </c>
      <c r="BG3" s="374" t="s">
        <v>719</v>
      </c>
      <c r="BH3" s="371">
        <v>100</v>
      </c>
      <c r="BI3" s="374">
        <f>BH3*E3</f>
      </c>
      <c r="BJ3" s="371" t="s">
        <v>719</v>
      </c>
      <c r="BK3" s="374" t="s">
        <v>719</v>
      </c>
      <c r="BL3" s="371" t="s">
        <v>719</v>
      </c>
      <c r="BM3" s="374" t="s">
        <v>719</v>
      </c>
      <c r="BN3" s="371">
        <v>40</v>
      </c>
      <c r="BO3" s="374">
        <f>BN3*E3</f>
      </c>
      <c r="BP3" s="375" t="s">
        <v>719</v>
      </c>
      <c r="BQ3" s="372" t="s">
        <v>719</v>
      </c>
      <c r="BR3" s="375">
        <v>40</v>
      </c>
      <c r="BS3" s="372">
        <f>BR3*E3</f>
      </c>
      <c r="BT3" s="375" t="s">
        <v>719</v>
      </c>
      <c r="BU3" s="372" t="s">
        <v>719</v>
      </c>
      <c r="BV3" s="375" t="s">
        <v>719</v>
      </c>
      <c r="BW3" s="372" t="s">
        <v>719</v>
      </c>
      <c r="BX3" s="375" t="s">
        <v>719</v>
      </c>
      <c r="BY3" s="372" t="s">
        <v>719</v>
      </c>
      <c r="BZ3" s="375" t="s">
        <v>719</v>
      </c>
      <c r="CA3" s="372" t="s">
        <v>719</v>
      </c>
      <c r="CB3" s="375">
        <v>80</v>
      </c>
      <c r="CC3" s="372">
        <f>CB3*E3</f>
      </c>
      <c r="CD3" s="375">
        <v>80</v>
      </c>
      <c r="CE3" s="372">
        <f>CD3*E3</f>
      </c>
      <c r="CF3" s="376" t="s">
        <v>719</v>
      </c>
      <c r="CG3" s="377" t="s">
        <v>719</v>
      </c>
      <c r="CH3" s="378" t="s">
        <v>719</v>
      </c>
      <c r="CI3" s="377" t="s">
        <v>719</v>
      </c>
      <c r="CJ3" s="378">
        <v>120</v>
      </c>
      <c r="CK3" s="377">
        <f>CJ3*E3</f>
      </c>
      <c r="CL3" s="379">
        <f>H3-BN3-BH3-N3-BR3-CB3-CD3</f>
      </c>
      <c r="CM3" s="380">
        <v>0</v>
      </c>
      <c r="CN3" s="381">
        <f>CL3</f>
      </c>
      <c r="CO3" s="381"/>
    </row>
    <row r="4">
      <c r="A4" s="382">
        <v>2</v>
      </c>
      <c r="B4" s="382"/>
      <c r="C4" s="383">
        <v>697884024025900</v>
      </c>
      <c r="D4" s="384" t="s">
        <v>720</v>
      </c>
      <c r="E4" s="385">
        <v>2.6</v>
      </c>
      <c r="F4" s="386">
        <v>9.9</v>
      </c>
      <c r="G4" s="387" t="s">
        <v>719</v>
      </c>
      <c r="H4" s="388">
        <v>6000</v>
      </c>
      <c r="I4" s="389">
        <v>15600</v>
      </c>
      <c r="J4" s="390">
        <v>1000</v>
      </c>
      <c r="K4" s="391">
        <v>2600</v>
      </c>
      <c r="L4" s="392">
        <v>40</v>
      </c>
      <c r="M4" s="391">
        <v>104</v>
      </c>
      <c r="N4" s="393"/>
      <c r="O4" s="382"/>
      <c r="P4" s="394">
        <v>1960</v>
      </c>
      <c r="Q4" s="385">
        <v>5096</v>
      </c>
      <c r="R4" s="390">
        <v>3000</v>
      </c>
      <c r="S4" s="385">
        <v>7800</v>
      </c>
      <c r="T4" s="395" t="s">
        <v>719</v>
      </c>
      <c r="U4" s="396" t="s">
        <v>719</v>
      </c>
      <c r="V4" s="395" t="s">
        <v>719</v>
      </c>
      <c r="W4" s="396" t="s">
        <v>719</v>
      </c>
      <c r="X4" s="395" t="s">
        <v>719</v>
      </c>
      <c r="Y4" s="396" t="s">
        <v>719</v>
      </c>
      <c r="Z4" s="395" t="s">
        <v>719</v>
      </c>
      <c r="AA4" s="397" t="s">
        <v>719</v>
      </c>
      <c r="AB4" s="398" t="s">
        <v>719</v>
      </c>
      <c r="AC4" s="399" t="s">
        <v>719</v>
      </c>
      <c r="AD4" s="398" t="s">
        <v>719</v>
      </c>
      <c r="AE4" s="399" t="s">
        <v>719</v>
      </c>
      <c r="AF4" s="398" t="s">
        <v>719</v>
      </c>
      <c r="AG4" s="400" t="s">
        <v>719</v>
      </c>
      <c r="AH4" s="398" t="s">
        <v>719</v>
      </c>
      <c r="AI4" s="399" t="s">
        <v>719</v>
      </c>
      <c r="AJ4" s="398" t="s">
        <v>719</v>
      </c>
      <c r="AK4" s="399" t="s">
        <v>719</v>
      </c>
      <c r="AL4" s="398" t="s">
        <v>719</v>
      </c>
      <c r="AM4" s="399" t="s">
        <v>719</v>
      </c>
      <c r="AN4" s="398" t="s">
        <v>719</v>
      </c>
      <c r="AO4" s="399" t="s">
        <v>719</v>
      </c>
      <c r="AP4" s="398" t="s">
        <v>719</v>
      </c>
      <c r="AQ4" s="399" t="s">
        <v>719</v>
      </c>
      <c r="AR4" s="398" t="s">
        <v>719</v>
      </c>
      <c r="AS4" s="399" t="s">
        <v>719</v>
      </c>
      <c r="AT4" s="398" t="s">
        <v>719</v>
      </c>
      <c r="AU4" s="399" t="s">
        <v>719</v>
      </c>
      <c r="AV4" s="398" t="s">
        <v>719</v>
      </c>
      <c r="AW4" s="399" t="s">
        <v>719</v>
      </c>
      <c r="AX4" s="398" t="s">
        <v>719</v>
      </c>
      <c r="AY4" s="399" t="s">
        <v>719</v>
      </c>
      <c r="AZ4" s="398" t="s">
        <v>719</v>
      </c>
      <c r="BA4" s="399" t="s">
        <v>719</v>
      </c>
      <c r="BB4" s="398" t="s">
        <v>719</v>
      </c>
      <c r="BC4" s="401" t="s">
        <v>719</v>
      </c>
      <c r="BD4" s="398" t="s">
        <v>719</v>
      </c>
      <c r="BE4" s="401" t="s">
        <v>719</v>
      </c>
      <c r="BF4" s="398" t="s">
        <v>719</v>
      </c>
      <c r="BG4" s="401" t="s">
        <v>719</v>
      </c>
      <c r="BH4" s="398" t="s">
        <v>719</v>
      </c>
      <c r="BI4" s="401" t="s">
        <v>719</v>
      </c>
      <c r="BJ4" s="398" t="s">
        <v>719</v>
      </c>
      <c r="BK4" s="401" t="s">
        <v>719</v>
      </c>
      <c r="BL4" s="398" t="s">
        <v>719</v>
      </c>
      <c r="BM4" s="401" t="s">
        <v>719</v>
      </c>
      <c r="BN4" s="398" t="s">
        <v>719</v>
      </c>
      <c r="BO4" s="398" t="s">
        <v>719</v>
      </c>
      <c r="BP4" s="402" t="s">
        <v>719</v>
      </c>
      <c r="BQ4" s="399" t="s">
        <v>719</v>
      </c>
      <c r="BR4" s="399" t="s">
        <v>719</v>
      </c>
      <c r="BS4" s="399" t="s">
        <v>719</v>
      </c>
      <c r="BT4" s="399" t="s">
        <v>719</v>
      </c>
      <c r="BU4" s="399" t="s">
        <v>719</v>
      </c>
      <c r="BV4" s="402" t="s">
        <v>719</v>
      </c>
      <c r="BW4" s="399" t="s">
        <v>719</v>
      </c>
      <c r="BX4" s="402" t="s">
        <v>719</v>
      </c>
      <c r="BY4" s="399" t="s">
        <v>719</v>
      </c>
      <c r="BZ4" s="402" t="s">
        <v>719</v>
      </c>
      <c r="CA4" s="399" t="s">
        <v>719</v>
      </c>
      <c r="CB4" s="402" t="s">
        <v>719</v>
      </c>
      <c r="CC4" s="399" t="s">
        <v>719</v>
      </c>
      <c r="CD4" s="402" t="s">
        <v>719</v>
      </c>
      <c r="CE4" s="399" t="s">
        <v>719</v>
      </c>
      <c r="CF4" s="402" t="s">
        <v>719</v>
      </c>
      <c r="CG4" s="403" t="s">
        <v>719</v>
      </c>
      <c r="CH4" s="404" t="s">
        <v>719</v>
      </c>
      <c r="CI4" s="403" t="s">
        <v>719</v>
      </c>
      <c r="CJ4" s="404" t="s">
        <v>719</v>
      </c>
      <c r="CK4" s="403" t="s">
        <v>719</v>
      </c>
      <c r="CL4" s="405">
        <v>0</v>
      </c>
      <c r="CM4" s="393">
        <v>0</v>
      </c>
      <c r="CN4" s="406">
        <v>0</v>
      </c>
      <c r="CO4" s="406"/>
    </row>
    <row r="5">
      <c r="A5" s="382">
        <v>3</v>
      </c>
      <c r="B5" s="382"/>
      <c r="C5" s="383">
        <v>697884024024200</v>
      </c>
      <c r="D5" s="407" t="s">
        <v>721</v>
      </c>
      <c r="E5" s="385">
        <v>59.7</v>
      </c>
      <c r="F5" s="408">
        <v>339</v>
      </c>
      <c r="G5" s="388">
        <v>40</v>
      </c>
      <c r="H5" s="388">
        <v>6000</v>
      </c>
      <c r="I5" s="389">
        <v>358200</v>
      </c>
      <c r="J5" s="409">
        <v>800</v>
      </c>
      <c r="K5" s="391">
        <v>47760</v>
      </c>
      <c r="L5" s="392">
        <v>50</v>
      </c>
      <c r="M5" s="391">
        <v>2985</v>
      </c>
      <c r="N5" s="393"/>
      <c r="O5" s="382"/>
      <c r="P5" s="393"/>
      <c r="Q5" s="386"/>
      <c r="R5" s="390"/>
      <c r="S5" s="410"/>
      <c r="T5" s="395" t="s">
        <v>719</v>
      </c>
      <c r="U5" s="396" t="s">
        <v>719</v>
      </c>
      <c r="V5" s="395">
        <v>750</v>
      </c>
      <c r="W5" s="396">
        <f>V5*E5</f>
      </c>
      <c r="X5" s="395">
        <v>1000</v>
      </c>
      <c r="Y5" s="396">
        <f>X5*E5</f>
      </c>
      <c r="Z5" s="395" t="s">
        <v>719</v>
      </c>
      <c r="AA5" s="397" t="s">
        <v>719</v>
      </c>
      <c r="AB5" s="402">
        <v>1000</v>
      </c>
      <c r="AC5" s="411">
        <f>AB5*E5</f>
      </c>
      <c r="AD5" s="399" t="s">
        <v>719</v>
      </c>
      <c r="AE5" s="399" t="s">
        <v>719</v>
      </c>
      <c r="AF5" s="399" t="s">
        <v>719</v>
      </c>
      <c r="AG5" s="400" t="s">
        <v>719</v>
      </c>
      <c r="AH5" s="399" t="s">
        <v>719</v>
      </c>
      <c r="AI5" s="399" t="s">
        <v>719</v>
      </c>
      <c r="AJ5" s="399" t="s">
        <v>719</v>
      </c>
      <c r="AK5" s="399" t="s">
        <v>719</v>
      </c>
      <c r="AL5" s="399" t="s">
        <v>719</v>
      </c>
      <c r="AM5" s="399" t="s">
        <v>719</v>
      </c>
      <c r="AN5" s="399" t="s">
        <v>719</v>
      </c>
      <c r="AO5" s="399" t="s">
        <v>719</v>
      </c>
      <c r="AP5" s="399" t="s">
        <v>719</v>
      </c>
      <c r="AQ5" s="399" t="s">
        <v>719</v>
      </c>
      <c r="AR5" s="399" t="s">
        <v>719</v>
      </c>
      <c r="AS5" s="399" t="s">
        <v>719</v>
      </c>
      <c r="AT5" s="399" t="s">
        <v>719</v>
      </c>
      <c r="AU5" s="399" t="s">
        <v>719</v>
      </c>
      <c r="AV5" s="399" t="s">
        <v>719</v>
      </c>
      <c r="AW5" s="399" t="s">
        <v>719</v>
      </c>
      <c r="AX5" s="402">
        <v>1000</v>
      </c>
      <c r="AY5" s="399">
        <f>AX5*E5</f>
      </c>
      <c r="AZ5" s="399" t="s">
        <v>719</v>
      </c>
      <c r="BA5" s="399" t="s">
        <v>719</v>
      </c>
      <c r="BB5" s="399" t="s">
        <v>719</v>
      </c>
      <c r="BC5" s="401" t="s">
        <v>719</v>
      </c>
      <c r="BD5" s="402">
        <v>600</v>
      </c>
      <c r="BE5" s="401">
        <f t="shared" ref="BE5:BE6" si="0">BD5*E5</f>
      </c>
      <c r="BF5" s="402">
        <v>320</v>
      </c>
      <c r="BG5" s="401">
        <f>BF5*E5</f>
      </c>
      <c r="BH5" s="402">
        <v>320</v>
      </c>
      <c r="BI5" s="401">
        <f t="shared" ref="BI5:BI7" si="5">BH5*E5</f>
      </c>
      <c r="BJ5" s="398" t="s">
        <v>719</v>
      </c>
      <c r="BK5" s="401" t="s">
        <v>719</v>
      </c>
      <c r="BL5" s="398" t="s">
        <v>719</v>
      </c>
      <c r="BM5" s="401" t="s">
        <v>719</v>
      </c>
      <c r="BN5" s="398">
        <v>160</v>
      </c>
      <c r="BO5" s="401">
        <f>BN5*E5</f>
      </c>
      <c r="BP5" s="402" t="s">
        <v>719</v>
      </c>
      <c r="BQ5" s="399" t="s">
        <v>719</v>
      </c>
      <c r="BR5" s="399" t="s">
        <v>719</v>
      </c>
      <c r="BS5" s="399" t="s">
        <v>719</v>
      </c>
      <c r="BT5" s="399" t="s">
        <v>719</v>
      </c>
      <c r="BU5" s="399" t="s">
        <v>719</v>
      </c>
      <c r="BV5" s="402" t="s">
        <v>719</v>
      </c>
      <c r="BW5" s="399" t="s">
        <v>719</v>
      </c>
      <c r="BX5" s="402" t="s">
        <v>719</v>
      </c>
      <c r="BY5" s="399" t="s">
        <v>719</v>
      </c>
      <c r="BZ5" s="402" t="s">
        <v>719</v>
      </c>
      <c r="CA5" s="399" t="s">
        <v>719</v>
      </c>
      <c r="CB5" s="402" t="s">
        <v>719</v>
      </c>
      <c r="CC5" s="399" t="s">
        <v>719</v>
      </c>
      <c r="CD5" s="402" t="s">
        <v>719</v>
      </c>
      <c r="CE5" s="399" t="s">
        <v>719</v>
      </c>
      <c r="CF5" s="402" t="s">
        <v>719</v>
      </c>
      <c r="CG5" s="403" t="s">
        <v>719</v>
      </c>
      <c r="CH5" s="404" t="s">
        <v>719</v>
      </c>
      <c r="CI5" s="403" t="s">
        <v>719</v>
      </c>
      <c r="CJ5" s="404" t="s">
        <v>719</v>
      </c>
      <c r="CK5" s="403" t="s">
        <v>719</v>
      </c>
      <c r="CL5" s="405">
        <f>1400-BD5-BF5-BH5-BN5</f>
      </c>
      <c r="CM5" s="393">
        <v>0</v>
      </c>
      <c r="CN5" s="406">
        <v>0</v>
      </c>
      <c r="CO5" s="406"/>
    </row>
    <row r="6">
      <c r="A6" s="351">
        <v>4</v>
      </c>
      <c r="B6" s="351"/>
      <c r="C6" s="353">
        <v>697884024023500</v>
      </c>
      <c r="D6" s="354" t="s">
        <v>722</v>
      </c>
      <c r="E6" s="355">
        <v>113.1</v>
      </c>
      <c r="F6" s="356">
        <v>649</v>
      </c>
      <c r="G6" s="357">
        <v>20</v>
      </c>
      <c r="H6" s="358">
        <v>3000</v>
      </c>
      <c r="I6" s="359">
        <v>339300</v>
      </c>
      <c r="J6" s="361">
        <v>500</v>
      </c>
      <c r="K6" s="364">
        <v>56550</v>
      </c>
      <c r="L6" s="360">
        <v>50</v>
      </c>
      <c r="M6" s="364">
        <v>5655</v>
      </c>
      <c r="N6" s="363"/>
      <c r="O6" s="351"/>
      <c r="P6" s="363"/>
      <c r="Q6" s="365"/>
      <c r="R6" s="412"/>
      <c r="S6" s="413"/>
      <c r="T6" s="368" t="s">
        <v>719</v>
      </c>
      <c r="U6" s="369" t="s">
        <v>719</v>
      </c>
      <c r="V6" s="368" t="s">
        <v>719</v>
      </c>
      <c r="W6" s="369" t="s">
        <v>719</v>
      </c>
      <c r="X6" s="368" t="s">
        <v>719</v>
      </c>
      <c r="Y6" s="369" t="s">
        <v>719</v>
      </c>
      <c r="Z6" s="368" t="s">
        <v>719</v>
      </c>
      <c r="AA6" s="370" t="s">
        <v>719</v>
      </c>
      <c r="AB6" s="371" t="s">
        <v>719</v>
      </c>
      <c r="AC6" s="372" t="s">
        <v>719</v>
      </c>
      <c r="AD6" s="375">
        <v>90</v>
      </c>
      <c r="AE6" s="372">
        <f t="shared" ref="AE6:AE7" si="4">AD6*E6</f>
      </c>
      <c r="AF6" s="371" t="s">
        <v>719</v>
      </c>
      <c r="AG6" s="373" t="s">
        <v>719</v>
      </c>
      <c r="AH6" s="371" t="s">
        <v>719</v>
      </c>
      <c r="AI6" s="372" t="s">
        <v>719</v>
      </c>
      <c r="AJ6" s="371">
        <v>120</v>
      </c>
      <c r="AK6" s="372">
        <f t="shared" ref="AK6:AK7" si="6">AJ6*E6</f>
      </c>
      <c r="AL6" s="371" t="s">
        <v>719</v>
      </c>
      <c r="AM6" s="372" t="s">
        <v>719</v>
      </c>
      <c r="AN6" s="371" t="s">
        <v>719</v>
      </c>
      <c r="AO6" s="372" t="s">
        <v>719</v>
      </c>
      <c r="AP6" s="371" t="s">
        <v>719</v>
      </c>
      <c r="AQ6" s="372" t="s">
        <v>719</v>
      </c>
      <c r="AR6" s="371" t="s">
        <v>719</v>
      </c>
      <c r="AS6" s="372" t="s">
        <v>719</v>
      </c>
      <c r="AT6" s="371" t="s">
        <v>719</v>
      </c>
      <c r="AU6" s="372" t="s">
        <v>719</v>
      </c>
      <c r="AV6" s="371" t="s">
        <v>719</v>
      </c>
      <c r="AW6" s="372" t="s">
        <v>719</v>
      </c>
      <c r="AX6" s="371" t="s">
        <v>719</v>
      </c>
      <c r="AY6" s="372" t="s">
        <v>719</v>
      </c>
      <c r="AZ6" s="371" t="s">
        <v>719</v>
      </c>
      <c r="BA6" s="372" t="s">
        <v>719</v>
      </c>
      <c r="BB6" s="375">
        <v>140</v>
      </c>
      <c r="BC6" s="414">
        <f>BB6*E6</f>
      </c>
      <c r="BD6" s="375">
        <v>80</v>
      </c>
      <c r="BE6" s="374">
        <f t="shared" si="0"/>
      </c>
      <c r="BF6" s="371" t="s">
        <v>719</v>
      </c>
      <c r="BG6" s="374" t="s">
        <v>719</v>
      </c>
      <c r="BH6" s="371">
        <v>140</v>
      </c>
      <c r="BI6" s="374">
        <f t="shared" si="5"/>
      </c>
      <c r="BJ6" s="371" t="s">
        <v>719</v>
      </c>
      <c r="BK6" s="374" t="s">
        <v>719</v>
      </c>
      <c r="BL6" s="371" t="s">
        <v>719</v>
      </c>
      <c r="BM6" s="374" t="s">
        <v>719</v>
      </c>
      <c r="BN6" s="371" t="s">
        <v>719</v>
      </c>
      <c r="BO6" s="371" t="s">
        <v>719</v>
      </c>
      <c r="BP6" s="375">
        <v>40</v>
      </c>
      <c r="BQ6" s="372">
        <f t="shared" ref="BQ6:BQ7" si="10">BP6*E6</f>
      </c>
      <c r="BR6" s="375">
        <v>140</v>
      </c>
      <c r="BS6" s="372">
        <f t="shared" ref="BS6:BS7" si="9">BR6*E6</f>
      </c>
      <c r="BT6" s="375" t="s">
        <v>719</v>
      </c>
      <c r="BU6" s="372" t="s">
        <v>719</v>
      </c>
      <c r="BV6" s="375" t="s">
        <v>719</v>
      </c>
      <c r="BW6" s="372" t="s">
        <v>719</v>
      </c>
      <c r="BX6" s="375">
        <v>140</v>
      </c>
      <c r="BY6" s="372">
        <f t="shared" ref="BY6:BY7" si="7">BX6*E6</f>
      </c>
      <c r="BZ6" s="375" t="s">
        <v>719</v>
      </c>
      <c r="CA6" s="372" t="s">
        <v>719</v>
      </c>
      <c r="CB6" s="375">
        <v>100</v>
      </c>
      <c r="CC6" s="372">
        <f>CB6*E6</f>
      </c>
      <c r="CD6" s="375">
        <v>60</v>
      </c>
      <c r="CE6" s="372">
        <f>CD6*E6</f>
      </c>
      <c r="CF6" s="376" t="s">
        <v>719</v>
      </c>
      <c r="CG6" s="377" t="s">
        <v>719</v>
      </c>
      <c r="CH6" s="378" t="s">
        <v>719</v>
      </c>
      <c r="CI6" s="377" t="s">
        <v>719</v>
      </c>
      <c r="CJ6" s="378">
        <v>240</v>
      </c>
      <c r="CK6" s="377">
        <f>CJ6*E6</f>
      </c>
      <c r="CL6" s="379">
        <f>H6-BH6-N6-BR6-BX6-CD6</f>
      </c>
      <c r="CM6" s="380">
        <v>0</v>
      </c>
      <c r="CN6" s="381">
        <f t="shared" ref="CN6:CN7" si="2">CL6</f>
      </c>
      <c r="CO6" s="381"/>
    </row>
    <row r="7">
      <c r="A7" s="351">
        <v>5</v>
      </c>
      <c r="B7" s="351"/>
      <c r="C7" s="353">
        <v>697884024022800</v>
      </c>
      <c r="D7" s="354" t="s">
        <v>723</v>
      </c>
      <c r="E7" s="355">
        <v>70</v>
      </c>
      <c r="F7" s="356">
        <v>399</v>
      </c>
      <c r="G7" s="357">
        <v>20</v>
      </c>
      <c r="H7" s="358">
        <v>4200</v>
      </c>
      <c r="I7" s="359">
        <v>294000</v>
      </c>
      <c r="J7" s="360"/>
      <c r="K7" s="351"/>
      <c r="L7" s="415"/>
      <c r="M7" s="362"/>
      <c r="N7" s="363">
        <v>20</v>
      </c>
      <c r="O7" s="364">
        <v>1400</v>
      </c>
      <c r="P7" s="363"/>
      <c r="Q7" s="365"/>
      <c r="R7" s="412">
        <v>416</v>
      </c>
      <c r="S7" s="355">
        <v>29120</v>
      </c>
      <c r="T7" s="368" t="s">
        <v>719</v>
      </c>
      <c r="U7" s="369" t="s">
        <v>719</v>
      </c>
      <c r="V7" s="368" t="s">
        <v>719</v>
      </c>
      <c r="W7" s="369" t="s">
        <v>719</v>
      </c>
      <c r="X7" s="368" t="s">
        <v>719</v>
      </c>
      <c r="Y7" s="369" t="s">
        <v>719</v>
      </c>
      <c r="Z7" s="368">
        <v>200</v>
      </c>
      <c r="AA7" s="370">
        <f>Z7*E7</f>
      </c>
      <c r="AB7" s="371" t="s">
        <v>719</v>
      </c>
      <c r="AC7" s="372" t="s">
        <v>719</v>
      </c>
      <c r="AD7" s="375">
        <v>164</v>
      </c>
      <c r="AE7" s="372">
        <f t="shared" si="4"/>
      </c>
      <c r="AF7" s="371" t="s">
        <v>719</v>
      </c>
      <c r="AG7" s="373" t="s">
        <v>719</v>
      </c>
      <c r="AH7" s="371" t="s">
        <v>719</v>
      </c>
      <c r="AI7" s="372" t="s">
        <v>719</v>
      </c>
      <c r="AJ7" s="371">
        <v>260</v>
      </c>
      <c r="AK7" s="372">
        <f t="shared" si="6"/>
      </c>
      <c r="AL7" s="371" t="s">
        <v>719</v>
      </c>
      <c r="AM7" s="372" t="s">
        <v>719</v>
      </c>
      <c r="AN7" s="371" t="s">
        <v>719</v>
      </c>
      <c r="AO7" s="372" t="s">
        <v>719</v>
      </c>
      <c r="AP7" s="371" t="s">
        <v>719</v>
      </c>
      <c r="AQ7" s="372" t="s">
        <v>719</v>
      </c>
      <c r="AR7" s="371" t="s">
        <v>719</v>
      </c>
      <c r="AS7" s="372" t="s">
        <v>719</v>
      </c>
      <c r="AT7" s="371" t="s">
        <v>719</v>
      </c>
      <c r="AU7" s="372" t="s">
        <v>719</v>
      </c>
      <c r="AV7" s="371" t="s">
        <v>719</v>
      </c>
      <c r="AW7" s="372" t="s">
        <v>719</v>
      </c>
      <c r="AX7" s="371" t="s">
        <v>719</v>
      </c>
      <c r="AY7" s="372" t="s">
        <v>719</v>
      </c>
      <c r="AZ7" s="371" t="s">
        <v>719</v>
      </c>
      <c r="BA7" s="372" t="s">
        <v>719</v>
      </c>
      <c r="BB7" s="371" t="s">
        <v>719</v>
      </c>
      <c r="BC7" s="374" t="s">
        <v>719</v>
      </c>
      <c r="BD7" s="372" t="s">
        <v>719</v>
      </c>
      <c r="BE7" s="374" t="s">
        <v>719</v>
      </c>
      <c r="BF7" s="372" t="s">
        <v>719</v>
      </c>
      <c r="BG7" s="374" t="s">
        <v>719</v>
      </c>
      <c r="BH7" s="375">
        <v>200</v>
      </c>
      <c r="BI7" s="374">
        <f t="shared" si="5"/>
      </c>
      <c r="BJ7" s="371" t="s">
        <v>719</v>
      </c>
      <c r="BK7" s="374" t="s">
        <v>719</v>
      </c>
      <c r="BL7" s="371" t="s">
        <v>719</v>
      </c>
      <c r="BM7" s="374" t="s">
        <v>719</v>
      </c>
      <c r="BN7" s="371">
        <v>40</v>
      </c>
      <c r="BO7" s="374">
        <f>BN7*E7</f>
      </c>
      <c r="BP7" s="375">
        <v>80</v>
      </c>
      <c r="BQ7" s="372">
        <f t="shared" si="10"/>
      </c>
      <c r="BR7" s="375">
        <v>100</v>
      </c>
      <c r="BS7" s="372">
        <f t="shared" si="9"/>
      </c>
      <c r="BT7" s="375" t="s">
        <v>719</v>
      </c>
      <c r="BU7" s="372" t="s">
        <v>719</v>
      </c>
      <c r="BV7" s="375" t="s">
        <v>719</v>
      </c>
      <c r="BW7" s="372" t="s">
        <v>719</v>
      </c>
      <c r="BX7" s="375">
        <v>260</v>
      </c>
      <c r="BY7" s="372">
        <f t="shared" si="7"/>
      </c>
      <c r="BZ7" s="375">
        <v>500</v>
      </c>
      <c r="CA7" s="372">
        <f>BZ7*E7</f>
      </c>
      <c r="CB7" s="375" t="s">
        <v>719</v>
      </c>
      <c r="CC7" s="375" t="s">
        <v>719</v>
      </c>
      <c r="CD7" s="375" t="s">
        <v>719</v>
      </c>
      <c r="CE7" s="375" t="s">
        <v>719</v>
      </c>
      <c r="CF7" s="375">
        <v>300</v>
      </c>
      <c r="CG7" s="416">
        <f>CF7*E7</f>
      </c>
      <c r="CH7" s="417">
        <v>320</v>
      </c>
      <c r="CI7" s="416">
        <f>CH7*E7</f>
      </c>
      <c r="CJ7" s="378" t="s">
        <v>719</v>
      </c>
      <c r="CK7" s="377" t="s">
        <v>719</v>
      </c>
      <c r="CL7" s="418">
        <f>H7-BP7-BN7-BH7-AJ7-AD7-Z7-R7-N7-BR7-BX7-BZ7-CF7-CH7</f>
      </c>
      <c r="CM7" s="380">
        <v>0</v>
      </c>
      <c r="CN7" s="381">
        <f t="shared" si="2"/>
      </c>
      <c r="CO7" s="381"/>
    </row>
    <row r="8">
      <c r="A8" s="351">
        <v>6</v>
      </c>
      <c r="B8" s="351"/>
      <c r="C8" s="353">
        <v>697884024027300</v>
      </c>
      <c r="D8" s="354" t="s">
        <v>724</v>
      </c>
      <c r="E8" s="355">
        <v>81.3</v>
      </c>
      <c r="F8" s="356">
        <v>479</v>
      </c>
      <c r="G8" s="357">
        <v>24</v>
      </c>
      <c r="H8" s="358">
        <v>3000</v>
      </c>
      <c r="I8" s="359">
        <v>243900</v>
      </c>
      <c r="J8" s="360"/>
      <c r="K8" s="351"/>
      <c r="L8" s="361"/>
      <c r="M8" s="362"/>
      <c r="N8" s="363">
        <v>500</v>
      </c>
      <c r="O8" s="364">
        <v>40650</v>
      </c>
      <c r="P8" s="363"/>
      <c r="Q8" s="365"/>
      <c r="R8" s="412"/>
      <c r="S8" s="413"/>
      <c r="T8" s="368" t="s">
        <v>719</v>
      </c>
      <c r="U8" s="369" t="s">
        <v>719</v>
      </c>
      <c r="V8" s="368" t="s">
        <v>719</v>
      </c>
      <c r="W8" s="369" t="s">
        <v>719</v>
      </c>
      <c r="X8" s="368" t="s">
        <v>719</v>
      </c>
      <c r="Y8" s="369" t="s">
        <v>719</v>
      </c>
      <c r="Z8" s="368" t="s">
        <v>719</v>
      </c>
      <c r="AA8" s="370" t="s">
        <v>719</v>
      </c>
      <c r="AB8" s="371" t="s">
        <v>719</v>
      </c>
      <c r="AC8" s="372" t="s">
        <v>719</v>
      </c>
      <c r="AD8" s="371" t="s">
        <v>719</v>
      </c>
      <c r="AE8" s="372" t="s">
        <v>719</v>
      </c>
      <c r="AF8" s="372" t="s">
        <v>719</v>
      </c>
      <c r="AG8" s="373" t="s">
        <v>719</v>
      </c>
      <c r="AH8" s="372" t="s">
        <v>719</v>
      </c>
      <c r="AI8" s="372" t="s">
        <v>719</v>
      </c>
      <c r="AJ8" s="372" t="s">
        <v>719</v>
      </c>
      <c r="AK8" s="372" t="s">
        <v>719</v>
      </c>
      <c r="AL8" s="372" t="s">
        <v>719</v>
      </c>
      <c r="AM8" s="372" t="s">
        <v>719</v>
      </c>
      <c r="AN8" s="372" t="s">
        <v>719</v>
      </c>
      <c r="AO8" s="372" t="s">
        <v>719</v>
      </c>
      <c r="AP8" s="372" t="s">
        <v>719</v>
      </c>
      <c r="AQ8" s="372" t="s">
        <v>719</v>
      </c>
      <c r="AR8" s="372" t="s">
        <v>719</v>
      </c>
      <c r="AS8" s="372" t="s">
        <v>719</v>
      </c>
      <c r="AT8" s="372" t="s">
        <v>719</v>
      </c>
      <c r="AU8" s="372" t="s">
        <v>719</v>
      </c>
      <c r="AV8" s="372" t="s">
        <v>719</v>
      </c>
      <c r="AW8" s="372" t="s">
        <v>719</v>
      </c>
      <c r="AX8" s="372" t="s">
        <v>719</v>
      </c>
      <c r="AY8" s="372" t="s">
        <v>719</v>
      </c>
      <c r="AZ8" s="419" t="s">
        <v>719</v>
      </c>
      <c r="BA8" s="419" t="s">
        <v>719</v>
      </c>
      <c r="BB8" s="371" t="s">
        <v>719</v>
      </c>
      <c r="BC8" s="374" t="s">
        <v>719</v>
      </c>
      <c r="BD8" s="371" t="s">
        <v>719</v>
      </c>
      <c r="BE8" s="374" t="s">
        <v>719</v>
      </c>
      <c r="BF8" s="371" t="s">
        <v>719</v>
      </c>
      <c r="BG8" s="374" t="s">
        <v>719</v>
      </c>
      <c r="BH8" s="371" t="s">
        <v>719</v>
      </c>
      <c r="BI8" s="374" t="s">
        <v>719</v>
      </c>
      <c r="BJ8" s="371" t="s">
        <v>719</v>
      </c>
      <c r="BK8" s="374" t="s">
        <v>719</v>
      </c>
      <c r="BL8" s="371" t="s">
        <v>719</v>
      </c>
      <c r="BM8" s="374" t="s">
        <v>719</v>
      </c>
      <c r="BN8" s="371" t="s">
        <v>719</v>
      </c>
      <c r="BO8" s="371" t="s">
        <v>719</v>
      </c>
      <c r="BP8" s="375" t="s">
        <v>719</v>
      </c>
      <c r="BQ8" s="372" t="s">
        <v>719</v>
      </c>
      <c r="BR8" s="372" t="s">
        <v>719</v>
      </c>
      <c r="BS8" s="372" t="s">
        <v>719</v>
      </c>
      <c r="BT8" s="372" t="s">
        <v>719</v>
      </c>
      <c r="BU8" s="372" t="s">
        <v>719</v>
      </c>
      <c r="BV8" s="375" t="s">
        <v>719</v>
      </c>
      <c r="BW8" s="372" t="s">
        <v>719</v>
      </c>
      <c r="BX8" s="375" t="s">
        <v>719</v>
      </c>
      <c r="BY8" s="372" t="s">
        <v>719</v>
      </c>
      <c r="BZ8" s="375" t="s">
        <v>719</v>
      </c>
      <c r="CA8" s="372" t="s">
        <v>719</v>
      </c>
      <c r="CB8" s="375">
        <v>24</v>
      </c>
      <c r="CC8" s="372">
        <f>CB8*E8</f>
      </c>
      <c r="CD8" s="376" t="s">
        <v>719</v>
      </c>
      <c r="CE8" s="420" t="s">
        <v>719</v>
      </c>
      <c r="CF8" s="376" t="s">
        <v>719</v>
      </c>
      <c r="CG8" s="377" t="s">
        <v>719</v>
      </c>
      <c r="CH8" s="378" t="s">
        <v>719</v>
      </c>
      <c r="CI8" s="377" t="s">
        <v>719</v>
      </c>
      <c r="CJ8" s="378">
        <v>192</v>
      </c>
      <c r="CK8" s="377">
        <f>CJ8*E8</f>
      </c>
      <c r="CL8" s="421">
        <f>H8-CB8-N8</f>
      </c>
      <c r="CM8" s="422">
        <v>0</v>
      </c>
      <c r="CN8" s="423">
        <f t="shared" ref="CN8:CN10" si="8">CL8-CM8</f>
      </c>
      <c r="CO8" s="423"/>
    </row>
    <row customHeight="true" ht="30" r="9">
      <c r="A9" s="382">
        <v>7</v>
      </c>
      <c r="B9" s="382" t="s">
        <v>725</v>
      </c>
      <c r="C9" s="383">
        <v>697884024025900</v>
      </c>
      <c r="D9" s="384" t="s">
        <v>720</v>
      </c>
      <c r="E9" s="385">
        <v>2.6</v>
      </c>
      <c r="F9" s="408">
        <v>10</v>
      </c>
      <c r="G9" s="387" t="s">
        <v>719</v>
      </c>
      <c r="H9" s="388">
        <v>10000</v>
      </c>
      <c r="I9" s="397">
        <f t="shared" ref="I9:I15" si="1">H9*E9</f>
      </c>
      <c r="J9" s="424" t="s">
        <v>719</v>
      </c>
      <c r="K9" s="395" t="s">
        <v>719</v>
      </c>
      <c r="L9" s="424" t="s">
        <v>719</v>
      </c>
      <c r="M9" s="395" t="s">
        <v>719</v>
      </c>
      <c r="N9" s="424" t="s">
        <v>719</v>
      </c>
      <c r="O9" s="395" t="s">
        <v>719</v>
      </c>
      <c r="P9" s="424" t="s">
        <v>719</v>
      </c>
      <c r="Q9" s="396" t="s">
        <v>719</v>
      </c>
      <c r="R9" s="424" t="s">
        <v>719</v>
      </c>
      <c r="S9" s="397" t="s">
        <v>719</v>
      </c>
      <c r="T9" s="402">
        <v>10000</v>
      </c>
      <c r="U9" s="425">
        <f>T9*E9</f>
      </c>
      <c r="V9" s="426" t="s">
        <v>719</v>
      </c>
      <c r="W9" s="399" t="s">
        <v>719</v>
      </c>
      <c r="X9" s="426" t="s">
        <v>719</v>
      </c>
      <c r="Y9" s="399" t="s">
        <v>719</v>
      </c>
      <c r="Z9" s="426" t="s">
        <v>719</v>
      </c>
      <c r="AA9" s="399" t="s">
        <v>719</v>
      </c>
      <c r="AB9" s="427" t="s">
        <v>719</v>
      </c>
      <c r="AC9" s="428" t="s">
        <v>719</v>
      </c>
      <c r="AD9" s="398" t="s">
        <v>719</v>
      </c>
      <c r="AE9" s="399" t="s">
        <v>719</v>
      </c>
      <c r="AF9" s="399" t="s">
        <v>719</v>
      </c>
      <c r="AG9" s="400" t="s">
        <v>719</v>
      </c>
      <c r="AH9" s="399" t="s">
        <v>719</v>
      </c>
      <c r="AI9" s="399" t="s">
        <v>719</v>
      </c>
      <c r="AJ9" s="399" t="s">
        <v>719</v>
      </c>
      <c r="AK9" s="399" t="s">
        <v>719</v>
      </c>
      <c r="AL9" s="398" t="s">
        <v>719</v>
      </c>
      <c r="AM9" s="399" t="s">
        <v>719</v>
      </c>
      <c r="AN9" s="398" t="s">
        <v>719</v>
      </c>
      <c r="AO9" s="399" t="s">
        <v>719</v>
      </c>
      <c r="AP9" s="398" t="s">
        <v>719</v>
      </c>
      <c r="AQ9" s="399" t="s">
        <v>719</v>
      </c>
      <c r="AR9" s="398" t="s">
        <v>719</v>
      </c>
      <c r="AS9" s="399" t="s">
        <v>719</v>
      </c>
      <c r="AT9" s="398" t="s">
        <v>719</v>
      </c>
      <c r="AU9" s="399" t="s">
        <v>719</v>
      </c>
      <c r="AV9" s="398" t="s">
        <v>719</v>
      </c>
      <c r="AW9" s="399" t="s">
        <v>719</v>
      </c>
      <c r="AX9" s="398" t="s">
        <v>719</v>
      </c>
      <c r="AY9" s="401" t="s">
        <v>719</v>
      </c>
      <c r="AZ9" s="398" t="s">
        <v>719</v>
      </c>
      <c r="BA9" s="399" t="s">
        <v>719</v>
      </c>
      <c r="BB9" s="399" t="s">
        <v>719</v>
      </c>
      <c r="BC9" s="401" t="s">
        <v>719</v>
      </c>
      <c r="BD9" s="399" t="s">
        <v>719</v>
      </c>
      <c r="BE9" s="401" t="s">
        <v>719</v>
      </c>
      <c r="BF9" s="398" t="s">
        <v>719</v>
      </c>
      <c r="BG9" s="401" t="s">
        <v>719</v>
      </c>
      <c r="BH9" s="398" t="s">
        <v>719</v>
      </c>
      <c r="BI9" s="401" t="s">
        <v>719</v>
      </c>
      <c r="BJ9" s="398" t="s">
        <v>719</v>
      </c>
      <c r="BK9" s="401" t="s">
        <v>719</v>
      </c>
      <c r="BL9" s="398" t="s">
        <v>719</v>
      </c>
      <c r="BM9" s="401" t="s">
        <v>719</v>
      </c>
      <c r="BN9" s="398" t="s">
        <v>719</v>
      </c>
      <c r="BO9" s="398" t="s">
        <v>719</v>
      </c>
      <c r="BP9" s="402" t="s">
        <v>719</v>
      </c>
      <c r="BQ9" s="399" t="s">
        <v>719</v>
      </c>
      <c r="BR9" s="399" t="s">
        <v>719</v>
      </c>
      <c r="BS9" s="399" t="s">
        <v>719</v>
      </c>
      <c r="BT9" s="399" t="s">
        <v>719</v>
      </c>
      <c r="BU9" s="399" t="s">
        <v>719</v>
      </c>
      <c r="BV9" s="402" t="s">
        <v>719</v>
      </c>
      <c r="BW9" s="399" t="s">
        <v>719</v>
      </c>
      <c r="BX9" s="402" t="s">
        <v>719</v>
      </c>
      <c r="BY9" s="399" t="s">
        <v>719</v>
      </c>
      <c r="BZ9" s="402" t="s">
        <v>719</v>
      </c>
      <c r="CA9" s="399" t="s">
        <v>719</v>
      </c>
      <c r="CB9" s="402" t="s">
        <v>719</v>
      </c>
      <c r="CC9" s="399" t="s">
        <v>719</v>
      </c>
      <c r="CD9" s="402" t="s">
        <v>719</v>
      </c>
      <c r="CE9" s="399" t="s">
        <v>719</v>
      </c>
      <c r="CF9" s="402" t="s">
        <v>719</v>
      </c>
      <c r="CG9" s="403" t="s">
        <v>719</v>
      </c>
      <c r="CH9" s="404" t="s">
        <v>719</v>
      </c>
      <c r="CI9" s="403" t="s">
        <v>719</v>
      </c>
      <c r="CJ9" s="404" t="s">
        <v>719</v>
      </c>
      <c r="CK9" s="403" t="s">
        <v>719</v>
      </c>
      <c r="CL9" s="429">
        <f>H9-T9</f>
      </c>
      <c r="CM9" s="430">
        <v>0</v>
      </c>
      <c r="CN9" s="431">
        <f t="shared" si="8"/>
      </c>
      <c r="CO9" s="431"/>
    </row>
    <row r="10">
      <c r="A10" s="382">
        <v>8</v>
      </c>
      <c r="B10" s="382" t="s">
        <v>726</v>
      </c>
      <c r="C10" s="383">
        <v>697884024025900</v>
      </c>
      <c r="D10" s="384" t="s">
        <v>720</v>
      </c>
      <c r="E10" s="385">
        <v>2.6</v>
      </c>
      <c r="F10" s="408">
        <v>10</v>
      </c>
      <c r="G10" s="387" t="s">
        <v>719</v>
      </c>
      <c r="H10" s="388">
        <v>10000</v>
      </c>
      <c r="I10" s="397">
        <f t="shared" si="1"/>
      </c>
      <c r="J10" s="424" t="s">
        <v>719</v>
      </c>
      <c r="K10" s="395" t="s">
        <v>719</v>
      </c>
      <c r="L10" s="424" t="s">
        <v>719</v>
      </c>
      <c r="M10" s="395" t="s">
        <v>719</v>
      </c>
      <c r="N10" s="424" t="s">
        <v>719</v>
      </c>
      <c r="O10" s="395" t="s">
        <v>719</v>
      </c>
      <c r="P10" s="424" t="s">
        <v>719</v>
      </c>
      <c r="Q10" s="396" t="s">
        <v>719</v>
      </c>
      <c r="R10" s="424" t="s">
        <v>719</v>
      </c>
      <c r="S10" s="397" t="s">
        <v>719</v>
      </c>
      <c r="T10" s="397" t="s">
        <v>719</v>
      </c>
      <c r="U10" s="397" t="s">
        <v>719</v>
      </c>
      <c r="V10" s="397" t="s">
        <v>719</v>
      </c>
      <c r="W10" s="399" t="s">
        <v>719</v>
      </c>
      <c r="X10" s="397" t="s">
        <v>719</v>
      </c>
      <c r="Y10" s="432" t="s">
        <v>719</v>
      </c>
      <c r="Z10" s="397" t="s">
        <v>719</v>
      </c>
      <c r="AA10" s="432" t="s">
        <v>719</v>
      </c>
      <c r="AB10" s="397" t="s">
        <v>719</v>
      </c>
      <c r="AC10" s="432" t="s">
        <v>719</v>
      </c>
      <c r="AD10" s="398" t="s">
        <v>719</v>
      </c>
      <c r="AE10" s="399" t="s">
        <v>719</v>
      </c>
      <c r="AF10" s="402">
        <v>2025</v>
      </c>
      <c r="AG10" s="433">
        <f>AF10*E9</f>
      </c>
      <c r="AH10" s="402">
        <v>7975</v>
      </c>
      <c r="AI10" s="399">
        <f>AH10*E10</f>
      </c>
      <c r="AJ10" s="399" t="s">
        <v>719</v>
      </c>
      <c r="AK10" s="399" t="s">
        <v>719</v>
      </c>
      <c r="AL10" s="398" t="s">
        <v>719</v>
      </c>
      <c r="AM10" s="399" t="s">
        <v>719</v>
      </c>
      <c r="AN10" s="398" t="s">
        <v>719</v>
      </c>
      <c r="AO10" s="399" t="s">
        <v>719</v>
      </c>
      <c r="AP10" s="398" t="s">
        <v>719</v>
      </c>
      <c r="AQ10" s="399" t="s">
        <v>719</v>
      </c>
      <c r="AR10" s="398" t="s">
        <v>719</v>
      </c>
      <c r="AS10" s="399" t="s">
        <v>719</v>
      </c>
      <c r="AT10" s="398" t="s">
        <v>719</v>
      </c>
      <c r="AU10" s="399" t="s">
        <v>719</v>
      </c>
      <c r="AV10" s="434" t="s">
        <v>719</v>
      </c>
      <c r="AW10" s="432" t="s">
        <v>719</v>
      </c>
      <c r="AX10" s="434" t="s">
        <v>719</v>
      </c>
      <c r="AY10" s="435" t="s">
        <v>719</v>
      </c>
      <c r="AZ10" s="398" t="s">
        <v>719</v>
      </c>
      <c r="BA10" s="399" t="s">
        <v>719</v>
      </c>
      <c r="BB10" s="399" t="s">
        <v>719</v>
      </c>
      <c r="BC10" s="401" t="s">
        <v>719</v>
      </c>
      <c r="BD10" s="399" t="s">
        <v>719</v>
      </c>
      <c r="BE10" s="401" t="s">
        <v>719</v>
      </c>
      <c r="BF10" s="398" t="s">
        <v>719</v>
      </c>
      <c r="BG10" s="401" t="s">
        <v>719</v>
      </c>
      <c r="BH10" s="398" t="s">
        <v>719</v>
      </c>
      <c r="BI10" s="401" t="s">
        <v>719</v>
      </c>
      <c r="BJ10" s="398" t="s">
        <v>719</v>
      </c>
      <c r="BK10" s="401" t="s">
        <v>719</v>
      </c>
      <c r="BL10" s="398" t="s">
        <v>719</v>
      </c>
      <c r="BM10" s="401" t="s">
        <v>719</v>
      </c>
      <c r="BN10" s="398" t="s">
        <v>719</v>
      </c>
      <c r="BO10" s="398" t="s">
        <v>719</v>
      </c>
      <c r="BP10" s="402" t="s">
        <v>719</v>
      </c>
      <c r="BQ10" s="399" t="s">
        <v>719</v>
      </c>
      <c r="BR10" s="399" t="s">
        <v>719</v>
      </c>
      <c r="BS10" s="399" t="s">
        <v>719</v>
      </c>
      <c r="BT10" s="399" t="s">
        <v>719</v>
      </c>
      <c r="BU10" s="399" t="s">
        <v>719</v>
      </c>
      <c r="BV10" s="402" t="s">
        <v>719</v>
      </c>
      <c r="BW10" s="399" t="s">
        <v>719</v>
      </c>
      <c r="BX10" s="402" t="s">
        <v>719</v>
      </c>
      <c r="BY10" s="399" t="s">
        <v>719</v>
      </c>
      <c r="BZ10" s="402" t="s">
        <v>719</v>
      </c>
      <c r="CA10" s="399" t="s">
        <v>719</v>
      </c>
      <c r="CB10" s="402" t="s">
        <v>719</v>
      </c>
      <c r="CC10" s="399" t="s">
        <v>719</v>
      </c>
      <c r="CD10" s="402" t="s">
        <v>719</v>
      </c>
      <c r="CE10" s="399" t="s">
        <v>719</v>
      </c>
      <c r="CF10" s="402" t="s">
        <v>719</v>
      </c>
      <c r="CG10" s="403" t="s">
        <v>719</v>
      </c>
      <c r="CH10" s="404" t="s">
        <v>719</v>
      </c>
      <c r="CI10" s="403" t="s">
        <v>719</v>
      </c>
      <c r="CJ10" s="404" t="s">
        <v>719</v>
      </c>
      <c r="CK10" s="403" t="s">
        <v>719</v>
      </c>
      <c r="CL10" s="405">
        <v>0</v>
      </c>
      <c r="CM10" s="430">
        <v>0</v>
      </c>
      <c r="CN10" s="431">
        <f t="shared" si="8"/>
      </c>
      <c r="CO10" s="431"/>
    </row>
    <row customHeight="true" ht="30" r="11">
      <c r="A11" s="382">
        <v>9</v>
      </c>
      <c r="B11" s="382" t="s">
        <v>727</v>
      </c>
      <c r="C11" s="436" t="s">
        <v>728</v>
      </c>
      <c r="D11" s="407" t="s">
        <v>720</v>
      </c>
      <c r="E11" s="385">
        <v>2.6</v>
      </c>
      <c r="F11" s="408">
        <v>10</v>
      </c>
      <c r="G11" s="387" t="s">
        <v>719</v>
      </c>
      <c r="H11" s="388">
        <v>50000</v>
      </c>
      <c r="I11" s="397">
        <f t="shared" si="1"/>
      </c>
      <c r="J11" s="424" t="s">
        <v>719</v>
      </c>
      <c r="K11" s="395" t="s">
        <v>719</v>
      </c>
      <c r="L11" s="424" t="s">
        <v>719</v>
      </c>
      <c r="M11" s="395" t="s">
        <v>719</v>
      </c>
      <c r="N11" s="424" t="s">
        <v>719</v>
      </c>
      <c r="O11" s="395" t="s">
        <v>719</v>
      </c>
      <c r="P11" s="424" t="s">
        <v>719</v>
      </c>
      <c r="Q11" s="396" t="s">
        <v>719</v>
      </c>
      <c r="R11" s="424" t="s">
        <v>719</v>
      </c>
      <c r="S11" s="397" t="s">
        <v>719</v>
      </c>
      <c r="T11" s="399" t="s">
        <v>719</v>
      </c>
      <c r="U11" s="399" t="s">
        <v>719</v>
      </c>
      <c r="V11" s="437" t="s">
        <v>719</v>
      </c>
      <c r="W11" s="399" t="s">
        <v>719</v>
      </c>
      <c r="X11" s="397" t="s">
        <v>719</v>
      </c>
      <c r="Y11" s="432" t="s">
        <v>719</v>
      </c>
      <c r="Z11" s="397" t="s">
        <v>719</v>
      </c>
      <c r="AA11" s="399" t="s">
        <v>719</v>
      </c>
      <c r="AB11" s="399" t="s">
        <v>719</v>
      </c>
      <c r="AC11" s="399" t="s">
        <v>719</v>
      </c>
      <c r="AD11" s="399" t="s">
        <v>719</v>
      </c>
      <c r="AE11" s="399" t="s">
        <v>719</v>
      </c>
      <c r="AF11" s="399" t="s">
        <v>719</v>
      </c>
      <c r="AG11" s="400" t="s">
        <v>719</v>
      </c>
      <c r="AH11" s="399" t="s">
        <v>719</v>
      </c>
      <c r="AI11" s="411" t="s">
        <v>719</v>
      </c>
      <c r="AJ11" s="399" t="s">
        <v>719</v>
      </c>
      <c r="AK11" s="399" t="s">
        <v>719</v>
      </c>
      <c r="AL11" s="398" t="s">
        <v>719</v>
      </c>
      <c r="AM11" s="399" t="s">
        <v>719</v>
      </c>
      <c r="AN11" s="402">
        <v>5000</v>
      </c>
      <c r="AO11" s="399">
        <f>AN11*E11</f>
      </c>
      <c r="AP11" s="402">
        <v>3456</v>
      </c>
      <c r="AQ11" s="399">
        <f>AP11*E11</f>
      </c>
      <c r="AR11" s="402">
        <v>1728</v>
      </c>
      <c r="AS11" s="399">
        <f>AR11*E11</f>
      </c>
      <c r="AT11" s="402">
        <v>4816</v>
      </c>
      <c r="AU11" s="401">
        <f>AT11*E11</f>
      </c>
      <c r="AV11" s="398" t="s">
        <v>719</v>
      </c>
      <c r="AW11" s="399" t="s">
        <v>719</v>
      </c>
      <c r="AX11" s="402">
        <v>11868</v>
      </c>
      <c r="AY11" s="401">
        <f>AX11*E11</f>
      </c>
      <c r="AZ11" s="402">
        <v>3132</v>
      </c>
      <c r="BA11" s="399">
        <f>AZ11*E11</f>
      </c>
      <c r="BB11" s="399" t="s">
        <v>719</v>
      </c>
      <c r="BC11" s="401" t="s">
        <v>719</v>
      </c>
      <c r="BD11" s="399" t="s">
        <v>719</v>
      </c>
      <c r="BE11" s="401" t="s">
        <v>719</v>
      </c>
      <c r="BF11" s="404">
        <v>5000</v>
      </c>
      <c r="BG11" s="401">
        <f>BF11*E11</f>
      </c>
      <c r="BH11" s="404">
        <v>2000</v>
      </c>
      <c r="BI11" s="401">
        <f>BH11*E11</f>
      </c>
      <c r="BJ11" s="404">
        <v>3000</v>
      </c>
      <c r="BK11" s="399">
        <f>BJ11*E11</f>
      </c>
      <c r="BL11" s="402">
        <v>10000</v>
      </c>
      <c r="BM11" s="401">
        <f>BL11*E11</f>
      </c>
      <c r="BN11" s="398" t="s">
        <v>719</v>
      </c>
      <c r="BO11" s="398" t="s">
        <v>719</v>
      </c>
      <c r="BP11" s="402" t="s">
        <v>719</v>
      </c>
      <c r="BQ11" s="399" t="s">
        <v>719</v>
      </c>
      <c r="BR11" s="399" t="s">
        <v>719</v>
      </c>
      <c r="BS11" s="399" t="s">
        <v>719</v>
      </c>
      <c r="BT11" s="399" t="s">
        <v>719</v>
      </c>
      <c r="BU11" s="399" t="s">
        <v>719</v>
      </c>
      <c r="BV11" s="402" t="s">
        <v>719</v>
      </c>
      <c r="BW11" s="399" t="s">
        <v>719</v>
      </c>
      <c r="BX11" s="402" t="s">
        <v>719</v>
      </c>
      <c r="BY11" s="399" t="s">
        <v>719</v>
      </c>
      <c r="BZ11" s="402" t="s">
        <v>719</v>
      </c>
      <c r="CA11" s="399" t="s">
        <v>719</v>
      </c>
      <c r="CB11" s="402" t="s">
        <v>719</v>
      </c>
      <c r="CC11" s="399" t="s">
        <v>719</v>
      </c>
      <c r="CD11" s="402" t="s">
        <v>719</v>
      </c>
      <c r="CE11" s="399" t="s">
        <v>719</v>
      </c>
      <c r="CF11" s="402" t="s">
        <v>719</v>
      </c>
      <c r="CG11" s="403" t="s">
        <v>719</v>
      </c>
      <c r="CH11" s="404" t="s">
        <v>719</v>
      </c>
      <c r="CI11" s="403" t="s">
        <v>719</v>
      </c>
      <c r="CJ11" s="404" t="s">
        <v>719</v>
      </c>
      <c r="CK11" s="403" t="s">
        <v>719</v>
      </c>
      <c r="CL11" s="405">
        <f>H11-BJ11-BH11-BF11-AZ11-AX11-AT11-AR11-AP11-AN11-BL11</f>
      </c>
      <c r="CM11" s="438">
        <v>0</v>
      </c>
      <c r="CN11" s="439">
        <v>0</v>
      </c>
      <c r="CO11" s="439"/>
    </row>
    <row customHeight="true" ht="30" r="12">
      <c r="A12" s="352">
        <v>10</v>
      </c>
      <c r="B12" s="352" t="s">
        <v>729</v>
      </c>
      <c r="C12" s="353">
        <v>697884024024200</v>
      </c>
      <c r="D12" s="440" t="s">
        <v>721</v>
      </c>
      <c r="E12" s="355">
        <v>59.7</v>
      </c>
      <c r="F12" s="356">
        <v>339</v>
      </c>
      <c r="G12" s="357">
        <v>40</v>
      </c>
      <c r="H12" s="357">
        <v>4000</v>
      </c>
      <c r="I12" s="441">
        <f t="shared" si="1"/>
      </c>
      <c r="J12" s="442" t="s">
        <v>719</v>
      </c>
      <c r="K12" s="368" t="s">
        <v>719</v>
      </c>
      <c r="L12" s="442" t="s">
        <v>719</v>
      </c>
      <c r="M12" s="368" t="s">
        <v>719</v>
      </c>
      <c r="N12" s="442" t="s">
        <v>719</v>
      </c>
      <c r="O12" s="368" t="s">
        <v>719</v>
      </c>
      <c r="P12" s="442" t="s">
        <v>719</v>
      </c>
      <c r="Q12" s="369" t="s">
        <v>719</v>
      </c>
      <c r="R12" s="442" t="s">
        <v>719</v>
      </c>
      <c r="S12" s="370" t="s">
        <v>719</v>
      </c>
      <c r="T12" s="372" t="s">
        <v>719</v>
      </c>
      <c r="U12" s="372" t="s">
        <v>719</v>
      </c>
      <c r="V12" s="443" t="s">
        <v>719</v>
      </c>
      <c r="W12" s="372" t="s">
        <v>719</v>
      </c>
      <c r="X12" s="370" t="s">
        <v>719</v>
      </c>
      <c r="Y12" s="419" t="s">
        <v>719</v>
      </c>
      <c r="Z12" s="370" t="s">
        <v>719</v>
      </c>
      <c r="AA12" s="372" t="s">
        <v>719</v>
      </c>
      <c r="AB12" s="372" t="s">
        <v>719</v>
      </c>
      <c r="AC12" s="372" t="s">
        <v>719</v>
      </c>
      <c r="AD12" s="372" t="s">
        <v>719</v>
      </c>
      <c r="AE12" s="372" t="s">
        <v>719</v>
      </c>
      <c r="AF12" s="372" t="s">
        <v>719</v>
      </c>
      <c r="AG12" s="373" t="s">
        <v>719</v>
      </c>
      <c r="AH12" s="372" t="s">
        <v>719</v>
      </c>
      <c r="AI12" s="444" t="s">
        <v>719</v>
      </c>
      <c r="AJ12" s="372" t="s">
        <v>719</v>
      </c>
      <c r="AK12" s="372" t="s">
        <v>719</v>
      </c>
      <c r="AL12" s="371" t="s">
        <v>719</v>
      </c>
      <c r="AM12" s="372" t="s">
        <v>719</v>
      </c>
      <c r="AN12" s="371" t="s">
        <v>719</v>
      </c>
      <c r="AO12" s="372" t="s">
        <v>719</v>
      </c>
      <c r="AP12" s="371" t="s">
        <v>719</v>
      </c>
      <c r="AQ12" s="372" t="s">
        <v>719</v>
      </c>
      <c r="AR12" s="371" t="s">
        <v>719</v>
      </c>
      <c r="AS12" s="372" t="s">
        <v>719</v>
      </c>
      <c r="AT12" s="371" t="s">
        <v>719</v>
      </c>
      <c r="AU12" s="374" t="s">
        <v>719</v>
      </c>
      <c r="AV12" s="371" t="s">
        <v>719</v>
      </c>
      <c r="AW12" s="372" t="s">
        <v>719</v>
      </c>
      <c r="AX12" s="371" t="s">
        <v>719</v>
      </c>
      <c r="AY12" s="374" t="s">
        <v>719</v>
      </c>
      <c r="AZ12" s="371" t="s">
        <v>719</v>
      </c>
      <c r="BA12" s="372" t="s">
        <v>719</v>
      </c>
      <c r="BB12" s="372" t="s">
        <v>719</v>
      </c>
      <c r="BC12" s="374" t="s">
        <v>719</v>
      </c>
      <c r="BD12" s="372" t="s">
        <v>719</v>
      </c>
      <c r="BE12" s="374" t="s">
        <v>719</v>
      </c>
      <c r="BF12" s="372" t="s">
        <v>719</v>
      </c>
      <c r="BG12" s="374" t="s">
        <v>719</v>
      </c>
      <c r="BH12" s="372" t="s">
        <v>719</v>
      </c>
      <c r="BI12" s="374" t="s">
        <v>719</v>
      </c>
      <c r="BJ12" s="372" t="s">
        <v>719</v>
      </c>
      <c r="BK12" s="374" t="s">
        <v>719</v>
      </c>
      <c r="BL12" s="372" t="s">
        <v>719</v>
      </c>
      <c r="BM12" s="374" t="s">
        <v>719</v>
      </c>
      <c r="BN12" s="371" t="s">
        <v>719</v>
      </c>
      <c r="BO12" s="371" t="s">
        <v>719</v>
      </c>
      <c r="BP12" s="375" t="s">
        <v>719</v>
      </c>
      <c r="BQ12" s="372" t="s">
        <v>719</v>
      </c>
      <c r="BR12" s="372" t="s">
        <v>719</v>
      </c>
      <c r="BS12" s="372" t="s">
        <v>719</v>
      </c>
      <c r="BT12" s="372" t="s">
        <v>719</v>
      </c>
      <c r="BU12" s="372" t="s">
        <v>719</v>
      </c>
      <c r="BV12" s="375">
        <v>400</v>
      </c>
      <c r="BW12" s="372">
        <f>BV12*E12</f>
      </c>
      <c r="BX12" s="376" t="s">
        <v>719</v>
      </c>
      <c r="BY12" s="420" t="s">
        <v>719</v>
      </c>
      <c r="BZ12" s="376" t="s">
        <v>719</v>
      </c>
      <c r="CA12" s="420" t="s">
        <v>719</v>
      </c>
      <c r="CB12" s="376">
        <v>400</v>
      </c>
      <c r="CC12" s="420">
        <f>CB12*E12</f>
      </c>
      <c r="CD12" s="376">
        <v>200</v>
      </c>
      <c r="CE12" s="420">
        <f>CD12*E12</f>
      </c>
      <c r="CF12" s="376" t="s">
        <v>719</v>
      </c>
      <c r="CG12" s="377" t="s">
        <v>719</v>
      </c>
      <c r="CH12" s="378" t="s">
        <v>719</v>
      </c>
      <c r="CI12" s="377" t="s">
        <v>719</v>
      </c>
      <c r="CJ12" s="378">
        <v>200</v>
      </c>
      <c r="CK12" s="377">
        <f>CJ12*E12</f>
      </c>
      <c r="CL12" s="445">
        <f>H12-BV12-CB12-CD12</f>
      </c>
      <c r="CM12" s="446">
        <v>1600</v>
      </c>
      <c r="CN12" s="447">
        <f>CL12-CM12</f>
      </c>
      <c r="CO12" s="447"/>
    </row>
    <row customHeight="true" ht="30" r="13">
      <c r="A13" s="352">
        <v>11</v>
      </c>
      <c r="B13" s="352" t="s">
        <v>730</v>
      </c>
      <c r="C13" s="448">
        <v>697884024042600</v>
      </c>
      <c r="D13" s="440" t="s">
        <v>731</v>
      </c>
      <c r="E13" s="449">
        <v>78.5</v>
      </c>
      <c r="F13" s="449">
        <v>329</v>
      </c>
      <c r="G13" s="357">
        <v>10</v>
      </c>
      <c r="H13" s="357">
        <v>6000</v>
      </c>
      <c r="I13" s="441">
        <f t="shared" si="1"/>
      </c>
      <c r="J13" s="442" t="s">
        <v>719</v>
      </c>
      <c r="K13" s="368" t="s">
        <v>719</v>
      </c>
      <c r="L13" s="442" t="s">
        <v>719</v>
      </c>
      <c r="M13" s="368" t="s">
        <v>719</v>
      </c>
      <c r="N13" s="442" t="s">
        <v>719</v>
      </c>
      <c r="O13" s="368" t="s">
        <v>719</v>
      </c>
      <c r="P13" s="442" t="s">
        <v>719</v>
      </c>
      <c r="Q13" s="369" t="s">
        <v>719</v>
      </c>
      <c r="R13" s="442" t="s">
        <v>719</v>
      </c>
      <c r="S13" s="370" t="s">
        <v>719</v>
      </c>
      <c r="T13" s="372" t="s">
        <v>719</v>
      </c>
      <c r="U13" s="372" t="s">
        <v>719</v>
      </c>
      <c r="V13" s="443" t="s">
        <v>719</v>
      </c>
      <c r="W13" s="372" t="s">
        <v>719</v>
      </c>
      <c r="X13" s="370" t="s">
        <v>719</v>
      </c>
      <c r="Y13" s="419" t="s">
        <v>719</v>
      </c>
      <c r="Z13" s="370" t="s">
        <v>719</v>
      </c>
      <c r="AA13" s="372" t="s">
        <v>719</v>
      </c>
      <c r="AB13" s="372" t="s">
        <v>719</v>
      </c>
      <c r="AC13" s="372" t="s">
        <v>719</v>
      </c>
      <c r="AD13" s="372" t="s">
        <v>719</v>
      </c>
      <c r="AE13" s="372" t="s">
        <v>719</v>
      </c>
      <c r="AF13" s="372" t="s">
        <v>719</v>
      </c>
      <c r="AG13" s="373" t="s">
        <v>719</v>
      </c>
      <c r="AH13" s="372" t="s">
        <v>719</v>
      </c>
      <c r="AI13" s="444" t="s">
        <v>719</v>
      </c>
      <c r="AJ13" s="372" t="s">
        <v>719</v>
      </c>
      <c r="AK13" s="372" t="s">
        <v>719</v>
      </c>
      <c r="AL13" s="371">
        <v>1030</v>
      </c>
      <c r="AM13" s="372">
        <f>AL13*E13</f>
      </c>
      <c r="AN13" s="371" t="s">
        <v>719</v>
      </c>
      <c r="AO13" s="372" t="s">
        <v>719</v>
      </c>
      <c r="AP13" s="371" t="s">
        <v>719</v>
      </c>
      <c r="AQ13" s="372" t="s">
        <v>719</v>
      </c>
      <c r="AR13" s="371" t="s">
        <v>719</v>
      </c>
      <c r="AS13" s="372" t="s">
        <v>719</v>
      </c>
      <c r="AT13" s="450">
        <v>970</v>
      </c>
      <c r="AU13" s="451">
        <f>AT13*E13</f>
      </c>
      <c r="AV13" s="450">
        <v>1000</v>
      </c>
      <c r="AW13" s="452">
        <f>AV13*E13</f>
      </c>
      <c r="AX13" s="371" t="s">
        <v>719</v>
      </c>
      <c r="AY13" s="374" t="s">
        <v>719</v>
      </c>
      <c r="AZ13" s="371" t="s">
        <v>719</v>
      </c>
      <c r="BA13" s="372" t="s">
        <v>719</v>
      </c>
      <c r="BB13" s="372" t="s">
        <v>719</v>
      </c>
      <c r="BC13" s="374" t="s">
        <v>719</v>
      </c>
      <c r="BD13" s="372" t="s">
        <v>719</v>
      </c>
      <c r="BE13" s="374" t="s">
        <v>719</v>
      </c>
      <c r="BF13" s="372" t="s">
        <v>719</v>
      </c>
      <c r="BG13" s="374" t="s">
        <v>719</v>
      </c>
      <c r="BH13" s="372" t="s">
        <v>719</v>
      </c>
      <c r="BI13" s="374" t="s">
        <v>719</v>
      </c>
      <c r="BJ13" s="372" t="s">
        <v>719</v>
      </c>
      <c r="BK13" s="374" t="s">
        <v>719</v>
      </c>
      <c r="BL13" s="372" t="s">
        <v>719</v>
      </c>
      <c r="BM13" s="374" t="s">
        <v>719</v>
      </c>
      <c r="BN13" s="371" t="s">
        <v>719</v>
      </c>
      <c r="BO13" s="371" t="s">
        <v>719</v>
      </c>
      <c r="BP13" s="375" t="s">
        <v>719</v>
      </c>
      <c r="BQ13" s="420" t="s">
        <v>719</v>
      </c>
      <c r="BR13" s="420" t="s">
        <v>719</v>
      </c>
      <c r="BS13" s="420" t="s">
        <v>719</v>
      </c>
      <c r="BT13" s="420" t="s">
        <v>719</v>
      </c>
      <c r="BU13" s="420" t="s">
        <v>719</v>
      </c>
      <c r="BV13" s="376" t="s">
        <v>719</v>
      </c>
      <c r="BW13" s="420" t="s">
        <v>719</v>
      </c>
      <c r="BX13" s="376" t="s">
        <v>719</v>
      </c>
      <c r="BY13" s="420" t="s">
        <v>719</v>
      </c>
      <c r="BZ13" s="376" t="s">
        <v>719</v>
      </c>
      <c r="CA13" s="420" t="s">
        <v>719</v>
      </c>
      <c r="CB13" s="376" t="s">
        <v>719</v>
      </c>
      <c r="CC13" s="420" t="s">
        <v>719</v>
      </c>
      <c r="CD13" s="376" t="s">
        <v>719</v>
      </c>
      <c r="CE13" s="420" t="s">
        <v>719</v>
      </c>
      <c r="CF13" s="376" t="s">
        <v>719</v>
      </c>
      <c r="CG13" s="377" t="s">
        <v>719</v>
      </c>
      <c r="CH13" s="378" t="s">
        <v>719</v>
      </c>
      <c r="CI13" s="377" t="s">
        <v>719</v>
      </c>
      <c r="CJ13" s="378" t="s">
        <v>719</v>
      </c>
      <c r="CK13" s="377" t="s">
        <v>719</v>
      </c>
      <c r="CL13" s="445">
        <f>H13-AT13-AL13-AV13</f>
      </c>
      <c r="CM13" s="446">
        <v>0</v>
      </c>
      <c r="CN13" s="447">
        <f t="shared" ref="CN13:CN14" si="3">CL13</f>
      </c>
      <c r="CO13" s="447"/>
    </row>
    <row customHeight="true" ht="30" r="14">
      <c r="A14" s="352">
        <v>12</v>
      </c>
      <c r="B14" s="352" t="s">
        <v>732</v>
      </c>
      <c r="C14" s="453" t="s">
        <v>728</v>
      </c>
      <c r="D14" s="354" t="s">
        <v>720</v>
      </c>
      <c r="E14" s="355">
        <v>2.6</v>
      </c>
      <c r="F14" s="356">
        <v>10</v>
      </c>
      <c r="G14" s="454" t="s">
        <v>719</v>
      </c>
      <c r="H14" s="357">
        <v>50000</v>
      </c>
      <c r="I14" s="441">
        <f t="shared" si="1"/>
      </c>
      <c r="J14" s="442" t="s">
        <v>719</v>
      </c>
      <c r="K14" s="368" t="s">
        <v>719</v>
      </c>
      <c r="L14" s="442" t="s">
        <v>719</v>
      </c>
      <c r="M14" s="368" t="s">
        <v>719</v>
      </c>
      <c r="N14" s="442" t="s">
        <v>719</v>
      </c>
      <c r="O14" s="368" t="s">
        <v>719</v>
      </c>
      <c r="P14" s="442" t="s">
        <v>719</v>
      </c>
      <c r="Q14" s="369" t="s">
        <v>719</v>
      </c>
      <c r="R14" s="442" t="s">
        <v>719</v>
      </c>
      <c r="S14" s="370" t="s">
        <v>719</v>
      </c>
      <c r="T14" s="372" t="s">
        <v>719</v>
      </c>
      <c r="U14" s="372" t="s">
        <v>719</v>
      </c>
      <c r="V14" s="443" t="s">
        <v>719</v>
      </c>
      <c r="W14" s="372" t="s">
        <v>719</v>
      </c>
      <c r="X14" s="370" t="s">
        <v>719</v>
      </c>
      <c r="Y14" s="419" t="s">
        <v>719</v>
      </c>
      <c r="Z14" s="370" t="s">
        <v>719</v>
      </c>
      <c r="AA14" s="372" t="s">
        <v>719</v>
      </c>
      <c r="AB14" s="372" t="s">
        <v>719</v>
      </c>
      <c r="AC14" s="372" t="s">
        <v>719</v>
      </c>
      <c r="AD14" s="372" t="s">
        <v>719</v>
      </c>
      <c r="AE14" s="372" t="s">
        <v>719</v>
      </c>
      <c r="AF14" s="372" t="s">
        <v>719</v>
      </c>
      <c r="AG14" s="373" t="s">
        <v>719</v>
      </c>
      <c r="AH14" s="372" t="s">
        <v>719</v>
      </c>
      <c r="AI14" s="444" t="s">
        <v>719</v>
      </c>
      <c r="AJ14" s="372" t="s">
        <v>719</v>
      </c>
      <c r="AK14" s="372" t="s">
        <v>719</v>
      </c>
      <c r="AL14" s="372" t="s">
        <v>719</v>
      </c>
      <c r="AM14" s="372" t="s">
        <v>719</v>
      </c>
      <c r="AN14" s="372" t="s">
        <v>719</v>
      </c>
      <c r="AO14" s="372" t="s">
        <v>719</v>
      </c>
      <c r="AP14" s="372" t="s">
        <v>719</v>
      </c>
      <c r="AQ14" s="372" t="s">
        <v>719</v>
      </c>
      <c r="AR14" s="372" t="s">
        <v>719</v>
      </c>
      <c r="AS14" s="372" t="s">
        <v>719</v>
      </c>
      <c r="AT14" s="372" t="s">
        <v>719</v>
      </c>
      <c r="AU14" s="372" t="s">
        <v>719</v>
      </c>
      <c r="AV14" s="372" t="s">
        <v>719</v>
      </c>
      <c r="AW14" s="372" t="s">
        <v>719</v>
      </c>
      <c r="AX14" s="372" t="s">
        <v>719</v>
      </c>
      <c r="AY14" s="372" t="s">
        <v>719</v>
      </c>
      <c r="AZ14" s="372" t="s">
        <v>719</v>
      </c>
      <c r="BA14" s="372" t="s">
        <v>719</v>
      </c>
      <c r="BB14" s="372" t="s">
        <v>719</v>
      </c>
      <c r="BC14" s="374" t="s">
        <v>719</v>
      </c>
      <c r="BD14" s="372" t="s">
        <v>719</v>
      </c>
      <c r="BE14" s="374" t="s">
        <v>719</v>
      </c>
      <c r="BF14" s="372" t="s">
        <v>719</v>
      </c>
      <c r="BG14" s="374" t="s">
        <v>719</v>
      </c>
      <c r="BH14" s="372" t="s">
        <v>719</v>
      </c>
      <c r="BI14" s="374" t="s">
        <v>719</v>
      </c>
      <c r="BJ14" s="372" t="s">
        <v>719</v>
      </c>
      <c r="BK14" s="374" t="s">
        <v>719</v>
      </c>
      <c r="BL14" s="372" t="s">
        <v>719</v>
      </c>
      <c r="BM14" s="374" t="s">
        <v>719</v>
      </c>
      <c r="BN14" s="371" t="s">
        <v>719</v>
      </c>
      <c r="BO14" s="455" t="s">
        <v>719</v>
      </c>
      <c r="BP14" s="376">
        <v>9600</v>
      </c>
      <c r="BQ14" s="456">
        <f>BP14*E14</f>
      </c>
      <c r="BR14" s="376">
        <v>16680</v>
      </c>
      <c r="BS14" s="372">
        <f>BR14*E14</f>
      </c>
      <c r="BT14" s="376">
        <v>23720</v>
      </c>
      <c r="BU14" s="372">
        <f>BT14*E14</f>
      </c>
      <c r="BV14" s="457" t="s">
        <v>719</v>
      </c>
      <c r="BW14" s="458" t="s">
        <v>719</v>
      </c>
      <c r="BX14" s="457" t="s">
        <v>719</v>
      </c>
      <c r="BY14" s="458" t="s">
        <v>719</v>
      </c>
      <c r="BZ14" s="457" t="s">
        <v>719</v>
      </c>
      <c r="CA14" s="458" t="s">
        <v>719</v>
      </c>
      <c r="CB14" s="457" t="s">
        <v>719</v>
      </c>
      <c r="CC14" s="458" t="s">
        <v>719</v>
      </c>
      <c r="CD14" s="457" t="s">
        <v>719</v>
      </c>
      <c r="CE14" s="458" t="s">
        <v>719</v>
      </c>
      <c r="CF14" s="457" t="s">
        <v>719</v>
      </c>
      <c r="CG14" s="459" t="s">
        <v>719</v>
      </c>
      <c r="CH14" s="460" t="s">
        <v>719</v>
      </c>
      <c r="CI14" s="459" t="s">
        <v>719</v>
      </c>
      <c r="CJ14" s="460" t="s">
        <v>719</v>
      </c>
      <c r="CK14" s="459" t="s">
        <v>719</v>
      </c>
      <c r="CL14" s="461">
        <f>H14-BP14-BR14-BT14</f>
      </c>
      <c r="CM14" s="446">
        <v>0</v>
      </c>
      <c r="CN14" s="447">
        <f t="shared" si="3"/>
      </c>
      <c r="CO14" s="447"/>
    </row>
    <row customHeight="true" ht="30" r="15">
      <c r="A15" s="352">
        <v>13</v>
      </c>
      <c r="B15" s="352" t="s">
        <v>733</v>
      </c>
      <c r="C15" s="453" t="s">
        <v>728</v>
      </c>
      <c r="D15" s="354" t="s">
        <v>720</v>
      </c>
      <c r="E15" s="449">
        <v>1.3</v>
      </c>
      <c r="F15" s="356">
        <v>10</v>
      </c>
      <c r="G15" s="454" t="s">
        <v>719</v>
      </c>
      <c r="H15" s="357">
        <v>50000</v>
      </c>
      <c r="I15" s="441">
        <f t="shared" si="1"/>
      </c>
      <c r="J15" s="442"/>
      <c r="K15" s="368"/>
      <c r="L15" s="442"/>
      <c r="M15" s="368"/>
      <c r="N15" s="442"/>
      <c r="O15" s="368"/>
      <c r="P15" s="442"/>
      <c r="Q15" s="369"/>
      <c r="R15" s="442"/>
      <c r="S15" s="370"/>
      <c r="T15" s="372"/>
      <c r="U15" s="372"/>
      <c r="V15" s="443"/>
      <c r="W15" s="372"/>
      <c r="X15" s="370"/>
      <c r="Y15" s="419"/>
      <c r="Z15" s="370"/>
      <c r="AA15" s="372"/>
      <c r="AB15" s="372"/>
      <c r="AC15" s="372"/>
      <c r="AD15" s="372"/>
      <c r="AE15" s="372"/>
      <c r="AF15" s="372"/>
      <c r="AG15" s="373"/>
      <c r="AH15" s="372"/>
      <c r="AI15" s="444"/>
      <c r="AJ15" s="372"/>
      <c r="AK15" s="372"/>
      <c r="AL15" s="372"/>
      <c r="AM15" s="372"/>
      <c r="AN15" s="372"/>
      <c r="AO15" s="372"/>
      <c r="AP15" s="372"/>
      <c r="AQ15" s="372"/>
      <c r="AR15" s="372"/>
      <c r="AS15" s="372"/>
      <c r="AT15" s="372"/>
      <c r="AU15" s="372"/>
      <c r="AV15" s="372"/>
      <c r="AW15" s="372"/>
      <c r="AX15" s="372"/>
      <c r="AY15" s="372"/>
      <c r="AZ15" s="372"/>
      <c r="BA15" s="372"/>
      <c r="BB15" s="372"/>
      <c r="BC15" s="374"/>
      <c r="BD15" s="372"/>
      <c r="BE15" s="374"/>
      <c r="BF15" s="372"/>
      <c r="BG15" s="374"/>
      <c r="BH15" s="372"/>
      <c r="BI15" s="374"/>
      <c r="BJ15" s="372"/>
      <c r="BK15" s="374"/>
      <c r="BL15" s="372"/>
      <c r="BM15" s="374"/>
      <c r="BN15" s="371"/>
      <c r="BO15" s="371"/>
      <c r="BP15" s="457" t="s">
        <v>719</v>
      </c>
      <c r="BQ15" s="458" t="s">
        <v>719</v>
      </c>
      <c r="BR15" s="458" t="s">
        <v>719</v>
      </c>
      <c r="BS15" s="458" t="s">
        <v>719</v>
      </c>
      <c r="BT15" s="458" t="s">
        <v>719</v>
      </c>
      <c r="BU15" s="458" t="s">
        <v>719</v>
      </c>
      <c r="BV15" s="457" t="s">
        <v>719</v>
      </c>
      <c r="BW15" s="458" t="s">
        <v>719</v>
      </c>
      <c r="BX15" s="457" t="s">
        <v>719</v>
      </c>
      <c r="BY15" s="458" t="s">
        <v>719</v>
      </c>
      <c r="BZ15" s="457" t="s">
        <v>719</v>
      </c>
      <c r="CA15" s="458" t="s">
        <v>719</v>
      </c>
      <c r="CB15" s="457" t="s">
        <v>719</v>
      </c>
      <c r="CC15" s="458" t="s">
        <v>719</v>
      </c>
      <c r="CD15" s="457" t="s">
        <v>719</v>
      </c>
      <c r="CE15" s="458" t="s">
        <v>719</v>
      </c>
      <c r="CF15" s="457" t="s">
        <v>719</v>
      </c>
      <c r="CG15" s="459" t="s">
        <v>719</v>
      </c>
      <c r="CH15" s="460" t="s">
        <v>719</v>
      </c>
      <c r="CI15" s="459" t="s">
        <v>719</v>
      </c>
      <c r="CJ15" s="460" t="s">
        <v>719</v>
      </c>
      <c r="CK15" s="459" t="s">
        <v>719</v>
      </c>
      <c r="CL15" s="445">
        <v>50000</v>
      </c>
      <c r="CM15" s="446">
        <v>0</v>
      </c>
      <c r="CN15" s="447">
        <v>50000</v>
      </c>
      <c r="CO15" s="447"/>
    </row>
    <row r="16">
      <c r="A16" s="462" t="s">
        <v>734</v>
      </c>
      <c r="B16" s="463"/>
      <c r="C16" s="463"/>
      <c r="D16" s="464"/>
      <c r="E16" s="465"/>
      <c r="F16" s="465"/>
      <c r="G16" s="466"/>
      <c r="H16" s="467">
        <f>SUM(H3:H15)</f>
      </c>
      <c r="I16" s="467">
        <f>SUM(I3:I15)</f>
      </c>
      <c r="J16" s="467">
        <f>SUM(J3:J15)</f>
      </c>
      <c r="K16" s="467">
        <f>SUM(K3:K15)</f>
      </c>
      <c r="L16" s="467">
        <f>SUM(L3:L15)</f>
      </c>
      <c r="M16" s="467">
        <f>SUM(M3:M15)</f>
      </c>
      <c r="N16" s="467">
        <f>SUM(N3:N15)</f>
      </c>
      <c r="O16" s="467">
        <f>SUM(O3:O15)</f>
      </c>
      <c r="P16" s="467">
        <f>SUM(P3:P15)</f>
      </c>
      <c r="Q16" s="467">
        <f>SUM(Q3:Q15)</f>
      </c>
      <c r="R16" s="467">
        <f>SUM(R3:R15)</f>
      </c>
      <c r="S16" s="467">
        <f>SUM(S3:S15)</f>
      </c>
      <c r="T16" s="467">
        <f>SUM(T3:T15)</f>
      </c>
      <c r="U16" s="467">
        <f>SUM(U3:U15)</f>
      </c>
      <c r="V16" s="467">
        <f>SUM(V3:V15)</f>
      </c>
      <c r="W16" s="467">
        <f>SUM(W3:W15)</f>
      </c>
      <c r="X16" s="467">
        <f>SUM(X3:X15)</f>
      </c>
      <c r="Y16" s="467">
        <f>SUM(Y3:Y15)</f>
      </c>
      <c r="Z16" s="467">
        <f>SUM(Z3:Z15)</f>
      </c>
      <c r="AA16" s="467">
        <f>SUM(AA3:AA15)</f>
      </c>
      <c r="AB16" s="467">
        <f>SUM(AB3:AB15)</f>
      </c>
      <c r="AC16" s="467">
        <f>SUM(AC3:AC15)</f>
      </c>
      <c r="AD16" s="467">
        <f>SUM(AD3:AD15)</f>
      </c>
      <c r="AE16" s="467">
        <f>SUM(AE3:AE15)</f>
      </c>
      <c r="AF16" s="467">
        <f>SUM(AF3:AF15)</f>
      </c>
      <c r="AG16" s="467">
        <f>SUM(AG3:AG15)</f>
      </c>
      <c r="AH16" s="467">
        <f>SUM(AH3:AH15)</f>
      </c>
      <c r="AI16" s="467">
        <f>SUM(AI3:AI15)</f>
      </c>
      <c r="AJ16" s="467">
        <f>SUM(AJ3:AJ15)</f>
      </c>
      <c r="AK16" s="467">
        <f>SUM(AK3:AK15)</f>
      </c>
      <c r="AL16" s="467">
        <f>SUM(AL3:AL15)</f>
      </c>
      <c r="AM16" s="467">
        <f>SUM(AM3:AM15)</f>
      </c>
      <c r="AN16" s="467">
        <f>SUM(AN3:AN15)</f>
      </c>
      <c r="AO16" s="467">
        <f>SUM(AO3:AO15)</f>
      </c>
      <c r="AP16" s="467">
        <f>SUM(AP3:AP15)</f>
      </c>
      <c r="AQ16" s="467">
        <f>SUM(AQ3:AQ15)</f>
      </c>
      <c r="AR16" s="467">
        <f>SUM(AR3:AR15)</f>
      </c>
      <c r="AS16" s="467">
        <f>SUM(AS3:AS15)</f>
      </c>
      <c r="AT16" s="467">
        <f>SUM(AT3:AT15)</f>
      </c>
      <c r="AU16" s="467">
        <f>SUM(AU3:AU15)</f>
      </c>
      <c r="AV16" s="467">
        <f>SUM(AV3:AV15)</f>
      </c>
      <c r="AW16" s="467">
        <f>SUM(AW3:AW15)</f>
      </c>
      <c r="AX16" s="467">
        <f>SUM(AX3:AX15)</f>
      </c>
      <c r="AY16" s="467">
        <f>SUM(AY3:AY15)</f>
      </c>
      <c r="AZ16" s="467">
        <f>SUM(AZ3:AZ15)</f>
      </c>
      <c r="BA16" s="467">
        <f>SUM(BA3:BA15)</f>
      </c>
      <c r="BB16" s="467">
        <f>SUM(BB3:BB15)</f>
      </c>
      <c r="BC16" s="467">
        <f>SUM(BC3:BC15)</f>
      </c>
      <c r="BD16" s="467">
        <f>SUM(BD3:BD15)</f>
      </c>
      <c r="BE16" s="467">
        <f>SUM(BE3:BE15)</f>
      </c>
      <c r="BF16" s="467">
        <f>SUM(BF3:BF15)</f>
      </c>
      <c r="BG16" s="467">
        <f>SUM(BG3:BG15)</f>
      </c>
      <c r="BH16" s="467">
        <f>SUM(BH3:BH15)</f>
      </c>
      <c r="BI16" s="467">
        <f>SUM(BI3:BI15)</f>
      </c>
      <c r="BJ16" s="467">
        <f>SUM(BJ3:BJ15)</f>
      </c>
      <c r="BK16" s="467">
        <f>SUM(BK3:BK15)</f>
      </c>
      <c r="BL16" s="467">
        <f>SUM(BL3:BL15)</f>
      </c>
      <c r="BM16" s="467">
        <f>SUM(BM3:BM15)</f>
      </c>
      <c r="BN16" s="467">
        <f>SUM(BN3:BN15)</f>
      </c>
      <c r="BO16" s="467">
        <f>SUM(BO3:BO15)</f>
      </c>
      <c r="BP16" s="467">
        <f>SUM(BP3:BP15)</f>
      </c>
      <c r="BQ16" s="468">
        <f>SUM(BQ3:BQ15)</f>
      </c>
      <c r="BR16" s="467">
        <f>SUM(BR3:BR15)</f>
      </c>
      <c r="BS16" s="468">
        <f>SUM(BS3:BS15)</f>
      </c>
      <c r="BT16" s="467">
        <f>SUM(BT3:BT15)</f>
      </c>
      <c r="BU16" s="468">
        <f>SUM(BU3:BU15)</f>
      </c>
      <c r="BV16" s="469">
        <f>SUM(BV3:BV15)</f>
      </c>
      <c r="BW16" s="468">
        <f>SUM(BW3:BW15)</f>
      </c>
      <c r="BX16" s="469">
        <f>SUM(BX3:BX15)</f>
      </c>
      <c r="BY16" s="468">
        <f>SUM(BY3:BY15)</f>
      </c>
      <c r="BZ16" s="469">
        <f>SUM(BZ3:BZ15)</f>
      </c>
      <c r="CA16" s="468">
        <f>SUM(CA3:CA15)</f>
      </c>
      <c r="CB16" s="469">
        <f>SUM(CB3:CB15)</f>
      </c>
      <c r="CC16" s="468">
        <f>SUM(CC3:CC15)</f>
      </c>
      <c r="CD16" s="469">
        <f>SUM(CD3:CD15)</f>
      </c>
      <c r="CE16" s="468">
        <f>SUM(CE3:CE15)</f>
      </c>
      <c r="CF16" s="469">
        <f>SUM(CF3:CF15)</f>
      </c>
      <c r="CG16" s="470">
        <f>SUM(CG3:CG15)</f>
      </c>
      <c r="CH16" s="469">
        <f>SUM(CH3:CH15)</f>
      </c>
      <c r="CI16" s="470">
        <f>SUM(CI3:CI15)</f>
      </c>
      <c r="CJ16" s="469">
        <f>SUM(CJ3:CJ15)</f>
      </c>
      <c r="CK16" s="470">
        <f>SUM(CK3:CK15)</f>
      </c>
      <c r="CL16" s="467">
        <f>SUM(CL3:CL15)</f>
      </c>
      <c r="CM16" s="467">
        <f>SUM(CM3:CM15)</f>
      </c>
      <c r="CN16" s="467">
        <f>SUM(CN3:CN15)</f>
      </c>
      <c r="CO16" s="467"/>
    </row>
    <row customHeight="true" ht="71" r="17">
      <c r="A17" s="320" t="s">
        <v>735</v>
      </c>
      <c r="B17" s="351"/>
      <c r="C17" s="351"/>
      <c r="D17" s="471"/>
      <c r="E17" s="365"/>
      <c r="F17" s="365"/>
      <c r="G17" s="472"/>
      <c r="H17" s="473"/>
      <c r="I17" s="474"/>
      <c r="J17" s="475" t="s">
        <v>736</v>
      </c>
      <c r="K17" s="476"/>
      <c r="L17" s="475" t="s">
        <v>737</v>
      </c>
      <c r="M17" s="476"/>
      <c r="N17" s="477" t="s">
        <v>738</v>
      </c>
      <c r="O17" s="478"/>
      <c r="P17" s="477" t="s">
        <v>739</v>
      </c>
      <c r="Q17" s="479"/>
      <c r="R17" s="480" t="s">
        <v>740</v>
      </c>
      <c r="S17" s="481"/>
      <c r="T17" s="482" t="s">
        <v>741</v>
      </c>
      <c r="U17" s="481"/>
      <c r="V17" s="483" t="s">
        <v>742</v>
      </c>
      <c r="W17" s="484"/>
      <c r="X17" s="485" t="s">
        <v>743</v>
      </c>
      <c r="Y17" s="486"/>
      <c r="Z17" s="485" t="s">
        <v>744</v>
      </c>
      <c r="AA17" s="485"/>
      <c r="AB17" s="485" t="s">
        <v>745</v>
      </c>
      <c r="AC17" s="487"/>
      <c r="AD17" s="488" t="s">
        <v>746</v>
      </c>
      <c r="AE17" s="489"/>
      <c r="AF17" s="480" t="s">
        <v>747</v>
      </c>
      <c r="AG17" s="490"/>
      <c r="AH17" s="485" t="s">
        <v>748</v>
      </c>
      <c r="AI17" s="491"/>
      <c r="AJ17" s="485" t="s">
        <v>749</v>
      </c>
      <c r="AK17" s="491"/>
      <c r="AL17" s="485" t="s">
        <v>750</v>
      </c>
      <c r="AM17" s="485"/>
      <c r="AN17" s="485" t="s">
        <v>751</v>
      </c>
      <c r="AO17" s="491"/>
      <c r="AP17" s="485" t="s">
        <v>752</v>
      </c>
      <c r="AQ17" s="485"/>
      <c r="AR17" s="485" t="s">
        <v>753</v>
      </c>
      <c r="AS17" s="485"/>
      <c r="AT17" s="485" t="s">
        <v>754</v>
      </c>
      <c r="AU17" s="485"/>
      <c r="AV17" s="485" t="s">
        <v>755</v>
      </c>
      <c r="AW17" s="485"/>
      <c r="AX17" s="485" t="s">
        <v>756</v>
      </c>
      <c r="AY17" s="485"/>
      <c r="AZ17" s="485" t="s">
        <v>757</v>
      </c>
      <c r="BA17" s="485"/>
      <c r="BB17" s="485" t="s">
        <v>758</v>
      </c>
      <c r="BC17" s="488"/>
      <c r="BD17" s="485" t="s">
        <v>759</v>
      </c>
      <c r="BE17" s="485"/>
      <c r="BF17" s="485" t="s">
        <v>760</v>
      </c>
      <c r="BG17" s="485"/>
      <c r="BH17" s="485" t="s">
        <v>761</v>
      </c>
      <c r="BI17" s="485"/>
      <c r="BJ17" s="485" t="s">
        <v>762</v>
      </c>
      <c r="BK17" s="485"/>
      <c r="BL17" s="485" t="s">
        <v>763</v>
      </c>
      <c r="BM17" s="485"/>
      <c r="BN17" s="485" t="s">
        <v>764</v>
      </c>
      <c r="BO17" s="485"/>
      <c r="BP17" s="485" t="s">
        <v>765</v>
      </c>
      <c r="BQ17" s="484"/>
      <c r="BR17" s="485" t="s">
        <v>766</v>
      </c>
      <c r="BS17" s="485"/>
      <c r="BT17" s="485" t="s">
        <v>767</v>
      </c>
      <c r="BU17" s="485"/>
      <c r="BV17" s="485" t="s">
        <v>768</v>
      </c>
      <c r="BW17" s="485"/>
      <c r="BX17" s="485" t="s">
        <v>769</v>
      </c>
      <c r="BY17" s="485"/>
      <c r="BZ17" s="485" t="s">
        <v>770</v>
      </c>
      <c r="CA17" s="485"/>
      <c r="CB17" s="485" t="s">
        <v>771</v>
      </c>
      <c r="CC17" s="485"/>
      <c r="CD17" s="485" t="s">
        <v>772</v>
      </c>
      <c r="CE17" s="485"/>
      <c r="CF17" s="485" t="s">
        <v>773</v>
      </c>
      <c r="CG17" s="492"/>
      <c r="CH17" s="485" t="s">
        <v>774</v>
      </c>
      <c r="CI17" s="485"/>
      <c r="CJ17" s="493" t="s">
        <v>775</v>
      </c>
      <c r="CK17" s="485"/>
      <c r="CL17" s="421"/>
      <c r="CM17" s="494"/>
      <c r="CN17" s="495"/>
      <c r="CO17" s="495"/>
    </row>
    <row r="18">
      <c r="A18" s="496"/>
      <c r="B18" s="496"/>
      <c r="C18" s="496"/>
      <c r="D18" s="497"/>
      <c r="E18" s="498"/>
      <c r="F18" s="498"/>
      <c r="G18" s="499"/>
      <c r="H18" s="499"/>
      <c r="I18" s="498"/>
      <c r="J18" s="500"/>
      <c r="K18" s="496"/>
      <c r="L18" s="500"/>
      <c r="M18" s="496"/>
      <c r="N18" s="500"/>
      <c r="O18" s="496"/>
      <c r="P18" s="500"/>
      <c r="Q18" s="498"/>
      <c r="R18" s="500"/>
      <c r="S18" s="498"/>
      <c r="T18" s="496"/>
      <c r="U18" s="498"/>
      <c r="V18" s="496"/>
      <c r="W18" s="498"/>
      <c r="X18" s="500"/>
      <c r="Y18" s="498"/>
      <c r="Z18" s="500"/>
      <c r="AA18" s="500"/>
      <c r="AB18" s="500"/>
      <c r="AC18" s="501"/>
      <c r="AD18" s="500"/>
      <c r="AE18" s="501"/>
      <c r="AF18" s="500"/>
      <c r="AG18" s="501"/>
      <c r="AH18" s="500"/>
      <c r="AI18" s="498"/>
      <c r="AJ18" s="500"/>
      <c r="AK18" s="500"/>
      <c r="AL18" s="500"/>
      <c r="AM18" s="500"/>
      <c r="AN18" s="500"/>
      <c r="AO18" s="500"/>
      <c r="AP18" s="500"/>
      <c r="AQ18" s="500"/>
      <c r="AR18" s="500"/>
      <c r="AS18" s="500"/>
      <c r="AT18" s="500"/>
      <c r="AU18" s="498"/>
      <c r="AV18" s="500"/>
      <c r="AW18" s="500"/>
      <c r="AX18" s="500"/>
      <c r="AY18" s="500"/>
      <c r="AZ18" s="500"/>
      <c r="BA18" s="500"/>
      <c r="BB18" s="500"/>
      <c r="BC18" s="500"/>
      <c r="BD18" s="500"/>
      <c r="BE18" s="500"/>
      <c r="BF18" s="500"/>
      <c r="BG18" s="500"/>
      <c r="BH18" s="500"/>
      <c r="BI18" s="500"/>
      <c r="BJ18" s="500"/>
      <c r="BK18" s="500"/>
      <c r="BL18" s="500"/>
      <c r="BM18" s="500"/>
      <c r="BN18" s="500"/>
      <c r="BO18" s="500"/>
      <c r="BP18" s="500"/>
      <c r="BQ18" s="498"/>
      <c r="BR18" s="498"/>
      <c r="BS18" s="498"/>
      <c r="BT18" s="498"/>
      <c r="BU18" s="498"/>
      <c r="BV18" s="500"/>
      <c r="BW18" s="498"/>
      <c r="BX18" s="498"/>
      <c r="BY18" s="498"/>
      <c r="BZ18" s="498"/>
      <c r="CA18" s="498"/>
      <c r="CB18" s="498"/>
      <c r="CC18" s="498"/>
      <c r="CD18" s="498"/>
      <c r="CE18" s="498"/>
      <c r="CF18" s="498"/>
      <c r="CG18" s="502"/>
      <c r="CH18" s="503"/>
      <c r="CI18" s="502"/>
      <c r="CJ18" s="502"/>
      <c r="CK18" s="502"/>
      <c r="CL18" s="500"/>
      <c r="CM18" s="500"/>
      <c r="CN18" s="500"/>
      <c r="CO18" s="500"/>
    </row>
    <row r="19">
      <c r="A19" s="496"/>
      <c r="B19" s="496"/>
      <c r="C19" s="496"/>
      <c r="D19" s="497"/>
      <c r="E19" s="498"/>
      <c r="F19" s="498"/>
      <c r="G19" s="499"/>
      <c r="H19" s="499"/>
      <c r="I19" s="498"/>
      <c r="J19" s="500"/>
      <c r="K19" s="496"/>
      <c r="L19" s="500"/>
      <c r="M19" s="496"/>
      <c r="N19" s="500"/>
      <c r="O19" s="496"/>
      <c r="P19" s="500"/>
      <c r="Q19" s="498"/>
      <c r="R19" s="500"/>
      <c r="S19" s="498"/>
      <c r="T19" s="496"/>
      <c r="U19" s="498"/>
      <c r="V19" s="496"/>
      <c r="W19" s="498"/>
      <c r="X19" s="500"/>
      <c r="Y19" s="498"/>
      <c r="Z19" s="500"/>
      <c r="AA19" s="500"/>
      <c r="AB19" s="500"/>
      <c r="AC19" s="501"/>
      <c r="AD19" s="500"/>
      <c r="AE19" s="501"/>
      <c r="AF19" s="500"/>
      <c r="AG19" s="501"/>
      <c r="AH19" s="500"/>
      <c r="AI19" s="498"/>
      <c r="AJ19" s="500"/>
      <c r="AK19" s="500"/>
      <c r="AL19" s="500"/>
      <c r="AM19" s="500"/>
      <c r="AN19" s="500"/>
      <c r="AO19" s="500"/>
      <c r="AP19" s="500"/>
      <c r="AQ19" s="500"/>
      <c r="AR19" s="500"/>
      <c r="AS19" s="500"/>
      <c r="AT19" s="500"/>
      <c r="AU19" s="498"/>
      <c r="AV19" s="500"/>
      <c r="AW19" s="500"/>
      <c r="AX19" s="500"/>
      <c r="AY19" s="500"/>
      <c r="AZ19" s="500"/>
      <c r="BA19" s="500"/>
      <c r="BB19" s="500"/>
      <c r="BC19" s="500"/>
      <c r="BD19" s="500"/>
      <c r="BE19" s="500"/>
      <c r="BF19" s="500"/>
      <c r="BG19" s="500"/>
      <c r="BH19" s="500"/>
      <c r="BI19" s="500"/>
      <c r="BJ19" s="500"/>
      <c r="BK19" s="500"/>
      <c r="BL19" s="500"/>
      <c r="BM19" s="500"/>
      <c r="BN19" s="500"/>
      <c r="BO19" s="500"/>
      <c r="BP19" s="500"/>
      <c r="BQ19" s="498"/>
      <c r="BR19" s="498"/>
      <c r="BS19" s="498"/>
      <c r="BT19" s="498"/>
      <c r="BU19" s="498"/>
      <c r="BV19" s="500"/>
      <c r="BW19" s="498"/>
      <c r="BX19" s="498"/>
      <c r="BY19" s="498"/>
      <c r="BZ19" s="498"/>
      <c r="CA19" s="498"/>
      <c r="CB19" s="498"/>
      <c r="CC19" s="498"/>
      <c r="CD19" s="498"/>
      <c r="CE19" s="498"/>
      <c r="CF19" s="498"/>
      <c r="CG19" s="502"/>
      <c r="CH19" s="503"/>
      <c r="CI19" s="502"/>
      <c r="CJ19" s="502"/>
      <c r="CK19" s="502"/>
      <c r="CL19" s="500"/>
      <c r="CM19" s="500"/>
      <c r="CN19" s="500"/>
      <c r="CO19" s="500"/>
    </row>
    <row r="20">
      <c r="A20" s="496"/>
      <c r="B20" s="496"/>
      <c r="C20" s="496"/>
      <c r="D20" s="497"/>
      <c r="E20" s="498"/>
      <c r="F20" s="498"/>
      <c r="G20" s="499"/>
      <c r="H20" s="499"/>
      <c r="I20" s="498"/>
      <c r="J20" s="500"/>
      <c r="K20" s="496"/>
      <c r="L20" s="500"/>
      <c r="M20" s="496"/>
      <c r="N20" s="500"/>
      <c r="O20" s="496"/>
      <c r="P20" s="500"/>
      <c r="Q20" s="498"/>
      <c r="R20" s="500"/>
      <c r="S20" s="498"/>
      <c r="T20" s="496"/>
      <c r="U20" s="498"/>
      <c r="V20" s="496"/>
      <c r="W20" s="498"/>
      <c r="X20" s="500"/>
      <c r="Y20" s="498"/>
      <c r="Z20" s="500"/>
      <c r="AA20" s="500"/>
      <c r="AB20" s="500"/>
      <c r="AC20" s="501"/>
      <c r="AD20" s="500"/>
      <c r="AE20" s="501"/>
      <c r="AF20" s="500"/>
      <c r="AG20" s="501"/>
      <c r="AH20" s="500"/>
      <c r="AI20" s="498"/>
      <c r="AJ20" s="500"/>
      <c r="AK20" s="500"/>
      <c r="AL20" s="500"/>
      <c r="AM20" s="500"/>
      <c r="AN20" s="500"/>
      <c r="AO20" s="500"/>
      <c r="AP20" s="500"/>
      <c r="AQ20" s="500"/>
      <c r="AR20" s="500"/>
      <c r="AS20" s="500"/>
      <c r="AT20" s="500"/>
      <c r="AU20" s="498"/>
      <c r="AV20" s="500"/>
      <c r="AW20" s="500"/>
      <c r="AX20" s="500"/>
      <c r="AY20" s="500"/>
      <c r="AZ20" s="500"/>
      <c r="BA20" s="500"/>
      <c r="BB20" s="500"/>
      <c r="BC20" s="500"/>
      <c r="BD20" s="500"/>
      <c r="BE20" s="500"/>
      <c r="BF20" s="500"/>
      <c r="BG20" s="500"/>
      <c r="BH20" s="500"/>
      <c r="BI20" s="500"/>
      <c r="BJ20" s="500"/>
      <c r="BK20" s="500"/>
      <c r="BL20" s="500"/>
      <c r="BM20" s="500"/>
      <c r="BN20" s="500"/>
      <c r="BO20" s="500"/>
      <c r="BP20" s="500"/>
      <c r="BQ20" s="498"/>
      <c r="BR20" s="498"/>
      <c r="BS20" s="498"/>
      <c r="BT20" s="498"/>
      <c r="BU20" s="498"/>
      <c r="BV20" s="500"/>
      <c r="BW20" s="498"/>
      <c r="BX20" s="498"/>
      <c r="BY20" s="498"/>
      <c r="BZ20" s="498"/>
      <c r="CA20" s="498"/>
      <c r="CB20" s="498"/>
      <c r="CC20" s="498"/>
      <c r="CD20" s="498"/>
      <c r="CE20" s="498"/>
      <c r="CF20" s="498"/>
      <c r="CG20" s="502"/>
      <c r="CH20" s="503"/>
      <c r="CI20" s="502"/>
      <c r="CJ20" s="502"/>
      <c r="CK20" s="502"/>
      <c r="CL20" s="500"/>
      <c r="CM20" s="500"/>
      <c r="CN20" s="500"/>
      <c r="CO20" s="500"/>
    </row>
    <row r="21">
      <c r="A21" s="496"/>
      <c r="B21" s="496"/>
      <c r="C21" s="496"/>
      <c r="D21" s="497"/>
      <c r="E21" s="498"/>
      <c r="F21" s="498"/>
      <c r="G21" s="499"/>
      <c r="H21" s="499"/>
      <c r="I21" s="498"/>
      <c r="J21" s="500"/>
      <c r="K21" s="496"/>
      <c r="L21" s="500"/>
      <c r="M21" s="496"/>
      <c r="N21" s="500"/>
      <c r="O21" s="496"/>
      <c r="P21" s="500"/>
      <c r="Q21" s="498"/>
      <c r="R21" s="500"/>
      <c r="S21" s="498"/>
      <c r="T21" s="496"/>
      <c r="U21" s="498"/>
      <c r="V21" s="496"/>
      <c r="W21" s="498"/>
      <c r="X21" s="500"/>
      <c r="Y21" s="498"/>
      <c r="Z21" s="500"/>
      <c r="AA21" s="500"/>
      <c r="AB21" s="500"/>
      <c r="AC21" s="501"/>
      <c r="AD21" s="500"/>
      <c r="AE21" s="501"/>
      <c r="AF21" s="500"/>
      <c r="AG21" s="501"/>
      <c r="AH21" s="500"/>
      <c r="AI21" s="498"/>
      <c r="AJ21" s="500"/>
      <c r="AK21" s="500"/>
      <c r="AL21" s="500"/>
      <c r="AM21" s="500"/>
      <c r="AN21" s="500"/>
      <c r="AO21" s="500"/>
      <c r="AP21" s="500"/>
      <c r="AQ21" s="500"/>
      <c r="AR21" s="500"/>
      <c r="AS21" s="500"/>
      <c r="AT21" s="500"/>
      <c r="AU21" s="498"/>
      <c r="AV21" s="500"/>
      <c r="AW21" s="500"/>
      <c r="AX21" s="500"/>
      <c r="AY21" s="500"/>
      <c r="AZ21" s="500"/>
      <c r="BA21" s="500"/>
      <c r="BB21" s="504" t="s">
        <v>776</v>
      </c>
      <c r="BC21" s="500"/>
      <c r="BD21" s="500"/>
      <c r="BE21" s="500"/>
      <c r="BF21" s="500"/>
      <c r="BG21" s="500"/>
      <c r="BH21" s="500"/>
      <c r="BI21" s="500"/>
      <c r="BJ21" s="500"/>
      <c r="BK21" s="500"/>
      <c r="BL21" s="500"/>
      <c r="BM21" s="500"/>
      <c r="BN21" s="500"/>
      <c r="BO21" s="500"/>
      <c r="BP21" s="500"/>
      <c r="BQ21" s="498"/>
      <c r="BR21" s="498"/>
      <c r="BS21" s="498"/>
      <c r="BT21" s="498"/>
      <c r="BU21" s="498"/>
      <c r="BV21" s="500"/>
      <c r="BW21" s="498"/>
      <c r="BX21" s="498"/>
      <c r="BY21" s="498"/>
      <c r="BZ21" s="498"/>
      <c r="CA21" s="498"/>
      <c r="CB21" s="498"/>
      <c r="CC21" s="498"/>
      <c r="CD21" s="498"/>
      <c r="CE21" s="498"/>
      <c r="CF21" s="498"/>
      <c r="CG21" s="502"/>
      <c r="CH21" s="503"/>
      <c r="CI21" s="502"/>
      <c r="CJ21" s="502"/>
      <c r="CK21" s="502"/>
      <c r="CL21" s="500"/>
      <c r="CM21" s="500"/>
      <c r="CN21" s="500"/>
      <c r="CO21" s="500"/>
    </row>
    <row r="22">
      <c r="A22" s="496"/>
      <c r="B22" s="496"/>
      <c r="C22" s="496"/>
      <c r="D22" s="497"/>
      <c r="E22" s="498"/>
      <c r="F22" s="498"/>
      <c r="G22" s="499"/>
      <c r="H22" s="499"/>
      <c r="I22" s="498"/>
      <c r="J22" s="500"/>
      <c r="K22" s="496"/>
      <c r="L22" s="500"/>
      <c r="M22" s="496"/>
      <c r="N22" s="500"/>
      <c r="O22" s="496"/>
      <c r="P22" s="500"/>
      <c r="Q22" s="498"/>
      <c r="R22" s="500"/>
      <c r="S22" s="498"/>
      <c r="T22" s="496"/>
      <c r="U22" s="498"/>
      <c r="V22" s="496"/>
      <c r="W22" s="498"/>
      <c r="X22" s="500"/>
      <c r="Y22" s="498"/>
      <c r="Z22" s="500"/>
      <c r="AA22" s="500"/>
      <c r="AB22" s="500"/>
      <c r="AC22" s="501"/>
      <c r="AD22" s="500"/>
      <c r="AE22" s="501"/>
      <c r="AF22" s="500"/>
      <c r="AG22" s="501"/>
      <c r="AH22" s="500"/>
      <c r="AI22" s="498"/>
      <c r="AJ22" s="500"/>
      <c r="AK22" s="500"/>
      <c r="AL22" s="500"/>
      <c r="AM22" s="500"/>
      <c r="AN22" s="500"/>
      <c r="AO22" s="500"/>
      <c r="AP22" s="500"/>
      <c r="AQ22" s="500"/>
      <c r="AR22" s="500"/>
      <c r="AS22" s="500"/>
      <c r="AT22" s="500"/>
      <c r="AU22" s="498"/>
      <c r="AV22" s="500"/>
      <c r="AW22" s="500"/>
      <c r="AX22" s="500"/>
      <c r="AY22" s="500"/>
      <c r="AZ22" s="500"/>
      <c r="BA22" s="500"/>
      <c r="BB22" s="500"/>
      <c r="BC22" s="500"/>
      <c r="BD22" s="500"/>
      <c r="BE22" s="500"/>
      <c r="BF22" s="500"/>
      <c r="BG22" s="500"/>
      <c r="BH22" s="500"/>
      <c r="BI22" s="500"/>
      <c r="BJ22" s="500"/>
      <c r="BK22" s="500"/>
      <c r="BL22" s="500"/>
      <c r="BM22" s="500"/>
      <c r="BN22" s="500"/>
      <c r="BO22" s="500"/>
      <c r="BP22" s="500"/>
      <c r="BQ22" s="498"/>
      <c r="BR22" s="498"/>
      <c r="BS22" s="498"/>
      <c r="BT22" s="498"/>
      <c r="BU22" s="498"/>
      <c r="BV22" s="500"/>
      <c r="BW22" s="498"/>
      <c r="BX22" s="498"/>
      <c r="BY22" s="498"/>
      <c r="BZ22" s="498"/>
      <c r="CA22" s="498"/>
      <c r="CB22" s="498"/>
      <c r="CC22" s="498"/>
      <c r="CD22" s="498"/>
      <c r="CE22" s="498"/>
      <c r="CF22" s="498"/>
      <c r="CG22" s="502"/>
      <c r="CH22" s="503"/>
      <c r="CI22" s="502"/>
      <c r="CJ22" s="502"/>
      <c r="CK22" s="502"/>
      <c r="CL22" s="500"/>
      <c r="CM22" s="500"/>
      <c r="CN22" s="500"/>
      <c r="CO22" s="500"/>
    </row>
    <row r="23">
      <c r="A23" s="496"/>
      <c r="B23" s="496"/>
      <c r="C23" s="496"/>
      <c r="D23" s="497"/>
      <c r="E23" s="498"/>
      <c r="F23" s="498"/>
      <c r="G23" s="499"/>
      <c r="H23" s="499"/>
      <c r="I23" s="498"/>
      <c r="J23" s="500"/>
      <c r="K23" s="496"/>
      <c r="L23" s="500"/>
      <c r="M23" s="496"/>
      <c r="N23" s="500"/>
      <c r="O23" s="496"/>
      <c r="P23" s="500"/>
      <c r="Q23" s="498"/>
      <c r="R23" s="500"/>
      <c r="S23" s="498"/>
      <c r="T23" s="496"/>
      <c r="U23" s="498"/>
      <c r="V23" s="496"/>
      <c r="W23" s="498"/>
      <c r="X23" s="500"/>
      <c r="Y23" s="498"/>
      <c r="Z23" s="500"/>
      <c r="AA23" s="500"/>
      <c r="AB23" s="500"/>
      <c r="AC23" s="501"/>
      <c r="AD23" s="500"/>
      <c r="AE23" s="501"/>
      <c r="AF23" s="500"/>
      <c r="AG23" s="501"/>
      <c r="AH23" s="500"/>
      <c r="AI23" s="498"/>
      <c r="AJ23" s="500"/>
      <c r="AK23" s="500"/>
      <c r="AL23" s="500"/>
      <c r="AM23" s="500"/>
      <c r="AN23" s="500"/>
      <c r="AO23" s="500"/>
      <c r="AP23" s="500"/>
      <c r="AQ23" s="500"/>
      <c r="AR23" s="500"/>
      <c r="AS23" s="500"/>
      <c r="AT23" s="500"/>
      <c r="AU23" s="498"/>
      <c r="AV23" s="500"/>
      <c r="AW23" s="500"/>
      <c r="AX23" s="500"/>
      <c r="AY23" s="500"/>
      <c r="AZ23" s="500"/>
      <c r="BA23" s="500"/>
      <c r="BB23" s="500"/>
      <c r="BC23" s="500"/>
      <c r="BD23" s="500"/>
      <c r="BE23" s="500"/>
      <c r="BF23" s="500"/>
      <c r="BG23" s="500"/>
      <c r="BH23" s="500"/>
      <c r="BI23" s="500"/>
      <c r="BJ23" s="500"/>
      <c r="BK23" s="500"/>
      <c r="BL23" s="500"/>
      <c r="BM23" s="500"/>
      <c r="BN23" s="500"/>
      <c r="BO23" s="500"/>
      <c r="BP23" s="500"/>
      <c r="BQ23" s="498"/>
      <c r="BR23" s="498"/>
      <c r="BS23" s="498"/>
      <c r="BT23" s="498"/>
      <c r="BU23" s="498"/>
      <c r="BV23" s="500"/>
      <c r="BW23" s="498"/>
      <c r="BX23" s="498"/>
      <c r="BY23" s="498"/>
      <c r="BZ23" s="498"/>
      <c r="CA23" s="498"/>
      <c r="CB23" s="498"/>
      <c r="CC23" s="498"/>
      <c r="CD23" s="498"/>
      <c r="CE23" s="498"/>
      <c r="CF23" s="498"/>
      <c r="CG23" s="502"/>
      <c r="CH23" s="503"/>
      <c r="CI23" s="502"/>
      <c r="CJ23" s="502"/>
      <c r="CK23" s="502"/>
      <c r="CL23" s="500"/>
      <c r="CM23" s="500"/>
      <c r="CN23" s="500"/>
      <c r="CO23" s="500"/>
    </row>
    <row r="24">
      <c r="A24" s="496"/>
      <c r="B24" s="496"/>
      <c r="C24" s="496"/>
      <c r="D24" s="497"/>
      <c r="E24" s="498"/>
      <c r="F24" s="498"/>
      <c r="G24" s="499"/>
      <c r="H24" s="499"/>
      <c r="I24" s="498"/>
      <c r="J24" s="500"/>
      <c r="K24" s="496"/>
      <c r="L24" s="500"/>
      <c r="M24" s="496"/>
      <c r="N24" s="500"/>
      <c r="O24" s="496"/>
      <c r="P24" s="500"/>
      <c r="Q24" s="498"/>
      <c r="R24" s="500"/>
      <c r="S24" s="498"/>
      <c r="T24" s="496"/>
      <c r="U24" s="498"/>
      <c r="V24" s="496"/>
      <c r="W24" s="498"/>
      <c r="X24" s="500"/>
      <c r="Y24" s="498"/>
      <c r="Z24" s="500"/>
      <c r="AA24" s="500"/>
      <c r="AB24" s="500"/>
      <c r="AC24" s="501"/>
      <c r="AD24" s="500"/>
      <c r="AE24" s="501"/>
      <c r="AF24" s="500"/>
      <c r="AG24" s="501"/>
      <c r="AH24" s="500"/>
      <c r="AI24" s="498"/>
      <c r="AJ24" s="500"/>
      <c r="AK24" s="500"/>
      <c r="AL24" s="500"/>
      <c r="AM24" s="500"/>
      <c r="AN24" s="500"/>
      <c r="AO24" s="500"/>
      <c r="AP24" s="500"/>
      <c r="AQ24" s="500"/>
      <c r="AR24" s="500"/>
      <c r="AS24" s="500"/>
      <c r="AT24" s="500"/>
      <c r="AU24" s="498"/>
      <c r="AV24" s="500"/>
      <c r="AW24" s="500"/>
      <c r="AX24" s="500"/>
      <c r="AY24" s="500"/>
      <c r="AZ24" s="500"/>
      <c r="BA24" s="500"/>
      <c r="BB24" s="500"/>
      <c r="BC24" s="500"/>
      <c r="BD24" s="500"/>
      <c r="BE24" s="500"/>
      <c r="BF24" s="500"/>
      <c r="BG24" s="500"/>
      <c r="BH24" s="500"/>
      <c r="BI24" s="500"/>
      <c r="BJ24" s="500"/>
      <c r="BK24" s="500"/>
      <c r="BL24" s="500"/>
      <c r="BM24" s="500"/>
      <c r="BN24" s="500"/>
      <c r="BO24" s="500"/>
      <c r="BP24" s="500"/>
      <c r="BQ24" s="498"/>
      <c r="BR24" s="498"/>
      <c r="BS24" s="498"/>
      <c r="BT24" s="498"/>
      <c r="BU24" s="498"/>
      <c r="BV24" s="500"/>
      <c r="BW24" s="498"/>
      <c r="BX24" s="498"/>
      <c r="BY24" s="498"/>
      <c r="BZ24" s="498"/>
      <c r="CA24" s="498"/>
      <c r="CB24" s="498"/>
      <c r="CC24" s="498"/>
      <c r="CD24" s="498"/>
      <c r="CE24" s="498"/>
      <c r="CF24" s="498"/>
      <c r="CG24" s="502"/>
      <c r="CH24" s="503"/>
      <c r="CI24" s="502"/>
      <c r="CJ24" s="502"/>
      <c r="CK24" s="502"/>
      <c r="CL24" s="500"/>
      <c r="CM24" s="500"/>
      <c r="CN24" s="500"/>
      <c r="CO24" s="500"/>
    </row>
    <row r="25">
      <c r="A25" s="496"/>
      <c r="B25" s="496"/>
      <c r="C25" s="496"/>
      <c r="D25" s="497"/>
      <c r="E25" s="498"/>
      <c r="F25" s="498"/>
      <c r="G25" s="499"/>
      <c r="H25" s="499"/>
      <c r="I25" s="498"/>
      <c r="J25" s="500"/>
      <c r="K25" s="496"/>
      <c r="L25" s="500"/>
      <c r="M25" s="496"/>
      <c r="N25" s="500"/>
      <c r="O25" s="496"/>
      <c r="P25" s="500"/>
      <c r="Q25" s="498"/>
      <c r="R25" s="500"/>
      <c r="S25" s="498"/>
      <c r="T25" s="496"/>
      <c r="U25" s="498"/>
      <c r="V25" s="496"/>
      <c r="W25" s="498"/>
      <c r="X25" s="500"/>
      <c r="Y25" s="498"/>
      <c r="Z25" s="500"/>
      <c r="AA25" s="500"/>
      <c r="AB25" s="500"/>
      <c r="AC25" s="501"/>
      <c r="AD25" s="500"/>
      <c r="AE25" s="501"/>
      <c r="AF25" s="500"/>
      <c r="AG25" s="501"/>
      <c r="AH25" s="500"/>
      <c r="AI25" s="498"/>
      <c r="AJ25" s="500"/>
      <c r="AK25" s="500"/>
      <c r="AL25" s="500"/>
      <c r="AM25" s="500"/>
      <c r="AN25" s="500"/>
      <c r="AO25" s="500"/>
      <c r="AP25" s="500"/>
      <c r="AQ25" s="500"/>
      <c r="AR25" s="500"/>
      <c r="AS25" s="500"/>
      <c r="AT25" s="500"/>
      <c r="AU25" s="498"/>
      <c r="AV25" s="500"/>
      <c r="AW25" s="500"/>
      <c r="AX25" s="500"/>
      <c r="AY25" s="500"/>
      <c r="AZ25" s="500"/>
      <c r="BA25" s="500"/>
      <c r="BB25" s="500"/>
      <c r="BC25" s="500"/>
      <c r="BD25" s="500"/>
      <c r="BE25" s="500"/>
      <c r="BF25" s="500"/>
      <c r="BG25" s="500"/>
      <c r="BH25" s="500"/>
      <c r="BI25" s="500"/>
      <c r="BJ25" s="500"/>
      <c r="BK25" s="500"/>
      <c r="BL25" s="500"/>
      <c r="BM25" s="500"/>
      <c r="BN25" s="500"/>
      <c r="BO25" s="500"/>
      <c r="BP25" s="500"/>
      <c r="BQ25" s="498"/>
      <c r="BR25" s="498"/>
      <c r="BS25" s="498"/>
      <c r="BT25" s="498"/>
      <c r="BU25" s="498"/>
      <c r="BV25" s="500"/>
      <c r="BW25" s="498"/>
      <c r="BX25" s="498"/>
      <c r="BY25" s="498"/>
      <c r="BZ25" s="498"/>
      <c r="CA25" s="498"/>
      <c r="CB25" s="498"/>
      <c r="CC25" s="498"/>
      <c r="CD25" s="498"/>
      <c r="CE25" s="498"/>
      <c r="CF25" s="498"/>
      <c r="CG25" s="502"/>
      <c r="CH25" s="503"/>
      <c r="CI25" s="502"/>
      <c r="CJ25" s="502"/>
      <c r="CK25" s="502"/>
      <c r="CL25" s="500"/>
      <c r="CM25" s="500"/>
      <c r="CN25" s="500"/>
      <c r="CO25" s="500"/>
    </row>
    <row r="26">
      <c r="A26" s="496"/>
      <c r="B26" s="496"/>
      <c r="C26" s="496"/>
      <c r="D26" s="497"/>
      <c r="E26" s="498"/>
      <c r="F26" s="498"/>
      <c r="G26" s="499"/>
      <c r="H26" s="499"/>
      <c r="I26" s="498"/>
      <c r="J26" s="500"/>
      <c r="K26" s="496"/>
      <c r="L26" s="500"/>
      <c r="M26" s="496"/>
      <c r="N26" s="500"/>
      <c r="O26" s="496"/>
      <c r="P26" s="500"/>
      <c r="Q26" s="498"/>
      <c r="R26" s="500"/>
      <c r="S26" s="498"/>
      <c r="T26" s="496"/>
      <c r="U26" s="498"/>
      <c r="V26" s="496"/>
      <c r="W26" s="498"/>
      <c r="X26" s="500"/>
      <c r="Y26" s="498"/>
      <c r="Z26" s="500"/>
      <c r="AA26" s="500"/>
      <c r="AB26" s="500"/>
      <c r="AC26" s="501"/>
      <c r="AD26" s="500"/>
      <c r="AE26" s="501"/>
      <c r="AF26" s="500"/>
      <c r="AG26" s="501"/>
      <c r="AH26" s="500"/>
      <c r="AI26" s="498"/>
      <c r="AJ26" s="500"/>
      <c r="AK26" s="500"/>
      <c r="AL26" s="500"/>
      <c r="AM26" s="500"/>
      <c r="AN26" s="500"/>
      <c r="AO26" s="500"/>
      <c r="AP26" s="500"/>
      <c r="AQ26" s="500"/>
      <c r="AR26" s="500"/>
      <c r="AS26" s="500"/>
      <c r="AT26" s="500"/>
      <c r="AU26" s="498"/>
      <c r="AV26" s="500"/>
      <c r="AW26" s="500"/>
      <c r="AX26" s="500"/>
      <c r="AY26" s="500"/>
      <c r="AZ26" s="500"/>
      <c r="BA26" s="500"/>
      <c r="BB26" s="500"/>
      <c r="BC26" s="500"/>
      <c r="BD26" s="500"/>
      <c r="BE26" s="500"/>
      <c r="BF26" s="500"/>
      <c r="BG26" s="500"/>
      <c r="BH26" s="500"/>
      <c r="BI26" s="500"/>
      <c r="BJ26" s="500"/>
      <c r="BK26" s="500"/>
      <c r="BL26" s="500"/>
      <c r="BM26" s="500"/>
      <c r="BN26" s="500"/>
      <c r="BO26" s="500"/>
      <c r="BP26" s="500"/>
      <c r="BQ26" s="498"/>
      <c r="BR26" s="498"/>
      <c r="BS26" s="498"/>
      <c r="BT26" s="498"/>
      <c r="BU26" s="498"/>
      <c r="BV26" s="500"/>
      <c r="BW26" s="498"/>
      <c r="BX26" s="498"/>
      <c r="BY26" s="498"/>
      <c r="BZ26" s="498"/>
      <c r="CA26" s="498"/>
      <c r="CB26" s="498"/>
      <c r="CC26" s="498"/>
      <c r="CD26" s="498"/>
      <c r="CE26" s="498"/>
      <c r="CF26" s="498"/>
      <c r="CG26" s="502"/>
      <c r="CH26" s="503"/>
      <c r="CI26" s="502"/>
      <c r="CJ26" s="502"/>
      <c r="CK26" s="502"/>
      <c r="CL26" s="500"/>
      <c r="CM26" s="500"/>
      <c r="CN26" s="500"/>
      <c r="CO26" s="500"/>
    </row>
    <row r="27">
      <c r="A27" s="496"/>
      <c r="B27" s="496"/>
      <c r="C27" s="496"/>
      <c r="D27" s="497"/>
      <c r="E27" s="498"/>
      <c r="F27" s="498"/>
      <c r="G27" s="499"/>
      <c r="H27" s="499"/>
      <c r="I27" s="498"/>
      <c r="J27" s="500"/>
      <c r="K27" s="496"/>
      <c r="L27" s="500"/>
      <c r="M27" s="496"/>
      <c r="N27" s="500"/>
      <c r="O27" s="496"/>
      <c r="P27" s="500"/>
      <c r="Q27" s="498"/>
      <c r="R27" s="500"/>
      <c r="S27" s="498"/>
      <c r="T27" s="496"/>
      <c r="U27" s="498"/>
      <c r="V27" s="496"/>
      <c r="W27" s="498"/>
      <c r="X27" s="500"/>
      <c r="Y27" s="498"/>
      <c r="Z27" s="500"/>
      <c r="AA27" s="500"/>
      <c r="AB27" s="500"/>
      <c r="AC27" s="501"/>
      <c r="AD27" s="500"/>
      <c r="AE27" s="501"/>
      <c r="AF27" s="500"/>
      <c r="AG27" s="501"/>
      <c r="AH27" s="500"/>
      <c r="AI27" s="498"/>
      <c r="AJ27" s="500"/>
      <c r="AK27" s="500"/>
      <c r="AL27" s="500"/>
      <c r="AM27" s="500"/>
      <c r="AN27" s="500"/>
      <c r="AO27" s="500"/>
      <c r="AP27" s="500"/>
      <c r="AQ27" s="500"/>
      <c r="AR27" s="500"/>
      <c r="AS27" s="500"/>
      <c r="AT27" s="500"/>
      <c r="AU27" s="498"/>
      <c r="AV27" s="500"/>
      <c r="AW27" s="500"/>
      <c r="AX27" s="500"/>
      <c r="AY27" s="500"/>
      <c r="AZ27" s="500"/>
      <c r="BA27" s="500"/>
      <c r="BB27" s="500"/>
      <c r="BC27" s="500"/>
      <c r="BD27" s="500"/>
      <c r="BE27" s="500"/>
      <c r="BF27" s="500"/>
      <c r="BG27" s="500"/>
      <c r="BH27" s="500"/>
      <c r="BI27" s="500"/>
      <c r="BJ27" s="500"/>
      <c r="BK27" s="500"/>
      <c r="BL27" s="500"/>
      <c r="BM27" s="500"/>
      <c r="BN27" s="500"/>
      <c r="BO27" s="500"/>
      <c r="BP27" s="500"/>
      <c r="BQ27" s="498"/>
      <c r="BR27" s="498"/>
      <c r="BS27" s="498"/>
      <c r="BT27" s="498"/>
      <c r="BU27" s="498"/>
      <c r="BV27" s="500"/>
      <c r="BW27" s="498"/>
      <c r="BX27" s="498"/>
      <c r="BY27" s="498"/>
      <c r="BZ27" s="498"/>
      <c r="CA27" s="498"/>
      <c r="CB27" s="498"/>
      <c r="CC27" s="498"/>
      <c r="CD27" s="498"/>
      <c r="CE27" s="498"/>
      <c r="CF27" s="498"/>
      <c r="CG27" s="502"/>
      <c r="CH27" s="503"/>
      <c r="CI27" s="502"/>
      <c r="CJ27" s="502"/>
      <c r="CK27" s="502"/>
      <c r="CL27" s="500"/>
      <c r="CM27" s="500"/>
      <c r="CN27" s="500"/>
      <c r="CO27" s="500"/>
    </row>
    <row r="28">
      <c r="A28" s="496"/>
      <c r="B28" s="496"/>
      <c r="C28" s="496"/>
      <c r="D28" s="497"/>
      <c r="E28" s="498"/>
      <c r="F28" s="498"/>
      <c r="G28" s="499"/>
      <c r="H28" s="499"/>
      <c r="I28" s="498"/>
      <c r="J28" s="500"/>
      <c r="K28" s="496"/>
      <c r="L28" s="500"/>
      <c r="M28" s="496"/>
      <c r="N28" s="500"/>
      <c r="O28" s="496"/>
      <c r="P28" s="500"/>
      <c r="Q28" s="498"/>
      <c r="R28" s="500"/>
      <c r="S28" s="498"/>
      <c r="T28" s="496"/>
      <c r="U28" s="498"/>
      <c r="V28" s="496"/>
      <c r="W28" s="498"/>
      <c r="X28" s="500"/>
      <c r="Y28" s="498"/>
      <c r="Z28" s="500"/>
      <c r="AA28" s="500"/>
      <c r="AB28" s="500"/>
      <c r="AC28" s="501"/>
      <c r="AD28" s="500"/>
      <c r="AE28" s="501"/>
      <c r="AF28" s="500"/>
      <c r="AG28" s="501"/>
      <c r="AH28" s="500"/>
      <c r="AI28" s="498"/>
      <c r="AJ28" s="500"/>
      <c r="AK28" s="500"/>
      <c r="AL28" s="500"/>
      <c r="AM28" s="500"/>
      <c r="AN28" s="500"/>
      <c r="AO28" s="500"/>
      <c r="AP28" s="500"/>
      <c r="AQ28" s="500"/>
      <c r="AR28" s="500"/>
      <c r="AS28" s="500"/>
      <c r="AT28" s="500"/>
      <c r="AU28" s="498"/>
      <c r="AV28" s="500"/>
      <c r="AW28" s="500"/>
      <c r="AX28" s="500"/>
      <c r="AY28" s="500"/>
      <c r="AZ28" s="500"/>
      <c r="BA28" s="500"/>
      <c r="BB28" s="500"/>
      <c r="BC28" s="500"/>
      <c r="BD28" s="500"/>
      <c r="BE28" s="500"/>
      <c r="BF28" s="500"/>
      <c r="BG28" s="500"/>
      <c r="BH28" s="500"/>
      <c r="BI28" s="500"/>
      <c r="BJ28" s="500"/>
      <c r="BK28" s="500"/>
      <c r="BL28" s="500"/>
      <c r="BM28" s="500"/>
      <c r="BN28" s="500"/>
      <c r="BO28" s="500"/>
      <c r="BP28" s="500"/>
      <c r="BQ28" s="498"/>
      <c r="BR28" s="498"/>
      <c r="BS28" s="498"/>
      <c r="BT28" s="498"/>
      <c r="BU28" s="498"/>
      <c r="BV28" s="500"/>
      <c r="BW28" s="498"/>
      <c r="BX28" s="498"/>
      <c r="BY28" s="498"/>
      <c r="BZ28" s="498"/>
      <c r="CA28" s="498"/>
      <c r="CB28" s="498"/>
      <c r="CC28" s="498"/>
      <c r="CD28" s="498"/>
      <c r="CE28" s="498"/>
      <c r="CF28" s="498"/>
      <c r="CG28" s="502"/>
      <c r="CH28" s="503"/>
      <c r="CI28" s="502"/>
      <c r="CJ28" s="502"/>
      <c r="CK28" s="502"/>
      <c r="CL28" s="500"/>
      <c r="CM28" s="500"/>
      <c r="CN28" s="500"/>
      <c r="CO28" s="500"/>
    </row>
    <row r="29">
      <c r="A29" s="496"/>
      <c r="B29" s="496"/>
      <c r="C29" s="496"/>
      <c r="D29" s="497"/>
      <c r="E29" s="498"/>
      <c r="F29" s="498"/>
      <c r="G29" s="499"/>
      <c r="H29" s="499"/>
      <c r="I29" s="498"/>
      <c r="J29" s="500"/>
      <c r="K29" s="496"/>
      <c r="L29" s="500"/>
      <c r="M29" s="496"/>
      <c r="N29" s="500"/>
      <c r="O29" s="496"/>
      <c r="P29" s="500"/>
      <c r="Q29" s="498"/>
      <c r="R29" s="500"/>
      <c r="S29" s="498"/>
      <c r="T29" s="496"/>
      <c r="U29" s="498"/>
      <c r="V29" s="496"/>
      <c r="W29" s="498"/>
      <c r="X29" s="500"/>
      <c r="Y29" s="498"/>
      <c r="Z29" s="500"/>
      <c r="AA29" s="500"/>
      <c r="AB29" s="500"/>
      <c r="AC29" s="501"/>
      <c r="AD29" s="500"/>
      <c r="AE29" s="501"/>
      <c r="AF29" s="500"/>
      <c r="AG29" s="501"/>
      <c r="AH29" s="500"/>
      <c r="AI29" s="498"/>
      <c r="AJ29" s="500"/>
      <c r="AK29" s="500"/>
      <c r="AL29" s="500"/>
      <c r="AM29" s="500"/>
      <c r="AN29" s="500"/>
      <c r="AO29" s="500"/>
      <c r="AP29" s="500"/>
      <c r="AQ29" s="500"/>
      <c r="AR29" s="500"/>
      <c r="AS29" s="500"/>
      <c r="AT29" s="500"/>
      <c r="AU29" s="498"/>
      <c r="AV29" s="500"/>
      <c r="AW29" s="500"/>
      <c r="AX29" s="500"/>
      <c r="AY29" s="500"/>
      <c r="AZ29" s="500"/>
      <c r="BA29" s="500"/>
      <c r="BB29" s="500"/>
      <c r="BC29" s="500"/>
      <c r="BD29" s="500"/>
      <c r="BE29" s="500"/>
      <c r="BF29" s="500"/>
      <c r="BG29" s="500"/>
      <c r="BH29" s="500"/>
      <c r="BI29" s="500"/>
      <c r="BJ29" s="500"/>
      <c r="BK29" s="500"/>
      <c r="BL29" s="500"/>
      <c r="BM29" s="500"/>
      <c r="BN29" s="500"/>
      <c r="BO29" s="500"/>
      <c r="BP29" s="500"/>
      <c r="BQ29" s="498"/>
      <c r="BR29" s="498"/>
      <c r="BS29" s="498"/>
      <c r="BT29" s="498"/>
      <c r="BU29" s="498"/>
      <c r="BV29" s="500"/>
      <c r="BW29" s="498"/>
      <c r="BX29" s="498"/>
      <c r="BY29" s="498"/>
      <c r="BZ29" s="498"/>
      <c r="CA29" s="498"/>
      <c r="CB29" s="498"/>
      <c r="CC29" s="498"/>
      <c r="CD29" s="498"/>
      <c r="CE29" s="498"/>
      <c r="CF29" s="498"/>
      <c r="CG29" s="502"/>
      <c r="CH29" s="503"/>
      <c r="CI29" s="502"/>
      <c r="CJ29" s="502"/>
      <c r="CK29" s="502"/>
      <c r="CL29" s="500"/>
      <c r="CM29" s="500"/>
      <c r="CN29" s="500"/>
      <c r="CO29" s="500"/>
    </row>
    <row r="30">
      <c r="A30" s="496"/>
      <c r="B30" s="496"/>
      <c r="C30" s="496"/>
      <c r="D30" s="497"/>
      <c r="E30" s="498"/>
      <c r="F30" s="498"/>
      <c r="G30" s="499"/>
      <c r="H30" s="499"/>
      <c r="I30" s="498"/>
      <c r="J30" s="500"/>
      <c r="K30" s="496"/>
      <c r="L30" s="500"/>
      <c r="M30" s="496"/>
      <c r="N30" s="500"/>
      <c r="O30" s="496"/>
      <c r="P30" s="500"/>
      <c r="Q30" s="498"/>
      <c r="R30" s="500"/>
      <c r="S30" s="498"/>
      <c r="T30" s="496"/>
      <c r="U30" s="498"/>
      <c r="V30" s="496"/>
      <c r="W30" s="498"/>
      <c r="X30" s="500"/>
      <c r="Y30" s="498"/>
      <c r="Z30" s="500"/>
      <c r="AA30" s="500"/>
      <c r="AB30" s="500"/>
      <c r="AC30" s="501"/>
      <c r="AD30" s="500"/>
      <c r="AE30" s="501"/>
      <c r="AF30" s="500"/>
      <c r="AG30" s="501"/>
      <c r="AH30" s="500"/>
      <c r="AI30" s="498"/>
      <c r="AJ30" s="500"/>
      <c r="AK30" s="500"/>
      <c r="AL30" s="500"/>
      <c r="AM30" s="500"/>
      <c r="AN30" s="500"/>
      <c r="AO30" s="500"/>
      <c r="AP30" s="500"/>
      <c r="AQ30" s="500"/>
      <c r="AR30" s="500"/>
      <c r="AS30" s="500"/>
      <c r="AT30" s="500"/>
      <c r="AU30" s="498"/>
      <c r="AV30" s="500"/>
      <c r="AW30" s="500"/>
      <c r="AX30" s="500"/>
      <c r="AY30" s="500"/>
      <c r="AZ30" s="500"/>
      <c r="BA30" s="500"/>
      <c r="BB30" s="500"/>
      <c r="BC30" s="500"/>
      <c r="BD30" s="500"/>
      <c r="BE30" s="500"/>
      <c r="BF30" s="500"/>
      <c r="BG30" s="500"/>
      <c r="BH30" s="500"/>
      <c r="BI30" s="500"/>
      <c r="BJ30" s="500"/>
      <c r="BK30" s="500"/>
      <c r="BL30" s="500"/>
      <c r="BM30" s="500"/>
      <c r="BN30" s="500"/>
      <c r="BO30" s="500"/>
      <c r="BP30" s="500"/>
      <c r="BQ30" s="498"/>
      <c r="BR30" s="498"/>
      <c r="BS30" s="498"/>
      <c r="BT30" s="498"/>
      <c r="BU30" s="498"/>
      <c r="BV30" s="500"/>
      <c r="BW30" s="498"/>
      <c r="BX30" s="498"/>
      <c r="BY30" s="498"/>
      <c r="BZ30" s="498"/>
      <c r="CA30" s="498"/>
      <c r="CB30" s="498"/>
      <c r="CC30" s="498"/>
      <c r="CD30" s="498"/>
      <c r="CE30" s="498"/>
      <c r="CF30" s="498"/>
      <c r="CG30" s="502"/>
      <c r="CH30" s="503"/>
      <c r="CI30" s="502"/>
      <c r="CJ30" s="502"/>
      <c r="CK30" s="502"/>
      <c r="CL30" s="500"/>
      <c r="CM30" s="500"/>
      <c r="CN30" s="500"/>
      <c r="CO30" s="500"/>
    </row>
    <row r="31">
      <c r="A31" s="496"/>
      <c r="B31" s="496"/>
      <c r="C31" s="496"/>
      <c r="D31" s="497"/>
      <c r="E31" s="498"/>
      <c r="F31" s="498"/>
      <c r="G31" s="499"/>
      <c r="H31" s="499"/>
      <c r="I31" s="498"/>
      <c r="J31" s="500"/>
      <c r="K31" s="496"/>
      <c r="L31" s="500"/>
      <c r="M31" s="496"/>
      <c r="N31" s="500"/>
      <c r="O31" s="496"/>
      <c r="P31" s="500"/>
      <c r="Q31" s="498"/>
      <c r="R31" s="500"/>
      <c r="S31" s="498"/>
      <c r="T31" s="496"/>
      <c r="U31" s="498"/>
      <c r="V31" s="496"/>
      <c r="W31" s="498"/>
      <c r="X31" s="500"/>
      <c r="Y31" s="498"/>
      <c r="Z31" s="500"/>
      <c r="AA31" s="500"/>
      <c r="AB31" s="500"/>
      <c r="AC31" s="501"/>
      <c r="AD31" s="500"/>
      <c r="AE31" s="501"/>
      <c r="AF31" s="500"/>
      <c r="AG31" s="501"/>
      <c r="AH31" s="500"/>
      <c r="AI31" s="498"/>
      <c r="AJ31" s="500"/>
      <c r="AK31" s="500"/>
      <c r="AL31" s="500"/>
      <c r="AM31" s="500"/>
      <c r="AN31" s="500"/>
      <c r="AO31" s="500"/>
      <c r="AP31" s="500"/>
      <c r="AQ31" s="500"/>
      <c r="AR31" s="500"/>
      <c r="AS31" s="500"/>
      <c r="AT31" s="500"/>
      <c r="AU31" s="498"/>
      <c r="AV31" s="500"/>
      <c r="AW31" s="500"/>
      <c r="AX31" s="500"/>
      <c r="AY31" s="500"/>
      <c r="AZ31" s="500"/>
      <c r="BA31" s="500"/>
      <c r="BB31" s="500"/>
      <c r="BC31" s="500"/>
      <c r="BD31" s="500"/>
      <c r="BE31" s="500"/>
      <c r="BF31" s="500"/>
      <c r="BG31" s="500"/>
      <c r="BH31" s="500"/>
      <c r="BI31" s="500"/>
      <c r="BJ31" s="500"/>
      <c r="BK31" s="500"/>
      <c r="BL31" s="500"/>
      <c r="BM31" s="500"/>
      <c r="BN31" s="500"/>
      <c r="BO31" s="500"/>
      <c r="BP31" s="500"/>
      <c r="BQ31" s="498"/>
      <c r="BR31" s="498"/>
      <c r="BS31" s="498"/>
      <c r="BT31" s="498"/>
      <c r="BU31" s="498"/>
      <c r="BV31" s="500"/>
      <c r="BW31" s="498"/>
      <c r="BX31" s="498"/>
      <c r="BY31" s="498"/>
      <c r="BZ31" s="498"/>
      <c r="CA31" s="498"/>
      <c r="CB31" s="498"/>
      <c r="CC31" s="498"/>
      <c r="CD31" s="498"/>
      <c r="CE31" s="498"/>
      <c r="CF31" s="498"/>
      <c r="CG31" s="502"/>
      <c r="CH31" s="503"/>
      <c r="CI31" s="502"/>
      <c r="CJ31" s="502"/>
      <c r="CK31" s="502"/>
      <c r="CL31" s="500"/>
      <c r="CM31" s="500"/>
      <c r="CN31" s="500"/>
      <c r="CO31" s="500"/>
    </row>
    <row r="32">
      <c r="A32" s="496"/>
      <c r="B32" s="496"/>
      <c r="C32" s="496"/>
      <c r="D32" s="497"/>
      <c r="E32" s="498"/>
      <c r="F32" s="498"/>
      <c r="G32" s="499"/>
      <c r="H32" s="499"/>
      <c r="I32" s="498"/>
      <c r="J32" s="500"/>
      <c r="K32" s="496"/>
      <c r="L32" s="500"/>
      <c r="M32" s="496"/>
      <c r="N32" s="500"/>
      <c r="O32" s="496"/>
      <c r="P32" s="500"/>
      <c r="Q32" s="498"/>
      <c r="R32" s="500"/>
      <c r="S32" s="498"/>
      <c r="T32" s="496"/>
      <c r="U32" s="498"/>
      <c r="V32" s="496"/>
      <c r="W32" s="498"/>
      <c r="X32" s="500"/>
      <c r="Y32" s="498"/>
      <c r="Z32" s="500"/>
      <c r="AA32" s="500"/>
      <c r="AB32" s="500"/>
      <c r="AC32" s="501"/>
      <c r="AD32" s="500"/>
      <c r="AE32" s="501"/>
      <c r="AF32" s="500"/>
      <c r="AG32" s="501"/>
      <c r="AH32" s="500"/>
      <c r="AI32" s="498"/>
      <c r="AJ32" s="500"/>
      <c r="AK32" s="500"/>
      <c r="AL32" s="500"/>
      <c r="AM32" s="500"/>
      <c r="AN32" s="500"/>
      <c r="AO32" s="500"/>
      <c r="AP32" s="500"/>
      <c r="AQ32" s="500"/>
      <c r="AR32" s="500"/>
      <c r="AS32" s="500"/>
      <c r="AT32" s="500"/>
      <c r="AU32" s="498"/>
      <c r="AV32" s="500"/>
      <c r="AW32" s="500"/>
      <c r="AX32" s="500"/>
      <c r="AY32" s="500"/>
      <c r="AZ32" s="500"/>
      <c r="BA32" s="500"/>
      <c r="BB32" s="500"/>
      <c r="BC32" s="500"/>
      <c r="BD32" s="500"/>
      <c r="BE32" s="500"/>
      <c r="BF32" s="500"/>
      <c r="BG32" s="500"/>
      <c r="BH32" s="500"/>
      <c r="BI32" s="500"/>
      <c r="BJ32" s="500"/>
      <c r="BK32" s="500"/>
      <c r="BL32" s="500"/>
      <c r="BM32" s="500"/>
      <c r="BN32" s="500"/>
      <c r="BO32" s="500"/>
      <c r="BP32" s="500"/>
      <c r="BQ32" s="498"/>
      <c r="BR32" s="498"/>
      <c r="BS32" s="498"/>
      <c r="BT32" s="498"/>
      <c r="BU32" s="498"/>
      <c r="BV32" s="500"/>
      <c r="BW32" s="498"/>
      <c r="BX32" s="498"/>
      <c r="BY32" s="498"/>
      <c r="BZ32" s="498"/>
      <c r="CA32" s="498"/>
      <c r="CB32" s="498"/>
      <c r="CC32" s="498"/>
      <c r="CD32" s="498"/>
      <c r="CE32" s="498"/>
      <c r="CF32" s="498"/>
      <c r="CG32" s="502"/>
      <c r="CH32" s="503"/>
      <c r="CI32" s="502"/>
      <c r="CJ32" s="502"/>
      <c r="CK32" s="502"/>
      <c r="CL32" s="500"/>
      <c r="CM32" s="500"/>
      <c r="CN32" s="500"/>
      <c r="CO32" s="500"/>
    </row>
    <row r="33">
      <c r="A33" s="496"/>
      <c r="B33" s="496"/>
      <c r="C33" s="496"/>
      <c r="D33" s="497"/>
      <c r="E33" s="498"/>
      <c r="F33" s="498"/>
      <c r="G33" s="499"/>
      <c r="H33" s="499"/>
      <c r="I33" s="498"/>
      <c r="J33" s="500"/>
      <c r="K33" s="496"/>
      <c r="L33" s="500"/>
      <c r="M33" s="496"/>
      <c r="N33" s="500"/>
      <c r="O33" s="496"/>
      <c r="P33" s="500"/>
      <c r="Q33" s="498"/>
      <c r="R33" s="500"/>
      <c r="S33" s="498"/>
      <c r="T33" s="496"/>
      <c r="U33" s="498"/>
      <c r="V33" s="496"/>
      <c r="W33" s="498"/>
      <c r="X33" s="500"/>
      <c r="Y33" s="498"/>
      <c r="Z33" s="500"/>
      <c r="AA33" s="500"/>
      <c r="AB33" s="500"/>
      <c r="AC33" s="501"/>
      <c r="AD33" s="500"/>
      <c r="AE33" s="501"/>
      <c r="AF33" s="500"/>
      <c r="AG33" s="501"/>
      <c r="AH33" s="500"/>
      <c r="AI33" s="498"/>
      <c r="AJ33" s="500"/>
      <c r="AK33" s="500"/>
      <c r="AL33" s="500"/>
      <c r="AM33" s="500"/>
      <c r="AN33" s="500"/>
      <c r="AO33" s="500"/>
      <c r="AP33" s="500"/>
      <c r="AQ33" s="500"/>
      <c r="AR33" s="500"/>
      <c r="AS33" s="500"/>
      <c r="AT33" s="500"/>
      <c r="AU33" s="498"/>
      <c r="AV33" s="500"/>
      <c r="AW33" s="500"/>
      <c r="AX33" s="500"/>
      <c r="AY33" s="500"/>
      <c r="AZ33" s="500"/>
      <c r="BA33" s="500"/>
      <c r="BB33" s="500"/>
      <c r="BC33" s="500"/>
      <c r="BD33" s="500"/>
      <c r="BE33" s="500"/>
      <c r="BF33" s="500"/>
      <c r="BG33" s="500"/>
      <c r="BH33" s="500"/>
      <c r="BI33" s="500"/>
      <c r="BJ33" s="500"/>
      <c r="BK33" s="500"/>
      <c r="BL33" s="500"/>
      <c r="BM33" s="500"/>
      <c r="BN33" s="500"/>
      <c r="BO33" s="500"/>
      <c r="BP33" s="500"/>
      <c r="BQ33" s="498"/>
      <c r="BR33" s="498"/>
      <c r="BS33" s="498"/>
      <c r="BT33" s="498"/>
      <c r="BU33" s="498"/>
      <c r="BV33" s="500"/>
      <c r="BW33" s="498"/>
      <c r="BX33" s="498"/>
      <c r="BY33" s="498"/>
      <c r="BZ33" s="498"/>
      <c r="CA33" s="498"/>
      <c r="CB33" s="498"/>
      <c r="CC33" s="498"/>
      <c r="CD33" s="498"/>
      <c r="CE33" s="498"/>
      <c r="CF33" s="498"/>
      <c r="CG33" s="502"/>
      <c r="CH33" s="503"/>
      <c r="CI33" s="502"/>
      <c r="CJ33" s="502"/>
      <c r="CK33" s="502"/>
      <c r="CL33" s="500"/>
      <c r="CM33" s="500"/>
      <c r="CN33" s="500"/>
      <c r="CO33" s="500"/>
    </row>
    <row r="34">
      <c r="A34" s="496"/>
      <c r="B34" s="496"/>
      <c r="C34" s="496"/>
      <c r="D34" s="497"/>
      <c r="E34" s="498"/>
      <c r="F34" s="498"/>
      <c r="G34" s="499"/>
      <c r="H34" s="499"/>
      <c r="I34" s="498"/>
      <c r="J34" s="500"/>
      <c r="K34" s="496"/>
      <c r="L34" s="500"/>
      <c r="M34" s="496"/>
      <c r="N34" s="500"/>
      <c r="O34" s="496"/>
      <c r="P34" s="500"/>
      <c r="Q34" s="498"/>
      <c r="R34" s="500"/>
      <c r="S34" s="498"/>
      <c r="T34" s="496"/>
      <c r="U34" s="498"/>
      <c r="V34" s="496"/>
      <c r="W34" s="498"/>
      <c r="X34" s="500"/>
      <c r="Y34" s="498"/>
      <c r="Z34" s="500"/>
      <c r="AA34" s="500"/>
      <c r="AB34" s="500"/>
      <c r="AC34" s="501"/>
      <c r="AD34" s="500"/>
      <c r="AE34" s="501"/>
      <c r="AF34" s="500"/>
      <c r="AG34" s="501"/>
      <c r="AH34" s="500"/>
      <c r="AI34" s="498"/>
      <c r="AJ34" s="500"/>
      <c r="AK34" s="500"/>
      <c r="AL34" s="500"/>
      <c r="AM34" s="500"/>
      <c r="AN34" s="500"/>
      <c r="AO34" s="500"/>
      <c r="AP34" s="500"/>
      <c r="AQ34" s="500"/>
      <c r="AR34" s="500"/>
      <c r="AS34" s="500"/>
      <c r="AT34" s="500"/>
      <c r="AU34" s="498"/>
      <c r="AV34" s="500"/>
      <c r="AW34" s="500"/>
      <c r="AX34" s="500"/>
      <c r="AY34" s="500"/>
      <c r="AZ34" s="500"/>
      <c r="BA34" s="500"/>
      <c r="BB34" s="500"/>
      <c r="BC34" s="500"/>
      <c r="BD34" s="500"/>
      <c r="BE34" s="500"/>
      <c r="BF34" s="500"/>
      <c r="BG34" s="500"/>
      <c r="BH34" s="500"/>
      <c r="BI34" s="500"/>
      <c r="BJ34" s="500"/>
      <c r="BK34" s="500"/>
      <c r="BL34" s="500"/>
      <c r="BM34" s="500"/>
      <c r="BN34" s="500"/>
      <c r="BO34" s="500"/>
      <c r="BP34" s="500"/>
      <c r="BQ34" s="498"/>
      <c r="BR34" s="498"/>
      <c r="BS34" s="498"/>
      <c r="BT34" s="498"/>
      <c r="BU34" s="498"/>
      <c r="BV34" s="500"/>
      <c r="BW34" s="498"/>
      <c r="BX34" s="498"/>
      <c r="BY34" s="498"/>
      <c r="BZ34" s="498"/>
      <c r="CA34" s="498"/>
      <c r="CB34" s="498"/>
      <c r="CC34" s="498"/>
      <c r="CD34" s="498"/>
      <c r="CE34" s="498"/>
      <c r="CF34" s="498"/>
      <c r="CG34" s="502"/>
      <c r="CH34" s="503"/>
      <c r="CI34" s="502"/>
      <c r="CJ34" s="502"/>
      <c r="CK34" s="502"/>
      <c r="CL34" s="500"/>
      <c r="CM34" s="500"/>
      <c r="CN34" s="500"/>
      <c r="CO34" s="500"/>
    </row>
    <row r="35">
      <c r="A35" s="496"/>
      <c r="B35" s="496"/>
      <c r="C35" s="496"/>
      <c r="D35" s="497"/>
      <c r="E35" s="498"/>
      <c r="F35" s="498"/>
      <c r="G35" s="499"/>
      <c r="H35" s="499"/>
      <c r="I35" s="498"/>
      <c r="J35" s="500"/>
      <c r="K35" s="496"/>
      <c r="L35" s="500"/>
      <c r="M35" s="496"/>
      <c r="N35" s="500"/>
      <c r="O35" s="496"/>
      <c r="P35" s="500"/>
      <c r="Q35" s="498"/>
      <c r="R35" s="500"/>
      <c r="S35" s="498"/>
      <c r="T35" s="496"/>
      <c r="U35" s="498"/>
      <c r="V35" s="496"/>
      <c r="W35" s="498"/>
      <c r="X35" s="500"/>
      <c r="Y35" s="498"/>
      <c r="Z35" s="500"/>
      <c r="AA35" s="500"/>
      <c r="AB35" s="500"/>
      <c r="AC35" s="501"/>
      <c r="AD35" s="500"/>
      <c r="AE35" s="501"/>
      <c r="AF35" s="500"/>
      <c r="AG35" s="501"/>
      <c r="AH35" s="500"/>
      <c r="AI35" s="498"/>
      <c r="AJ35" s="500"/>
      <c r="AK35" s="500"/>
      <c r="AL35" s="500"/>
      <c r="AM35" s="500"/>
      <c r="AN35" s="500"/>
      <c r="AO35" s="500"/>
      <c r="AP35" s="500"/>
      <c r="AQ35" s="500"/>
      <c r="AR35" s="500"/>
      <c r="AS35" s="500"/>
      <c r="AT35" s="500"/>
      <c r="AU35" s="498"/>
      <c r="AV35" s="500"/>
      <c r="AW35" s="500"/>
      <c r="AX35" s="500"/>
      <c r="AY35" s="500"/>
      <c r="AZ35" s="500"/>
      <c r="BA35" s="500"/>
      <c r="BB35" s="500"/>
      <c r="BC35" s="500"/>
      <c r="BD35" s="500"/>
      <c r="BE35" s="500"/>
      <c r="BF35" s="500"/>
      <c r="BG35" s="500"/>
      <c r="BH35" s="500"/>
      <c r="BI35" s="500"/>
      <c r="BJ35" s="500"/>
      <c r="BK35" s="500"/>
      <c r="BL35" s="500"/>
      <c r="BM35" s="500"/>
      <c r="BN35" s="500"/>
      <c r="BO35" s="500"/>
      <c r="BP35" s="500"/>
      <c r="BQ35" s="498"/>
      <c r="BR35" s="498"/>
      <c r="BS35" s="498"/>
      <c r="BT35" s="498"/>
      <c r="BU35" s="498"/>
      <c r="BV35" s="500"/>
      <c r="BW35" s="498"/>
      <c r="BX35" s="498"/>
      <c r="BY35" s="498"/>
      <c r="BZ35" s="498"/>
      <c r="CA35" s="498"/>
      <c r="CB35" s="498"/>
      <c r="CC35" s="498"/>
      <c r="CD35" s="498"/>
      <c r="CE35" s="498"/>
      <c r="CF35" s="498"/>
      <c r="CG35" s="502"/>
      <c r="CH35" s="503"/>
      <c r="CI35" s="502"/>
      <c r="CJ35" s="502"/>
      <c r="CK35" s="502"/>
      <c r="CL35" s="500"/>
      <c r="CM35" s="500"/>
      <c r="CN35" s="500"/>
      <c r="CO35" s="500"/>
    </row>
    <row r="36">
      <c r="A36" s="496"/>
      <c r="B36" s="496"/>
      <c r="C36" s="496"/>
      <c r="D36" s="497"/>
      <c r="E36" s="498"/>
      <c r="F36" s="498"/>
      <c r="G36" s="499"/>
      <c r="H36" s="499"/>
      <c r="I36" s="498"/>
      <c r="J36" s="500"/>
      <c r="K36" s="496"/>
      <c r="L36" s="500"/>
      <c r="M36" s="496"/>
      <c r="N36" s="500"/>
      <c r="O36" s="496"/>
      <c r="P36" s="500"/>
      <c r="Q36" s="498"/>
      <c r="R36" s="500"/>
      <c r="S36" s="498"/>
      <c r="T36" s="496"/>
      <c r="U36" s="498"/>
      <c r="V36" s="496"/>
      <c r="W36" s="498"/>
      <c r="X36" s="500"/>
      <c r="Y36" s="498"/>
      <c r="Z36" s="500"/>
      <c r="AA36" s="500"/>
      <c r="AB36" s="500"/>
      <c r="AC36" s="501"/>
      <c r="AD36" s="500"/>
      <c r="AE36" s="501"/>
      <c r="AF36" s="500"/>
      <c r="AG36" s="501"/>
      <c r="AH36" s="500"/>
      <c r="AI36" s="498"/>
      <c r="AJ36" s="500"/>
      <c r="AK36" s="500"/>
      <c r="AL36" s="500"/>
      <c r="AM36" s="500"/>
      <c r="AN36" s="500"/>
      <c r="AO36" s="500"/>
      <c r="AP36" s="500"/>
      <c r="AQ36" s="500"/>
      <c r="AR36" s="500"/>
      <c r="AS36" s="500"/>
      <c r="AT36" s="500"/>
      <c r="AU36" s="498"/>
      <c r="AV36" s="500"/>
      <c r="AW36" s="500"/>
      <c r="AX36" s="500"/>
      <c r="AY36" s="500"/>
      <c r="AZ36" s="500"/>
      <c r="BA36" s="500"/>
      <c r="BB36" s="500"/>
      <c r="BC36" s="500"/>
      <c r="BD36" s="500"/>
      <c r="BE36" s="500"/>
      <c r="BF36" s="500"/>
      <c r="BG36" s="500"/>
      <c r="BH36" s="500"/>
      <c r="BI36" s="500"/>
      <c r="BJ36" s="500"/>
      <c r="BK36" s="500"/>
      <c r="BL36" s="500"/>
      <c r="BM36" s="500"/>
      <c r="BN36" s="500"/>
      <c r="BO36" s="500"/>
      <c r="BP36" s="500"/>
      <c r="BQ36" s="498"/>
      <c r="BR36" s="498"/>
      <c r="BS36" s="498"/>
      <c r="BT36" s="498"/>
      <c r="BU36" s="498"/>
      <c r="BV36" s="500"/>
      <c r="BW36" s="498"/>
      <c r="BX36" s="498"/>
      <c r="BY36" s="498"/>
      <c r="BZ36" s="498"/>
      <c r="CA36" s="498"/>
      <c r="CB36" s="498"/>
      <c r="CC36" s="498"/>
      <c r="CD36" s="498"/>
      <c r="CE36" s="498"/>
      <c r="CF36" s="498"/>
      <c r="CG36" s="502"/>
      <c r="CH36" s="503"/>
      <c r="CI36" s="502"/>
      <c r="CJ36" s="502"/>
      <c r="CK36" s="502"/>
      <c r="CL36" s="500"/>
      <c r="CM36" s="500"/>
      <c r="CN36" s="500"/>
      <c r="CO36" s="500"/>
    </row>
    <row r="37">
      <c r="A37" s="496"/>
      <c r="B37" s="496"/>
      <c r="C37" s="496"/>
      <c r="D37" s="497"/>
      <c r="E37" s="498"/>
      <c r="F37" s="498"/>
      <c r="G37" s="499"/>
      <c r="H37" s="499"/>
      <c r="I37" s="498"/>
      <c r="J37" s="500"/>
      <c r="K37" s="496"/>
      <c r="L37" s="500"/>
      <c r="M37" s="496"/>
      <c r="N37" s="500"/>
      <c r="O37" s="496"/>
      <c r="P37" s="500"/>
      <c r="Q37" s="498"/>
      <c r="R37" s="500"/>
      <c r="S37" s="498"/>
      <c r="T37" s="496"/>
      <c r="U37" s="498"/>
      <c r="V37" s="496"/>
      <c r="W37" s="498"/>
      <c r="X37" s="500"/>
      <c r="Y37" s="498"/>
      <c r="Z37" s="500"/>
      <c r="AA37" s="500"/>
      <c r="AB37" s="500"/>
      <c r="AC37" s="501"/>
      <c r="AD37" s="500"/>
      <c r="AE37" s="501"/>
      <c r="AF37" s="500"/>
      <c r="AG37" s="501"/>
      <c r="AH37" s="500"/>
      <c r="AI37" s="498"/>
      <c r="AJ37" s="500"/>
      <c r="AK37" s="500"/>
      <c r="AL37" s="500"/>
      <c r="AM37" s="500"/>
      <c r="AN37" s="500"/>
      <c r="AO37" s="500"/>
      <c r="AP37" s="500"/>
      <c r="AQ37" s="500"/>
      <c r="AR37" s="500"/>
      <c r="AS37" s="500"/>
      <c r="AT37" s="500"/>
      <c r="AU37" s="498"/>
      <c r="AV37" s="500"/>
      <c r="AW37" s="500"/>
      <c r="AX37" s="500"/>
      <c r="AY37" s="500"/>
      <c r="AZ37" s="500"/>
      <c r="BA37" s="500"/>
      <c r="BB37" s="500"/>
      <c r="BC37" s="500"/>
      <c r="BD37" s="500"/>
      <c r="BE37" s="500"/>
      <c r="BF37" s="500"/>
      <c r="BG37" s="500"/>
      <c r="BH37" s="500"/>
      <c r="BI37" s="500"/>
      <c r="BJ37" s="500"/>
      <c r="BK37" s="500"/>
      <c r="BL37" s="500"/>
      <c r="BM37" s="500"/>
      <c r="BN37" s="500"/>
      <c r="BO37" s="500"/>
      <c r="BP37" s="500"/>
      <c r="BQ37" s="498"/>
      <c r="BR37" s="498"/>
      <c r="BS37" s="498"/>
      <c r="BT37" s="498"/>
      <c r="BU37" s="498"/>
      <c r="BV37" s="500"/>
      <c r="BW37" s="498"/>
      <c r="BX37" s="498"/>
      <c r="BY37" s="498"/>
      <c r="BZ37" s="498"/>
      <c r="CA37" s="498"/>
      <c r="CB37" s="498"/>
      <c r="CC37" s="498"/>
      <c r="CD37" s="498"/>
      <c r="CE37" s="498"/>
      <c r="CF37" s="498"/>
      <c r="CG37" s="502"/>
      <c r="CH37" s="503"/>
      <c r="CI37" s="502"/>
      <c r="CJ37" s="502"/>
      <c r="CK37" s="502"/>
      <c r="CL37" s="500"/>
      <c r="CM37" s="500"/>
      <c r="CN37" s="500"/>
      <c r="CO37" s="500"/>
    </row>
    <row r="38">
      <c r="A38" s="496"/>
      <c r="B38" s="496"/>
      <c r="C38" s="496"/>
      <c r="D38" s="497"/>
      <c r="E38" s="498"/>
      <c r="F38" s="498"/>
      <c r="G38" s="499"/>
      <c r="H38" s="499"/>
      <c r="I38" s="498"/>
      <c r="J38" s="500"/>
      <c r="K38" s="496"/>
      <c r="L38" s="500"/>
      <c r="M38" s="496"/>
      <c r="N38" s="500"/>
      <c r="O38" s="496"/>
      <c r="P38" s="500"/>
      <c r="Q38" s="498"/>
      <c r="R38" s="500"/>
      <c r="S38" s="498"/>
      <c r="T38" s="496"/>
      <c r="U38" s="498"/>
      <c r="V38" s="496"/>
      <c r="W38" s="498"/>
      <c r="X38" s="500"/>
      <c r="Y38" s="498"/>
      <c r="Z38" s="500"/>
      <c r="AA38" s="500"/>
      <c r="AB38" s="500"/>
      <c r="AC38" s="501"/>
      <c r="AD38" s="500"/>
      <c r="AE38" s="501"/>
      <c r="AF38" s="500"/>
      <c r="AG38" s="501"/>
      <c r="AH38" s="500"/>
      <c r="AI38" s="498"/>
      <c r="AJ38" s="500"/>
      <c r="AK38" s="500"/>
      <c r="AL38" s="500"/>
      <c r="AM38" s="500"/>
      <c r="AN38" s="500"/>
      <c r="AO38" s="500"/>
      <c r="AP38" s="500"/>
      <c r="AQ38" s="500"/>
      <c r="AR38" s="500"/>
      <c r="AS38" s="500"/>
      <c r="AT38" s="500"/>
      <c r="AU38" s="498"/>
      <c r="AV38" s="500"/>
      <c r="AW38" s="500"/>
      <c r="AX38" s="500"/>
      <c r="AY38" s="500"/>
      <c r="AZ38" s="500"/>
      <c r="BA38" s="500"/>
      <c r="BB38" s="500"/>
      <c r="BC38" s="500"/>
      <c r="BD38" s="500"/>
      <c r="BE38" s="500"/>
      <c r="BF38" s="500"/>
      <c r="BG38" s="500"/>
      <c r="BH38" s="500"/>
      <c r="BI38" s="500"/>
      <c r="BJ38" s="500"/>
      <c r="BK38" s="500"/>
      <c r="BL38" s="500"/>
      <c r="BM38" s="500"/>
      <c r="BN38" s="500"/>
      <c r="BO38" s="500"/>
      <c r="BP38" s="500"/>
      <c r="BQ38" s="498"/>
      <c r="BR38" s="498"/>
      <c r="BS38" s="498"/>
      <c r="BT38" s="498"/>
      <c r="BU38" s="498"/>
      <c r="BV38" s="500"/>
      <c r="BW38" s="498"/>
      <c r="BX38" s="498"/>
      <c r="BY38" s="498"/>
      <c r="BZ38" s="498"/>
      <c r="CA38" s="498"/>
      <c r="CB38" s="498"/>
      <c r="CC38" s="498"/>
      <c r="CD38" s="498"/>
      <c r="CE38" s="498"/>
      <c r="CF38" s="498"/>
      <c r="CG38" s="502"/>
      <c r="CH38" s="503"/>
      <c r="CI38" s="502"/>
      <c r="CJ38" s="502"/>
      <c r="CK38" s="502"/>
      <c r="CL38" s="500"/>
      <c r="CM38" s="500"/>
      <c r="CN38" s="500"/>
      <c r="CO38" s="500"/>
    </row>
    <row r="39">
      <c r="A39" s="496"/>
      <c r="B39" s="496"/>
      <c r="C39" s="496"/>
      <c r="D39" s="497"/>
      <c r="E39" s="498"/>
      <c r="F39" s="498"/>
      <c r="G39" s="499"/>
      <c r="H39" s="499"/>
      <c r="I39" s="498"/>
      <c r="J39" s="500"/>
      <c r="K39" s="496"/>
      <c r="L39" s="500"/>
      <c r="M39" s="496"/>
      <c r="N39" s="500"/>
      <c r="O39" s="496"/>
      <c r="P39" s="500"/>
      <c r="Q39" s="498"/>
      <c r="R39" s="500"/>
      <c r="S39" s="498"/>
      <c r="T39" s="496"/>
      <c r="U39" s="498"/>
      <c r="V39" s="496"/>
      <c r="W39" s="498"/>
      <c r="X39" s="500"/>
      <c r="Y39" s="498"/>
      <c r="Z39" s="500"/>
      <c r="AA39" s="500"/>
      <c r="AB39" s="500"/>
      <c r="AC39" s="501"/>
      <c r="AD39" s="500"/>
      <c r="AE39" s="501"/>
      <c r="AF39" s="500"/>
      <c r="AG39" s="501"/>
      <c r="AH39" s="500"/>
      <c r="AI39" s="498"/>
      <c r="AJ39" s="500"/>
      <c r="AK39" s="500"/>
      <c r="AL39" s="500"/>
      <c r="AM39" s="500"/>
      <c r="AN39" s="500"/>
      <c r="AO39" s="500"/>
      <c r="AP39" s="500"/>
      <c r="AQ39" s="500"/>
      <c r="AR39" s="500"/>
      <c r="AS39" s="500"/>
      <c r="AT39" s="500"/>
      <c r="AU39" s="498"/>
      <c r="AV39" s="500"/>
      <c r="AW39" s="500"/>
      <c r="AX39" s="500"/>
      <c r="AY39" s="500"/>
      <c r="AZ39" s="500"/>
      <c r="BA39" s="500"/>
      <c r="BB39" s="500"/>
      <c r="BC39" s="500"/>
      <c r="BD39" s="500"/>
      <c r="BE39" s="500"/>
      <c r="BF39" s="500"/>
      <c r="BG39" s="500"/>
      <c r="BH39" s="500"/>
      <c r="BI39" s="500"/>
      <c r="BJ39" s="500"/>
      <c r="BK39" s="500"/>
      <c r="BL39" s="500"/>
      <c r="BM39" s="500"/>
      <c r="BN39" s="500"/>
      <c r="BO39" s="500"/>
      <c r="BP39" s="500"/>
      <c r="BQ39" s="498"/>
      <c r="BR39" s="498"/>
      <c r="BS39" s="498"/>
      <c r="BT39" s="498"/>
      <c r="BU39" s="498"/>
      <c r="BV39" s="500"/>
      <c r="BW39" s="498"/>
      <c r="BX39" s="498"/>
      <c r="BY39" s="498"/>
      <c r="BZ39" s="498"/>
      <c r="CA39" s="498"/>
      <c r="CB39" s="498"/>
      <c r="CC39" s="498"/>
      <c r="CD39" s="498"/>
      <c r="CE39" s="498"/>
      <c r="CF39" s="498"/>
      <c r="CG39" s="502"/>
      <c r="CH39" s="503"/>
      <c r="CI39" s="502"/>
      <c r="CJ39" s="502"/>
      <c r="CK39" s="502"/>
      <c r="CL39" s="500"/>
      <c r="CM39" s="500"/>
      <c r="CN39" s="500"/>
      <c r="CO39" s="500"/>
    </row>
    <row r="40">
      <c r="A40" s="496"/>
      <c r="B40" s="496"/>
      <c r="C40" s="496"/>
      <c r="D40" s="497"/>
      <c r="E40" s="498"/>
      <c r="F40" s="498"/>
      <c r="G40" s="499"/>
      <c r="H40" s="499"/>
      <c r="I40" s="498"/>
      <c r="J40" s="500"/>
      <c r="K40" s="496"/>
      <c r="L40" s="500"/>
      <c r="M40" s="496"/>
      <c r="N40" s="500"/>
      <c r="O40" s="496"/>
      <c r="P40" s="500"/>
      <c r="Q40" s="498"/>
      <c r="R40" s="500"/>
      <c r="S40" s="498"/>
      <c r="T40" s="496"/>
      <c r="U40" s="498"/>
      <c r="V40" s="496"/>
      <c r="W40" s="498"/>
      <c r="X40" s="500"/>
      <c r="Y40" s="498"/>
      <c r="Z40" s="500"/>
      <c r="AA40" s="500"/>
      <c r="AB40" s="500"/>
      <c r="AC40" s="501"/>
      <c r="AD40" s="500"/>
      <c r="AE40" s="501"/>
      <c r="AF40" s="500"/>
      <c r="AG40" s="501"/>
      <c r="AH40" s="500"/>
      <c r="AI40" s="498"/>
      <c r="AJ40" s="500"/>
      <c r="AK40" s="500"/>
      <c r="AL40" s="500"/>
      <c r="AM40" s="500"/>
      <c r="AN40" s="500"/>
      <c r="AO40" s="500"/>
      <c r="AP40" s="500"/>
      <c r="AQ40" s="500"/>
      <c r="AR40" s="500"/>
      <c r="AS40" s="500"/>
      <c r="AT40" s="500"/>
      <c r="AU40" s="498"/>
      <c r="AV40" s="500"/>
      <c r="AW40" s="500"/>
      <c r="AX40" s="500"/>
      <c r="AY40" s="500"/>
      <c r="AZ40" s="500"/>
      <c r="BA40" s="500"/>
      <c r="BB40" s="500"/>
      <c r="BC40" s="500"/>
      <c r="BD40" s="500"/>
      <c r="BE40" s="500"/>
      <c r="BF40" s="500"/>
      <c r="BG40" s="500"/>
      <c r="BH40" s="500"/>
      <c r="BI40" s="500"/>
      <c r="BJ40" s="500"/>
      <c r="BK40" s="500"/>
      <c r="BL40" s="500"/>
      <c r="BM40" s="500"/>
      <c r="BN40" s="500"/>
      <c r="BO40" s="500"/>
      <c r="BP40" s="500"/>
      <c r="BQ40" s="498"/>
      <c r="BR40" s="498"/>
      <c r="BS40" s="498"/>
      <c r="BT40" s="498"/>
      <c r="BU40" s="498"/>
      <c r="BV40" s="500"/>
      <c r="BW40" s="498"/>
      <c r="BX40" s="498"/>
      <c r="BY40" s="498"/>
      <c r="BZ40" s="498"/>
      <c r="CA40" s="498"/>
      <c r="CB40" s="498"/>
      <c r="CC40" s="498"/>
      <c r="CD40" s="498"/>
      <c r="CE40" s="498"/>
      <c r="CF40" s="498"/>
      <c r="CG40" s="502"/>
      <c r="CH40" s="503"/>
      <c r="CI40" s="502"/>
      <c r="CJ40" s="502"/>
      <c r="CK40" s="502"/>
      <c r="CL40" s="500"/>
      <c r="CM40" s="500"/>
      <c r="CN40" s="500"/>
      <c r="CO40" s="500"/>
    </row>
    <row r="41">
      <c r="A41" s="496"/>
      <c r="B41" s="496"/>
      <c r="C41" s="496"/>
      <c r="D41" s="497"/>
      <c r="E41" s="498"/>
      <c r="F41" s="498"/>
      <c r="G41" s="499"/>
      <c r="H41" s="499"/>
      <c r="I41" s="498"/>
      <c r="J41" s="500"/>
      <c r="K41" s="496"/>
      <c r="L41" s="500"/>
      <c r="M41" s="496"/>
      <c r="N41" s="500"/>
      <c r="O41" s="496"/>
      <c r="P41" s="500"/>
      <c r="Q41" s="498"/>
      <c r="R41" s="500"/>
      <c r="S41" s="498"/>
      <c r="T41" s="496"/>
      <c r="U41" s="498"/>
      <c r="V41" s="496"/>
      <c r="W41" s="498"/>
      <c r="X41" s="500"/>
      <c r="Y41" s="498"/>
      <c r="Z41" s="500"/>
      <c r="AA41" s="500"/>
      <c r="AB41" s="500"/>
      <c r="AC41" s="501"/>
      <c r="AD41" s="500"/>
      <c r="AE41" s="501"/>
      <c r="AF41" s="500"/>
      <c r="AG41" s="501"/>
      <c r="AH41" s="500"/>
      <c r="AI41" s="498"/>
      <c r="AJ41" s="500"/>
      <c r="AK41" s="500"/>
      <c r="AL41" s="500"/>
      <c r="AM41" s="500"/>
      <c r="AN41" s="500"/>
      <c r="AO41" s="500"/>
      <c r="AP41" s="500"/>
      <c r="AQ41" s="500"/>
      <c r="AR41" s="500"/>
      <c r="AS41" s="500"/>
      <c r="AT41" s="500"/>
      <c r="AU41" s="498"/>
      <c r="AV41" s="500"/>
      <c r="AW41" s="500"/>
      <c r="AX41" s="500"/>
      <c r="AY41" s="500"/>
      <c r="AZ41" s="500"/>
      <c r="BA41" s="500"/>
      <c r="BB41" s="500"/>
      <c r="BC41" s="500"/>
      <c r="BD41" s="500"/>
      <c r="BE41" s="500"/>
      <c r="BF41" s="500"/>
      <c r="BG41" s="500"/>
      <c r="BH41" s="500"/>
      <c r="BI41" s="500"/>
      <c r="BJ41" s="500"/>
      <c r="BK41" s="500"/>
      <c r="BL41" s="500"/>
      <c r="BM41" s="500"/>
      <c r="BN41" s="500"/>
      <c r="BO41" s="500"/>
      <c r="BP41" s="500"/>
      <c r="BQ41" s="498"/>
      <c r="BR41" s="498"/>
      <c r="BS41" s="498"/>
      <c r="BT41" s="498"/>
      <c r="BU41" s="498"/>
      <c r="BV41" s="500"/>
      <c r="BW41" s="498"/>
      <c r="BX41" s="498"/>
      <c r="BY41" s="498"/>
      <c r="BZ41" s="498"/>
      <c r="CA41" s="498"/>
      <c r="CB41" s="498"/>
      <c r="CC41" s="498"/>
      <c r="CD41" s="498"/>
      <c r="CE41" s="498"/>
      <c r="CF41" s="498"/>
      <c r="CG41" s="502"/>
      <c r="CH41" s="503"/>
      <c r="CI41" s="502"/>
      <c r="CJ41" s="502"/>
      <c r="CK41" s="502"/>
      <c r="CL41" s="500"/>
      <c r="CM41" s="500"/>
      <c r="CN41" s="500"/>
      <c r="CO41" s="500"/>
    </row>
    <row r="42">
      <c r="A42" s="496"/>
      <c r="B42" s="496"/>
      <c r="C42" s="496"/>
      <c r="D42" s="497"/>
      <c r="E42" s="498"/>
      <c r="F42" s="498"/>
      <c r="G42" s="499"/>
      <c r="H42" s="499"/>
      <c r="I42" s="498"/>
      <c r="J42" s="500"/>
      <c r="K42" s="496"/>
      <c r="L42" s="500"/>
      <c r="M42" s="496"/>
      <c r="N42" s="500"/>
      <c r="O42" s="496"/>
      <c r="P42" s="500"/>
      <c r="Q42" s="498"/>
      <c r="R42" s="500"/>
      <c r="S42" s="498"/>
      <c r="T42" s="496"/>
      <c r="U42" s="498"/>
      <c r="V42" s="496"/>
      <c r="W42" s="498"/>
      <c r="X42" s="500"/>
      <c r="Y42" s="498"/>
      <c r="Z42" s="500"/>
      <c r="AA42" s="500"/>
      <c r="AB42" s="500"/>
      <c r="AC42" s="501"/>
      <c r="AD42" s="500"/>
      <c r="AE42" s="501"/>
      <c r="AF42" s="500"/>
      <c r="AG42" s="501"/>
      <c r="AH42" s="500"/>
      <c r="AI42" s="498"/>
      <c r="AJ42" s="500"/>
      <c r="AK42" s="500"/>
      <c r="AL42" s="500"/>
      <c r="AM42" s="500"/>
      <c r="AN42" s="500"/>
      <c r="AO42" s="500"/>
      <c r="AP42" s="500"/>
      <c r="AQ42" s="500"/>
      <c r="AR42" s="500"/>
      <c r="AS42" s="500"/>
      <c r="AT42" s="500"/>
      <c r="AU42" s="498"/>
      <c r="AV42" s="500"/>
      <c r="AW42" s="500"/>
      <c r="AX42" s="500"/>
      <c r="AY42" s="500"/>
      <c r="AZ42" s="500"/>
      <c r="BA42" s="500"/>
      <c r="BB42" s="500"/>
      <c r="BC42" s="500"/>
      <c r="BD42" s="500"/>
      <c r="BE42" s="500"/>
      <c r="BF42" s="500"/>
      <c r="BG42" s="500"/>
      <c r="BH42" s="500"/>
      <c r="BI42" s="500"/>
      <c r="BJ42" s="500"/>
      <c r="BK42" s="500"/>
      <c r="BL42" s="500"/>
      <c r="BM42" s="500"/>
      <c r="BN42" s="500"/>
      <c r="BO42" s="500"/>
      <c r="BP42" s="500"/>
      <c r="BQ42" s="498"/>
      <c r="BR42" s="498"/>
      <c r="BS42" s="498"/>
      <c r="BT42" s="498"/>
      <c r="BU42" s="498"/>
      <c r="BV42" s="500"/>
      <c r="BW42" s="498"/>
      <c r="BX42" s="498"/>
      <c r="BY42" s="498"/>
      <c r="BZ42" s="498"/>
      <c r="CA42" s="498"/>
      <c r="CB42" s="498"/>
      <c r="CC42" s="498"/>
      <c r="CD42" s="498"/>
      <c r="CE42" s="498"/>
      <c r="CF42" s="498"/>
      <c r="CG42" s="502"/>
      <c r="CH42" s="503"/>
      <c r="CI42" s="502"/>
      <c r="CJ42" s="502"/>
      <c r="CK42" s="502"/>
      <c r="CL42" s="500"/>
      <c r="CM42" s="500"/>
      <c r="CN42" s="500"/>
      <c r="CO42" s="500"/>
    </row>
    <row r="43">
      <c r="A43" s="496"/>
      <c r="B43" s="496"/>
      <c r="C43" s="496"/>
      <c r="D43" s="497"/>
      <c r="E43" s="498"/>
      <c r="F43" s="498"/>
      <c r="G43" s="499"/>
      <c r="H43" s="499"/>
      <c r="I43" s="498"/>
      <c r="J43" s="500"/>
      <c r="K43" s="496"/>
      <c r="L43" s="500"/>
      <c r="M43" s="496"/>
      <c r="N43" s="500"/>
      <c r="O43" s="496"/>
      <c r="P43" s="500"/>
      <c r="Q43" s="498"/>
      <c r="R43" s="500"/>
      <c r="S43" s="498"/>
      <c r="T43" s="496"/>
      <c r="U43" s="498"/>
      <c r="V43" s="496"/>
      <c r="W43" s="498"/>
      <c r="X43" s="500"/>
      <c r="Y43" s="498"/>
      <c r="Z43" s="500"/>
      <c r="AA43" s="500"/>
      <c r="AB43" s="500"/>
      <c r="AC43" s="501"/>
      <c r="AD43" s="500"/>
      <c r="AE43" s="501"/>
      <c r="AF43" s="500"/>
      <c r="AG43" s="501"/>
      <c r="AH43" s="500"/>
      <c r="AI43" s="498"/>
      <c r="AJ43" s="500"/>
      <c r="AK43" s="500"/>
      <c r="AL43" s="500"/>
      <c r="AM43" s="500"/>
      <c r="AN43" s="500"/>
      <c r="AO43" s="500"/>
      <c r="AP43" s="500"/>
      <c r="AQ43" s="500"/>
      <c r="AR43" s="500"/>
      <c r="AS43" s="500"/>
      <c r="AT43" s="500"/>
      <c r="AU43" s="498"/>
      <c r="AV43" s="500"/>
      <c r="AW43" s="500"/>
      <c r="AX43" s="500"/>
      <c r="AY43" s="500"/>
      <c r="AZ43" s="500"/>
      <c r="BA43" s="500"/>
      <c r="BB43" s="500"/>
      <c r="BC43" s="500"/>
      <c r="BD43" s="500"/>
      <c r="BE43" s="500"/>
      <c r="BF43" s="500"/>
      <c r="BG43" s="500"/>
      <c r="BH43" s="500"/>
      <c r="BI43" s="500"/>
      <c r="BJ43" s="500"/>
      <c r="BK43" s="500"/>
      <c r="BL43" s="500"/>
      <c r="BM43" s="500"/>
      <c r="BN43" s="500"/>
      <c r="BO43" s="500"/>
      <c r="BP43" s="500"/>
      <c r="BQ43" s="498"/>
      <c r="BR43" s="498"/>
      <c r="BS43" s="498"/>
      <c r="BT43" s="498"/>
      <c r="BU43" s="498"/>
      <c r="BV43" s="500"/>
      <c r="BW43" s="498"/>
      <c r="BX43" s="498"/>
      <c r="BY43" s="498"/>
      <c r="BZ43" s="498"/>
      <c r="CA43" s="498"/>
      <c r="CB43" s="498"/>
      <c r="CC43" s="498"/>
      <c r="CD43" s="498"/>
      <c r="CE43" s="498"/>
      <c r="CF43" s="498"/>
      <c r="CG43" s="502"/>
      <c r="CH43" s="503"/>
      <c r="CI43" s="502"/>
      <c r="CJ43" s="502"/>
      <c r="CK43" s="502"/>
      <c r="CL43" s="500"/>
      <c r="CM43" s="500"/>
      <c r="CN43" s="500"/>
      <c r="CO43" s="500"/>
    </row>
    <row r="44">
      <c r="A44" s="496"/>
      <c r="B44" s="496"/>
      <c r="C44" s="496"/>
      <c r="D44" s="497"/>
      <c r="E44" s="498"/>
      <c r="F44" s="498"/>
      <c r="G44" s="499"/>
      <c r="H44" s="499"/>
      <c r="I44" s="498"/>
      <c r="J44" s="500"/>
      <c r="K44" s="496"/>
      <c r="L44" s="500"/>
      <c r="M44" s="496"/>
      <c r="N44" s="500"/>
      <c r="O44" s="496"/>
      <c r="P44" s="500"/>
      <c r="Q44" s="498"/>
      <c r="R44" s="500"/>
      <c r="S44" s="498"/>
      <c r="T44" s="496"/>
      <c r="U44" s="498"/>
      <c r="V44" s="496"/>
      <c r="W44" s="498"/>
      <c r="X44" s="500"/>
      <c r="Y44" s="498"/>
      <c r="Z44" s="500"/>
      <c r="AA44" s="500"/>
      <c r="AB44" s="500"/>
      <c r="AC44" s="501"/>
      <c r="AD44" s="500"/>
      <c r="AE44" s="501"/>
      <c r="AF44" s="500"/>
      <c r="AG44" s="501"/>
      <c r="AH44" s="500"/>
      <c r="AI44" s="498"/>
      <c r="AJ44" s="500"/>
      <c r="AK44" s="500"/>
      <c r="AL44" s="500"/>
      <c r="AM44" s="500"/>
      <c r="AN44" s="500"/>
      <c r="AO44" s="500"/>
      <c r="AP44" s="500"/>
      <c r="AQ44" s="500"/>
      <c r="AR44" s="500"/>
      <c r="AS44" s="500"/>
      <c r="AT44" s="500"/>
      <c r="AU44" s="498"/>
      <c r="AV44" s="500"/>
      <c r="AW44" s="500"/>
      <c r="AX44" s="500"/>
      <c r="AY44" s="500"/>
      <c r="AZ44" s="500"/>
      <c r="BA44" s="500"/>
      <c r="BB44" s="500"/>
      <c r="BC44" s="500"/>
      <c r="BD44" s="500"/>
      <c r="BE44" s="500"/>
      <c r="BF44" s="500"/>
      <c r="BG44" s="500"/>
      <c r="BH44" s="500"/>
      <c r="BI44" s="500"/>
      <c r="BJ44" s="500"/>
      <c r="BK44" s="500"/>
      <c r="BL44" s="500"/>
      <c r="BM44" s="500"/>
      <c r="BN44" s="500"/>
      <c r="BO44" s="500"/>
      <c r="BP44" s="500"/>
      <c r="BQ44" s="498"/>
      <c r="BR44" s="498"/>
      <c r="BS44" s="498"/>
      <c r="BT44" s="498"/>
      <c r="BU44" s="498"/>
      <c r="BV44" s="500"/>
      <c r="BW44" s="498"/>
      <c r="BX44" s="498"/>
      <c r="BY44" s="498"/>
      <c r="BZ44" s="498"/>
      <c r="CA44" s="498"/>
      <c r="CB44" s="498"/>
      <c r="CC44" s="498"/>
      <c r="CD44" s="498"/>
      <c r="CE44" s="498"/>
      <c r="CF44" s="498"/>
      <c r="CG44" s="502"/>
      <c r="CH44" s="503"/>
      <c r="CI44" s="502"/>
      <c r="CJ44" s="502"/>
      <c r="CK44" s="502"/>
      <c r="CL44" s="500"/>
      <c r="CM44" s="500"/>
      <c r="CN44" s="500"/>
      <c r="CO44" s="500"/>
    </row>
    <row r="45">
      <c r="A45" s="496"/>
      <c r="B45" s="496"/>
      <c r="C45" s="496"/>
      <c r="D45" s="497"/>
      <c r="E45" s="498"/>
      <c r="F45" s="498"/>
      <c r="G45" s="499"/>
      <c r="H45" s="499"/>
      <c r="I45" s="498"/>
      <c r="J45" s="500"/>
      <c r="K45" s="496"/>
      <c r="L45" s="500"/>
      <c r="M45" s="496"/>
      <c r="N45" s="500"/>
      <c r="O45" s="496"/>
      <c r="P45" s="500"/>
      <c r="Q45" s="498"/>
      <c r="R45" s="500"/>
      <c r="S45" s="498"/>
      <c r="T45" s="496"/>
      <c r="U45" s="498"/>
      <c r="V45" s="496"/>
      <c r="W45" s="498"/>
      <c r="X45" s="500"/>
      <c r="Y45" s="498"/>
      <c r="Z45" s="500"/>
      <c r="AA45" s="500"/>
      <c r="AB45" s="500"/>
      <c r="AC45" s="501"/>
      <c r="AD45" s="500"/>
      <c r="AE45" s="501"/>
      <c r="AF45" s="500"/>
      <c r="AG45" s="501"/>
      <c r="AH45" s="500"/>
      <c r="AI45" s="498"/>
      <c r="AJ45" s="500"/>
      <c r="AK45" s="500"/>
      <c r="AL45" s="500"/>
      <c r="AM45" s="500"/>
      <c r="AN45" s="500"/>
      <c r="AO45" s="500"/>
      <c r="AP45" s="500"/>
      <c r="AQ45" s="500"/>
      <c r="AR45" s="500"/>
      <c r="AS45" s="500"/>
      <c r="AT45" s="500"/>
      <c r="AU45" s="498"/>
      <c r="AV45" s="500"/>
      <c r="AW45" s="500"/>
      <c r="AX45" s="500"/>
      <c r="AY45" s="500"/>
      <c r="AZ45" s="500"/>
      <c r="BA45" s="500"/>
      <c r="BB45" s="500"/>
      <c r="BC45" s="500"/>
      <c r="BD45" s="500"/>
      <c r="BE45" s="500"/>
      <c r="BF45" s="500"/>
      <c r="BG45" s="500"/>
      <c r="BH45" s="500"/>
      <c r="BI45" s="500"/>
      <c r="BJ45" s="500"/>
      <c r="BK45" s="500"/>
      <c r="BL45" s="500"/>
      <c r="BM45" s="500"/>
      <c r="BN45" s="500"/>
      <c r="BO45" s="500"/>
      <c r="BP45" s="500"/>
      <c r="BQ45" s="498"/>
      <c r="BR45" s="498"/>
      <c r="BS45" s="498"/>
      <c r="BT45" s="498"/>
      <c r="BU45" s="498"/>
      <c r="BV45" s="500"/>
      <c r="BW45" s="498"/>
      <c r="BX45" s="498"/>
      <c r="BY45" s="498"/>
      <c r="BZ45" s="498"/>
      <c r="CA45" s="498"/>
      <c r="CB45" s="498"/>
      <c r="CC45" s="498"/>
      <c r="CD45" s="498"/>
      <c r="CE45" s="498"/>
      <c r="CF45" s="498"/>
      <c r="CG45" s="502"/>
      <c r="CH45" s="503"/>
      <c r="CI45" s="502"/>
      <c r="CJ45" s="502"/>
      <c r="CK45" s="502"/>
      <c r="CL45" s="500"/>
      <c r="CM45" s="500"/>
      <c r="CN45" s="500"/>
      <c r="CO45" s="500"/>
    </row>
    <row r="46">
      <c r="A46" s="496"/>
      <c r="B46" s="496"/>
      <c r="C46" s="496"/>
      <c r="D46" s="497"/>
      <c r="E46" s="498"/>
      <c r="F46" s="498"/>
      <c r="G46" s="499"/>
      <c r="H46" s="499"/>
      <c r="I46" s="498"/>
      <c r="J46" s="500"/>
      <c r="K46" s="496"/>
      <c r="L46" s="500"/>
      <c r="M46" s="496"/>
      <c r="N46" s="500"/>
      <c r="O46" s="496"/>
      <c r="P46" s="500"/>
      <c r="Q46" s="498"/>
      <c r="R46" s="500"/>
      <c r="S46" s="498"/>
      <c r="T46" s="496"/>
      <c r="U46" s="498"/>
      <c r="V46" s="496"/>
      <c r="W46" s="498"/>
      <c r="X46" s="500"/>
      <c r="Y46" s="498"/>
      <c r="Z46" s="500"/>
      <c r="AA46" s="500"/>
      <c r="AB46" s="500"/>
      <c r="AC46" s="501"/>
      <c r="AD46" s="500"/>
      <c r="AE46" s="501"/>
      <c r="AF46" s="500"/>
      <c r="AG46" s="501"/>
      <c r="AH46" s="500"/>
      <c r="AI46" s="498"/>
      <c r="AJ46" s="500"/>
      <c r="AK46" s="500"/>
      <c r="AL46" s="500"/>
      <c r="AM46" s="500"/>
      <c r="AN46" s="500"/>
      <c r="AO46" s="500"/>
      <c r="AP46" s="500"/>
      <c r="AQ46" s="500"/>
      <c r="AR46" s="500"/>
      <c r="AS46" s="500"/>
      <c r="AT46" s="500"/>
      <c r="AU46" s="498"/>
      <c r="AV46" s="500"/>
      <c r="AW46" s="500"/>
      <c r="AX46" s="500"/>
      <c r="AY46" s="500"/>
      <c r="AZ46" s="500"/>
      <c r="BA46" s="500"/>
      <c r="BB46" s="500"/>
      <c r="BC46" s="500"/>
      <c r="BD46" s="500"/>
      <c r="BE46" s="500"/>
      <c r="BF46" s="500"/>
      <c r="BG46" s="500"/>
      <c r="BH46" s="500"/>
      <c r="BI46" s="500"/>
      <c r="BJ46" s="500"/>
      <c r="BK46" s="500"/>
      <c r="BL46" s="500"/>
      <c r="BM46" s="500"/>
      <c r="BN46" s="500"/>
      <c r="BO46" s="500"/>
      <c r="BP46" s="500"/>
      <c r="BQ46" s="498"/>
      <c r="BR46" s="498"/>
      <c r="BS46" s="498"/>
      <c r="BT46" s="498"/>
      <c r="BU46" s="498"/>
      <c r="BV46" s="500"/>
      <c r="BW46" s="498"/>
      <c r="BX46" s="498"/>
      <c r="BY46" s="498"/>
      <c r="BZ46" s="498"/>
      <c r="CA46" s="498"/>
      <c r="CB46" s="498"/>
      <c r="CC46" s="498"/>
      <c r="CD46" s="498"/>
      <c r="CE46" s="498"/>
      <c r="CF46" s="498"/>
      <c r="CG46" s="502"/>
      <c r="CH46" s="503"/>
      <c r="CI46" s="502"/>
      <c r="CJ46" s="502"/>
      <c r="CK46" s="502"/>
      <c r="CL46" s="500"/>
      <c r="CM46" s="500"/>
      <c r="CN46" s="500"/>
      <c r="CO46" s="500"/>
    </row>
    <row r="47">
      <c r="A47" s="496"/>
      <c r="B47" s="496"/>
      <c r="C47" s="496"/>
      <c r="D47" s="497"/>
      <c r="E47" s="498"/>
      <c r="F47" s="498"/>
      <c r="G47" s="499"/>
      <c r="H47" s="499"/>
      <c r="I47" s="498"/>
      <c r="J47" s="500"/>
      <c r="K47" s="496"/>
      <c r="L47" s="500"/>
      <c r="M47" s="496"/>
      <c r="N47" s="500"/>
      <c r="O47" s="496"/>
      <c r="P47" s="500"/>
      <c r="Q47" s="498"/>
      <c r="R47" s="500"/>
      <c r="S47" s="498"/>
      <c r="T47" s="496"/>
      <c r="U47" s="498"/>
      <c r="V47" s="496"/>
      <c r="W47" s="498"/>
      <c r="X47" s="500"/>
      <c r="Y47" s="498"/>
      <c r="Z47" s="500"/>
      <c r="AA47" s="500"/>
      <c r="AB47" s="500"/>
      <c r="AC47" s="501"/>
      <c r="AD47" s="500"/>
      <c r="AE47" s="501"/>
      <c r="AF47" s="500"/>
      <c r="AG47" s="501"/>
      <c r="AH47" s="500"/>
      <c r="AI47" s="498"/>
      <c r="AJ47" s="500"/>
      <c r="AK47" s="500"/>
      <c r="AL47" s="500"/>
      <c r="AM47" s="500"/>
      <c r="AN47" s="500"/>
      <c r="AO47" s="500"/>
      <c r="AP47" s="500"/>
      <c r="AQ47" s="500"/>
      <c r="AR47" s="500"/>
      <c r="AS47" s="500"/>
      <c r="AT47" s="500"/>
      <c r="AU47" s="498"/>
      <c r="AV47" s="500"/>
      <c r="AW47" s="500"/>
      <c r="AX47" s="500"/>
      <c r="AY47" s="500"/>
      <c r="AZ47" s="500"/>
      <c r="BA47" s="500"/>
      <c r="BB47" s="500"/>
      <c r="BC47" s="500"/>
      <c r="BD47" s="500"/>
      <c r="BE47" s="500"/>
      <c r="BF47" s="500"/>
      <c r="BG47" s="500"/>
      <c r="BH47" s="500"/>
      <c r="BI47" s="500"/>
      <c r="BJ47" s="500"/>
      <c r="BK47" s="500"/>
      <c r="BL47" s="500"/>
      <c r="BM47" s="500"/>
      <c r="BN47" s="500"/>
      <c r="BO47" s="500"/>
      <c r="BP47" s="500"/>
      <c r="BQ47" s="498"/>
      <c r="BR47" s="498"/>
      <c r="BS47" s="498"/>
      <c r="BT47" s="498"/>
      <c r="BU47" s="498"/>
      <c r="BV47" s="500"/>
      <c r="BW47" s="498"/>
      <c r="BX47" s="498"/>
      <c r="BY47" s="498"/>
      <c r="BZ47" s="498"/>
      <c r="CA47" s="498"/>
      <c r="CB47" s="498"/>
      <c r="CC47" s="498"/>
      <c r="CD47" s="498"/>
      <c r="CE47" s="498"/>
      <c r="CF47" s="498"/>
      <c r="CG47" s="502"/>
      <c r="CH47" s="503"/>
      <c r="CI47" s="502"/>
      <c r="CJ47" s="502"/>
      <c r="CK47" s="502"/>
      <c r="CL47" s="500"/>
      <c r="CM47" s="500"/>
      <c r="CN47" s="500"/>
      <c r="CO47" s="500"/>
    </row>
    <row r="48">
      <c r="A48" s="496"/>
      <c r="B48" s="496"/>
      <c r="C48" s="496"/>
      <c r="D48" s="497"/>
      <c r="E48" s="498"/>
      <c r="F48" s="498"/>
      <c r="G48" s="499"/>
      <c r="H48" s="499"/>
      <c r="I48" s="498"/>
      <c r="J48" s="500"/>
      <c r="K48" s="496"/>
      <c r="L48" s="500"/>
      <c r="M48" s="496"/>
      <c r="N48" s="500"/>
      <c r="O48" s="496"/>
      <c r="P48" s="500"/>
      <c r="Q48" s="498"/>
      <c r="R48" s="500"/>
      <c r="S48" s="498"/>
      <c r="T48" s="496"/>
      <c r="U48" s="498"/>
      <c r="V48" s="496"/>
      <c r="W48" s="498"/>
      <c r="X48" s="500"/>
      <c r="Y48" s="498"/>
      <c r="Z48" s="500"/>
      <c r="AA48" s="500"/>
      <c r="AB48" s="500"/>
      <c r="AC48" s="501"/>
      <c r="AD48" s="500"/>
      <c r="AE48" s="501"/>
      <c r="AF48" s="500"/>
      <c r="AG48" s="501"/>
      <c r="AH48" s="500"/>
      <c r="AI48" s="498"/>
      <c r="AJ48" s="500"/>
      <c r="AK48" s="500"/>
      <c r="AL48" s="500"/>
      <c r="AM48" s="500"/>
      <c r="AN48" s="500"/>
      <c r="AO48" s="500"/>
      <c r="AP48" s="500"/>
      <c r="AQ48" s="500"/>
      <c r="AR48" s="500"/>
      <c r="AS48" s="500"/>
      <c r="AT48" s="500"/>
      <c r="AU48" s="498"/>
      <c r="AV48" s="500"/>
      <c r="AW48" s="500"/>
      <c r="AX48" s="500"/>
      <c r="AY48" s="500"/>
      <c r="AZ48" s="500"/>
      <c r="BA48" s="500"/>
      <c r="BB48" s="500"/>
      <c r="BC48" s="500"/>
      <c r="BD48" s="500"/>
      <c r="BE48" s="500"/>
      <c r="BF48" s="500"/>
      <c r="BG48" s="500"/>
      <c r="BH48" s="500"/>
      <c r="BI48" s="500"/>
      <c r="BJ48" s="500"/>
      <c r="BK48" s="500"/>
      <c r="BL48" s="500"/>
      <c r="BM48" s="500"/>
      <c r="BN48" s="500"/>
      <c r="BO48" s="500"/>
      <c r="BP48" s="500"/>
      <c r="BQ48" s="498"/>
      <c r="BR48" s="498"/>
      <c r="BS48" s="498"/>
      <c r="BT48" s="498"/>
      <c r="BU48" s="498"/>
      <c r="BV48" s="500"/>
      <c r="BW48" s="498"/>
      <c r="BX48" s="498"/>
      <c r="BY48" s="498"/>
      <c r="BZ48" s="498"/>
      <c r="CA48" s="498"/>
      <c r="CB48" s="498"/>
      <c r="CC48" s="498"/>
      <c r="CD48" s="498"/>
      <c r="CE48" s="498"/>
      <c r="CF48" s="498"/>
      <c r="CG48" s="502"/>
      <c r="CH48" s="503"/>
      <c r="CI48" s="502"/>
      <c r="CJ48" s="502"/>
      <c r="CK48" s="502"/>
      <c r="CL48" s="500"/>
      <c r="CM48" s="500"/>
      <c r="CN48" s="500"/>
      <c r="CO48" s="500"/>
    </row>
    <row r="49">
      <c r="A49" s="496"/>
      <c r="B49" s="496"/>
      <c r="C49" s="496"/>
      <c r="D49" s="497"/>
      <c r="E49" s="498"/>
      <c r="F49" s="498"/>
      <c r="G49" s="499"/>
      <c r="H49" s="499"/>
      <c r="I49" s="498"/>
      <c r="J49" s="500"/>
      <c r="K49" s="496"/>
      <c r="L49" s="500"/>
      <c r="M49" s="496"/>
      <c r="N49" s="500"/>
      <c r="O49" s="496"/>
      <c r="P49" s="500"/>
      <c r="Q49" s="498"/>
      <c r="R49" s="500"/>
      <c r="S49" s="498"/>
      <c r="T49" s="496"/>
      <c r="U49" s="498"/>
      <c r="V49" s="496"/>
      <c r="W49" s="498"/>
      <c r="X49" s="500"/>
      <c r="Y49" s="498"/>
      <c r="Z49" s="500"/>
      <c r="AA49" s="500"/>
      <c r="AB49" s="500"/>
      <c r="AC49" s="501"/>
      <c r="AD49" s="500"/>
      <c r="AE49" s="501"/>
      <c r="AF49" s="500"/>
      <c r="AG49" s="501"/>
      <c r="AH49" s="500"/>
      <c r="AI49" s="498"/>
      <c r="AJ49" s="500"/>
      <c r="AK49" s="500"/>
      <c r="AL49" s="500"/>
      <c r="AM49" s="500"/>
      <c r="AN49" s="500"/>
      <c r="AO49" s="500"/>
      <c r="AP49" s="500"/>
      <c r="AQ49" s="500"/>
      <c r="AR49" s="500"/>
      <c r="AS49" s="500"/>
      <c r="AT49" s="500"/>
      <c r="AU49" s="498"/>
      <c r="AV49" s="500"/>
      <c r="AW49" s="500"/>
      <c r="AX49" s="500"/>
      <c r="AY49" s="500"/>
      <c r="AZ49" s="500"/>
      <c r="BA49" s="500"/>
      <c r="BB49" s="500"/>
      <c r="BC49" s="500"/>
      <c r="BD49" s="500"/>
      <c r="BE49" s="500"/>
      <c r="BF49" s="500"/>
      <c r="BG49" s="500"/>
      <c r="BH49" s="500"/>
      <c r="BI49" s="500"/>
      <c r="BJ49" s="500"/>
      <c r="BK49" s="500"/>
      <c r="BL49" s="500"/>
      <c r="BM49" s="500"/>
      <c r="BN49" s="500"/>
      <c r="BO49" s="500"/>
      <c r="BP49" s="500"/>
      <c r="BQ49" s="498"/>
      <c r="BR49" s="498"/>
      <c r="BS49" s="498"/>
      <c r="BT49" s="498"/>
      <c r="BU49" s="498"/>
      <c r="BV49" s="500"/>
      <c r="BW49" s="498"/>
      <c r="BX49" s="498"/>
      <c r="BY49" s="498"/>
      <c r="BZ49" s="498"/>
      <c r="CA49" s="498"/>
      <c r="CB49" s="498"/>
      <c r="CC49" s="498"/>
      <c r="CD49" s="498"/>
      <c r="CE49" s="498"/>
      <c r="CF49" s="498"/>
      <c r="CG49" s="502"/>
      <c r="CH49" s="503"/>
      <c r="CI49" s="502"/>
      <c r="CJ49" s="502"/>
      <c r="CK49" s="502"/>
      <c r="CL49" s="500"/>
      <c r="CM49" s="500"/>
      <c r="CN49" s="500"/>
      <c r="CO49" s="500"/>
    </row>
    <row r="50">
      <c r="A50" s="496"/>
      <c r="B50" s="496"/>
      <c r="C50" s="496"/>
      <c r="D50" s="497"/>
      <c r="E50" s="498"/>
      <c r="F50" s="498"/>
      <c r="G50" s="499"/>
      <c r="H50" s="499"/>
      <c r="I50" s="498"/>
      <c r="J50" s="500"/>
      <c r="K50" s="496"/>
      <c r="L50" s="500"/>
      <c r="M50" s="496"/>
      <c r="N50" s="500"/>
      <c r="O50" s="496"/>
      <c r="P50" s="500"/>
      <c r="Q50" s="498"/>
      <c r="R50" s="500"/>
      <c r="S50" s="498"/>
      <c r="T50" s="496"/>
      <c r="U50" s="498"/>
      <c r="V50" s="496"/>
      <c r="W50" s="498"/>
      <c r="X50" s="500"/>
      <c r="Y50" s="498"/>
      <c r="Z50" s="500"/>
      <c r="AA50" s="500"/>
      <c r="AB50" s="500"/>
      <c r="AC50" s="501"/>
      <c r="AD50" s="500"/>
      <c r="AE50" s="501"/>
      <c r="AF50" s="500"/>
      <c r="AG50" s="501"/>
      <c r="AH50" s="500"/>
      <c r="AI50" s="498"/>
      <c r="AJ50" s="500"/>
      <c r="AK50" s="500"/>
      <c r="AL50" s="500"/>
      <c r="AM50" s="500"/>
      <c r="AN50" s="500"/>
      <c r="AO50" s="500"/>
      <c r="AP50" s="500"/>
      <c r="AQ50" s="500"/>
      <c r="AR50" s="500"/>
      <c r="AS50" s="500"/>
      <c r="AT50" s="500"/>
      <c r="AU50" s="498"/>
      <c r="AV50" s="500"/>
      <c r="AW50" s="500"/>
      <c r="AX50" s="500"/>
      <c r="AY50" s="500"/>
      <c r="AZ50" s="500"/>
      <c r="BA50" s="500"/>
      <c r="BB50" s="500"/>
      <c r="BC50" s="500"/>
      <c r="BD50" s="500"/>
      <c r="BE50" s="500"/>
      <c r="BF50" s="500"/>
      <c r="BG50" s="500"/>
      <c r="BH50" s="500"/>
      <c r="BI50" s="500"/>
      <c r="BJ50" s="500"/>
      <c r="BK50" s="500"/>
      <c r="BL50" s="500"/>
      <c r="BM50" s="500"/>
      <c r="BN50" s="500"/>
      <c r="BO50" s="500"/>
      <c r="BP50" s="500"/>
      <c r="BQ50" s="498"/>
      <c r="BR50" s="498"/>
      <c r="BS50" s="498"/>
      <c r="BT50" s="498"/>
      <c r="BU50" s="498"/>
      <c r="BV50" s="500"/>
      <c r="BW50" s="498"/>
      <c r="BX50" s="498"/>
      <c r="BY50" s="498"/>
      <c r="BZ50" s="498"/>
      <c r="CA50" s="498"/>
      <c r="CB50" s="498"/>
      <c r="CC50" s="498"/>
      <c r="CD50" s="498"/>
      <c r="CE50" s="498"/>
      <c r="CF50" s="498"/>
      <c r="CG50" s="502"/>
      <c r="CH50" s="503"/>
      <c r="CI50" s="502"/>
      <c r="CJ50" s="502"/>
      <c r="CK50" s="502"/>
      <c r="CL50" s="500"/>
      <c r="CM50" s="500"/>
      <c r="CN50" s="500"/>
      <c r="CO50" s="500"/>
    </row>
    <row r="51">
      <c r="A51" s="496"/>
      <c r="B51" s="496"/>
      <c r="C51" s="496"/>
      <c r="D51" s="497"/>
      <c r="E51" s="498"/>
      <c r="F51" s="498"/>
      <c r="G51" s="499"/>
      <c r="H51" s="499"/>
      <c r="I51" s="498"/>
      <c r="J51" s="500"/>
      <c r="K51" s="496"/>
      <c r="L51" s="500"/>
      <c r="M51" s="496"/>
      <c r="N51" s="500"/>
      <c r="O51" s="496"/>
      <c r="P51" s="500"/>
      <c r="Q51" s="498"/>
      <c r="R51" s="500"/>
      <c r="S51" s="498"/>
      <c r="T51" s="496"/>
      <c r="U51" s="498"/>
      <c r="V51" s="496"/>
      <c r="W51" s="498"/>
      <c r="X51" s="500"/>
      <c r="Y51" s="498"/>
      <c r="Z51" s="500"/>
      <c r="AA51" s="500"/>
      <c r="AB51" s="500"/>
      <c r="AC51" s="501"/>
      <c r="AD51" s="500"/>
      <c r="AE51" s="501"/>
      <c r="AF51" s="500"/>
      <c r="AG51" s="501"/>
      <c r="AH51" s="500"/>
      <c r="AI51" s="498"/>
      <c r="AJ51" s="500"/>
      <c r="AK51" s="500"/>
      <c r="AL51" s="500"/>
      <c r="AM51" s="500"/>
      <c r="AN51" s="500"/>
      <c r="AO51" s="500"/>
      <c r="AP51" s="500"/>
      <c r="AQ51" s="500"/>
      <c r="AR51" s="500"/>
      <c r="AS51" s="500"/>
      <c r="AT51" s="500"/>
      <c r="AU51" s="498"/>
      <c r="AV51" s="500"/>
      <c r="AW51" s="500"/>
      <c r="AX51" s="500"/>
      <c r="AY51" s="500"/>
      <c r="AZ51" s="500"/>
      <c r="BA51" s="500"/>
      <c r="BB51" s="500"/>
      <c r="BC51" s="500"/>
      <c r="BD51" s="500"/>
      <c r="BE51" s="500"/>
      <c r="BF51" s="500"/>
      <c r="BG51" s="500"/>
      <c r="BH51" s="500"/>
      <c r="BI51" s="500"/>
      <c r="BJ51" s="500"/>
      <c r="BK51" s="500"/>
      <c r="BL51" s="500"/>
      <c r="BM51" s="500"/>
      <c r="BN51" s="500"/>
      <c r="BO51" s="500"/>
      <c r="BP51" s="500"/>
      <c r="BQ51" s="498"/>
      <c r="BR51" s="498"/>
      <c r="BS51" s="498"/>
      <c r="BT51" s="498"/>
      <c r="BU51" s="498"/>
      <c r="BV51" s="500"/>
      <c r="BW51" s="498"/>
      <c r="BX51" s="498"/>
      <c r="BY51" s="498"/>
      <c r="BZ51" s="498"/>
      <c r="CA51" s="498"/>
      <c r="CB51" s="498"/>
      <c r="CC51" s="498"/>
      <c r="CD51" s="498"/>
      <c r="CE51" s="498"/>
      <c r="CF51" s="498"/>
      <c r="CG51" s="502"/>
      <c r="CH51" s="503"/>
      <c r="CI51" s="502"/>
      <c r="CJ51" s="502"/>
      <c r="CK51" s="502"/>
      <c r="CL51" s="500"/>
      <c r="CM51" s="500"/>
      <c r="CN51" s="500"/>
      <c r="CO51" s="500"/>
    </row>
    <row r="52">
      <c r="A52" s="496"/>
      <c r="B52" s="496"/>
      <c r="C52" s="496"/>
      <c r="D52" s="497"/>
      <c r="E52" s="498"/>
      <c r="F52" s="498"/>
      <c r="G52" s="499"/>
      <c r="H52" s="499"/>
      <c r="I52" s="498"/>
      <c r="J52" s="500"/>
      <c r="K52" s="496"/>
      <c r="L52" s="500"/>
      <c r="M52" s="496"/>
      <c r="N52" s="500"/>
      <c r="O52" s="496"/>
      <c r="P52" s="500"/>
      <c r="Q52" s="498"/>
      <c r="R52" s="500"/>
      <c r="S52" s="498"/>
      <c r="T52" s="496"/>
      <c r="U52" s="498"/>
      <c r="V52" s="496"/>
      <c r="W52" s="498"/>
      <c r="X52" s="500"/>
      <c r="Y52" s="498"/>
      <c r="Z52" s="500"/>
      <c r="AA52" s="500"/>
      <c r="AB52" s="500"/>
      <c r="AC52" s="501"/>
      <c r="AD52" s="500"/>
      <c r="AE52" s="501"/>
      <c r="AF52" s="500"/>
      <c r="AG52" s="501"/>
      <c r="AH52" s="500"/>
      <c r="AI52" s="498"/>
      <c r="AJ52" s="500"/>
      <c r="AK52" s="500"/>
      <c r="AL52" s="500"/>
      <c r="AM52" s="500"/>
      <c r="AN52" s="500"/>
      <c r="AO52" s="500"/>
      <c r="AP52" s="500"/>
      <c r="AQ52" s="500"/>
      <c r="AR52" s="500"/>
      <c r="AS52" s="500"/>
      <c r="AT52" s="500"/>
      <c r="AU52" s="498"/>
      <c r="AV52" s="500"/>
      <c r="AW52" s="500"/>
      <c r="AX52" s="500"/>
      <c r="AY52" s="500"/>
      <c r="AZ52" s="500"/>
      <c r="BA52" s="500"/>
      <c r="BB52" s="500"/>
      <c r="BC52" s="500"/>
      <c r="BD52" s="500"/>
      <c r="BE52" s="500"/>
      <c r="BF52" s="500"/>
      <c r="BG52" s="500"/>
      <c r="BH52" s="500"/>
      <c r="BI52" s="500"/>
      <c r="BJ52" s="500"/>
      <c r="BK52" s="500"/>
      <c r="BL52" s="500"/>
      <c r="BM52" s="500"/>
      <c r="BN52" s="500"/>
      <c r="BO52" s="500"/>
      <c r="BP52" s="500"/>
      <c r="BQ52" s="498"/>
      <c r="BR52" s="498"/>
      <c r="BS52" s="498"/>
      <c r="BT52" s="498"/>
      <c r="BU52" s="498"/>
      <c r="BV52" s="500"/>
      <c r="BW52" s="498"/>
      <c r="BX52" s="498"/>
      <c r="BY52" s="498"/>
      <c r="BZ52" s="498"/>
      <c r="CA52" s="498"/>
      <c r="CB52" s="498"/>
      <c r="CC52" s="498"/>
      <c r="CD52" s="498"/>
      <c r="CE52" s="498"/>
      <c r="CF52" s="498"/>
      <c r="CG52" s="502"/>
      <c r="CH52" s="503"/>
      <c r="CI52" s="502"/>
      <c r="CJ52" s="502"/>
      <c r="CK52" s="502"/>
      <c r="CL52" s="500"/>
      <c r="CM52" s="500"/>
      <c r="CN52" s="500"/>
      <c r="CO52" s="500"/>
    </row>
    <row r="53">
      <c r="A53" s="496"/>
      <c r="B53" s="496"/>
      <c r="C53" s="496"/>
      <c r="D53" s="497"/>
      <c r="E53" s="498"/>
      <c r="F53" s="498"/>
      <c r="G53" s="499"/>
      <c r="H53" s="499"/>
      <c r="I53" s="498"/>
      <c r="J53" s="500"/>
      <c r="K53" s="496"/>
      <c r="L53" s="500"/>
      <c r="M53" s="496"/>
      <c r="N53" s="500"/>
      <c r="O53" s="496"/>
      <c r="P53" s="500"/>
      <c r="Q53" s="498"/>
      <c r="R53" s="500"/>
      <c r="S53" s="498"/>
      <c r="T53" s="496"/>
      <c r="U53" s="498"/>
      <c r="V53" s="496"/>
      <c r="W53" s="498"/>
      <c r="X53" s="500"/>
      <c r="Y53" s="498"/>
      <c r="Z53" s="500"/>
      <c r="AA53" s="500"/>
      <c r="AB53" s="500"/>
      <c r="AC53" s="501"/>
      <c r="AD53" s="500"/>
      <c r="AE53" s="501"/>
      <c r="AF53" s="500"/>
      <c r="AG53" s="501"/>
      <c r="AH53" s="500"/>
      <c r="AI53" s="498"/>
      <c r="AJ53" s="500"/>
      <c r="AK53" s="500"/>
      <c r="AL53" s="500"/>
      <c r="AM53" s="500"/>
      <c r="AN53" s="500"/>
      <c r="AO53" s="500"/>
      <c r="AP53" s="500"/>
      <c r="AQ53" s="500"/>
      <c r="AR53" s="500"/>
      <c r="AS53" s="500"/>
      <c r="AT53" s="500"/>
      <c r="AU53" s="498"/>
      <c r="AV53" s="500"/>
      <c r="AW53" s="500"/>
      <c r="AX53" s="500"/>
      <c r="AY53" s="500"/>
      <c r="AZ53" s="500"/>
      <c r="BA53" s="500"/>
      <c r="BB53" s="500"/>
      <c r="BC53" s="500"/>
      <c r="BD53" s="500"/>
      <c r="BE53" s="500"/>
      <c r="BF53" s="500"/>
      <c r="BG53" s="500"/>
      <c r="BH53" s="500"/>
      <c r="BI53" s="500"/>
      <c r="BJ53" s="500"/>
      <c r="BK53" s="500"/>
      <c r="BL53" s="500"/>
      <c r="BM53" s="500"/>
      <c r="BN53" s="500"/>
      <c r="BO53" s="500"/>
      <c r="BP53" s="500"/>
      <c r="BQ53" s="498"/>
      <c r="BR53" s="498"/>
      <c r="BS53" s="498"/>
      <c r="BT53" s="498"/>
      <c r="BU53" s="498"/>
      <c r="BV53" s="500"/>
      <c r="BW53" s="498"/>
      <c r="BX53" s="498"/>
      <c r="BY53" s="498"/>
      <c r="BZ53" s="498"/>
      <c r="CA53" s="498"/>
      <c r="CB53" s="498"/>
      <c r="CC53" s="498"/>
      <c r="CD53" s="498"/>
      <c r="CE53" s="498"/>
      <c r="CF53" s="498"/>
      <c r="CG53" s="502"/>
      <c r="CH53" s="503"/>
      <c r="CI53" s="502"/>
      <c r="CJ53" s="502"/>
      <c r="CK53" s="502"/>
      <c r="CL53" s="500"/>
      <c r="CM53" s="500"/>
      <c r="CN53" s="500"/>
      <c r="CO53" s="500"/>
    </row>
    <row r="54">
      <c r="A54" s="496"/>
      <c r="B54" s="496"/>
      <c r="C54" s="496"/>
      <c r="D54" s="497"/>
      <c r="E54" s="498"/>
      <c r="F54" s="498"/>
      <c r="G54" s="499"/>
      <c r="H54" s="499"/>
      <c r="I54" s="498"/>
      <c r="J54" s="500"/>
      <c r="K54" s="496"/>
      <c r="L54" s="500"/>
      <c r="M54" s="496"/>
      <c r="N54" s="500"/>
      <c r="O54" s="496"/>
      <c r="P54" s="500"/>
      <c r="Q54" s="498"/>
      <c r="R54" s="500"/>
      <c r="S54" s="498"/>
      <c r="T54" s="496"/>
      <c r="U54" s="498"/>
      <c r="V54" s="496"/>
      <c r="W54" s="498"/>
      <c r="X54" s="500"/>
      <c r="Y54" s="498"/>
      <c r="Z54" s="500"/>
      <c r="AA54" s="500"/>
      <c r="AB54" s="500"/>
      <c r="AC54" s="501"/>
      <c r="AD54" s="500"/>
      <c r="AE54" s="501"/>
      <c r="AF54" s="500"/>
      <c r="AG54" s="501"/>
      <c r="AH54" s="500"/>
      <c r="AI54" s="498"/>
      <c r="AJ54" s="500"/>
      <c r="AK54" s="500"/>
      <c r="AL54" s="500"/>
      <c r="AM54" s="500"/>
      <c r="AN54" s="500"/>
      <c r="AO54" s="500"/>
      <c r="AP54" s="500"/>
      <c r="AQ54" s="500"/>
      <c r="AR54" s="500"/>
      <c r="AS54" s="500"/>
      <c r="AT54" s="500"/>
      <c r="AU54" s="498"/>
      <c r="AV54" s="500"/>
      <c r="AW54" s="500"/>
      <c r="AX54" s="500"/>
      <c r="AY54" s="500"/>
      <c r="AZ54" s="500"/>
      <c r="BA54" s="500"/>
      <c r="BB54" s="500"/>
      <c r="BC54" s="500"/>
      <c r="BD54" s="500"/>
      <c r="BE54" s="500"/>
      <c r="BF54" s="500"/>
      <c r="BG54" s="500"/>
      <c r="BH54" s="500"/>
      <c r="BI54" s="500"/>
      <c r="BJ54" s="500"/>
      <c r="BK54" s="500"/>
      <c r="BL54" s="500"/>
      <c r="BM54" s="500"/>
      <c r="BN54" s="500"/>
      <c r="BO54" s="500"/>
      <c r="BP54" s="500"/>
      <c r="BQ54" s="498"/>
      <c r="BR54" s="498"/>
      <c r="BS54" s="498"/>
      <c r="BT54" s="498"/>
      <c r="BU54" s="498"/>
      <c r="BV54" s="500"/>
      <c r="BW54" s="498"/>
      <c r="BX54" s="498"/>
      <c r="BY54" s="498"/>
      <c r="BZ54" s="498"/>
      <c r="CA54" s="498"/>
      <c r="CB54" s="498"/>
      <c r="CC54" s="498"/>
      <c r="CD54" s="498"/>
      <c r="CE54" s="498"/>
      <c r="CF54" s="498"/>
      <c r="CG54" s="502"/>
      <c r="CH54" s="503"/>
      <c r="CI54" s="502"/>
      <c r="CJ54" s="502"/>
      <c r="CK54" s="502"/>
      <c r="CL54" s="500"/>
      <c r="CM54" s="500"/>
      <c r="CN54" s="500"/>
      <c r="CO54" s="500"/>
    </row>
    <row r="55">
      <c r="A55" s="496"/>
      <c r="B55" s="496"/>
      <c r="C55" s="496"/>
      <c r="D55" s="497"/>
      <c r="E55" s="498"/>
      <c r="F55" s="498"/>
      <c r="G55" s="499"/>
      <c r="H55" s="499"/>
      <c r="I55" s="498"/>
      <c r="J55" s="500"/>
      <c r="K55" s="496"/>
      <c r="L55" s="500"/>
      <c r="M55" s="496"/>
      <c r="N55" s="500"/>
      <c r="O55" s="496"/>
      <c r="P55" s="500"/>
      <c r="Q55" s="498"/>
      <c r="R55" s="500"/>
      <c r="S55" s="498"/>
      <c r="T55" s="496"/>
      <c r="U55" s="498"/>
      <c r="V55" s="496"/>
      <c r="W55" s="498"/>
      <c r="X55" s="500"/>
      <c r="Y55" s="498"/>
      <c r="Z55" s="500"/>
      <c r="AA55" s="500"/>
      <c r="AB55" s="500"/>
      <c r="AC55" s="501"/>
      <c r="AD55" s="500"/>
      <c r="AE55" s="501"/>
      <c r="AF55" s="500"/>
      <c r="AG55" s="501"/>
      <c r="AH55" s="500"/>
      <c r="AI55" s="498"/>
      <c r="AJ55" s="500"/>
      <c r="AK55" s="500"/>
      <c r="AL55" s="500"/>
      <c r="AM55" s="500"/>
      <c r="AN55" s="500"/>
      <c r="AO55" s="500"/>
      <c r="AP55" s="500"/>
      <c r="AQ55" s="500"/>
      <c r="AR55" s="500"/>
      <c r="AS55" s="500"/>
      <c r="AT55" s="500"/>
      <c r="AU55" s="498"/>
      <c r="AV55" s="500"/>
      <c r="AW55" s="500"/>
      <c r="AX55" s="500"/>
      <c r="AY55" s="500"/>
      <c r="AZ55" s="500"/>
      <c r="BA55" s="500"/>
      <c r="BB55" s="500"/>
      <c r="BC55" s="500"/>
      <c r="BD55" s="500"/>
      <c r="BE55" s="500"/>
      <c r="BF55" s="500"/>
      <c r="BG55" s="500"/>
      <c r="BH55" s="500"/>
      <c r="BI55" s="500"/>
      <c r="BJ55" s="500"/>
      <c r="BK55" s="500"/>
      <c r="BL55" s="500"/>
      <c r="BM55" s="500"/>
      <c r="BN55" s="500"/>
      <c r="BO55" s="500"/>
      <c r="BP55" s="500"/>
      <c r="BQ55" s="498"/>
      <c r="BR55" s="498"/>
      <c r="BS55" s="498"/>
      <c r="BT55" s="498"/>
      <c r="BU55" s="498"/>
      <c r="BV55" s="500"/>
      <c r="BW55" s="498"/>
      <c r="BX55" s="498"/>
      <c r="BY55" s="498"/>
      <c r="BZ55" s="498"/>
      <c r="CA55" s="498"/>
      <c r="CB55" s="498"/>
      <c r="CC55" s="498"/>
      <c r="CD55" s="498"/>
      <c r="CE55" s="498"/>
      <c r="CF55" s="498"/>
      <c r="CG55" s="502"/>
      <c r="CH55" s="503"/>
      <c r="CI55" s="502"/>
      <c r="CJ55" s="502"/>
      <c r="CK55" s="502"/>
      <c r="CL55" s="500"/>
      <c r="CM55" s="500"/>
      <c r="CN55" s="500"/>
      <c r="CO55" s="500"/>
    </row>
    <row r="56">
      <c r="A56" s="496"/>
      <c r="B56" s="496"/>
      <c r="C56" s="496"/>
      <c r="D56" s="497"/>
      <c r="E56" s="498"/>
      <c r="F56" s="498"/>
      <c r="G56" s="499"/>
      <c r="H56" s="499"/>
      <c r="I56" s="498"/>
      <c r="J56" s="500"/>
      <c r="K56" s="496"/>
      <c r="L56" s="500"/>
      <c r="M56" s="496"/>
      <c r="N56" s="500"/>
      <c r="O56" s="496"/>
      <c r="P56" s="500"/>
      <c r="Q56" s="498"/>
      <c r="R56" s="500"/>
      <c r="S56" s="498"/>
      <c r="T56" s="496"/>
      <c r="U56" s="498"/>
      <c r="V56" s="496"/>
      <c r="W56" s="498"/>
      <c r="X56" s="500"/>
      <c r="Y56" s="498"/>
      <c r="Z56" s="500"/>
      <c r="AA56" s="500"/>
      <c r="AB56" s="500"/>
      <c r="AC56" s="501"/>
      <c r="AD56" s="500"/>
      <c r="AE56" s="501"/>
      <c r="AF56" s="500"/>
      <c r="AG56" s="501"/>
      <c r="AH56" s="500"/>
      <c r="AI56" s="498"/>
      <c r="AJ56" s="500"/>
      <c r="AK56" s="500"/>
      <c r="AL56" s="500"/>
      <c r="AM56" s="500"/>
      <c r="AN56" s="500"/>
      <c r="AO56" s="500"/>
      <c r="AP56" s="500"/>
      <c r="AQ56" s="500"/>
      <c r="AR56" s="500"/>
      <c r="AS56" s="500"/>
      <c r="AT56" s="500"/>
      <c r="AU56" s="498"/>
      <c r="AV56" s="500"/>
      <c r="AW56" s="500"/>
      <c r="AX56" s="500"/>
      <c r="AY56" s="500"/>
      <c r="AZ56" s="500"/>
      <c r="BA56" s="500"/>
      <c r="BB56" s="500"/>
      <c r="BC56" s="500"/>
      <c r="BD56" s="500"/>
      <c r="BE56" s="500"/>
      <c r="BF56" s="500"/>
      <c r="BG56" s="500"/>
      <c r="BH56" s="500"/>
      <c r="BI56" s="500"/>
      <c r="BJ56" s="500"/>
      <c r="BK56" s="500"/>
      <c r="BL56" s="500"/>
      <c r="BM56" s="500"/>
      <c r="BN56" s="500"/>
      <c r="BO56" s="500"/>
      <c r="BP56" s="500"/>
      <c r="BQ56" s="498"/>
      <c r="BR56" s="498"/>
      <c r="BS56" s="498"/>
      <c r="BT56" s="498"/>
      <c r="BU56" s="498"/>
      <c r="BV56" s="500"/>
      <c r="BW56" s="498"/>
      <c r="BX56" s="498"/>
      <c r="BY56" s="498"/>
      <c r="BZ56" s="498"/>
      <c r="CA56" s="498"/>
      <c r="CB56" s="498"/>
      <c r="CC56" s="498"/>
      <c r="CD56" s="498"/>
      <c r="CE56" s="498"/>
      <c r="CF56" s="498"/>
      <c r="CG56" s="502"/>
      <c r="CH56" s="503"/>
      <c r="CI56" s="502"/>
      <c r="CJ56" s="502"/>
      <c r="CK56" s="502"/>
      <c r="CL56" s="500"/>
      <c r="CM56" s="500"/>
      <c r="CN56" s="500"/>
      <c r="CO56" s="500"/>
    </row>
    <row r="57">
      <c r="A57" s="496"/>
      <c r="B57" s="496"/>
      <c r="C57" s="496"/>
      <c r="D57" s="497"/>
      <c r="E57" s="498"/>
      <c r="F57" s="498"/>
      <c r="G57" s="499"/>
      <c r="H57" s="499"/>
      <c r="I57" s="498"/>
      <c r="J57" s="500"/>
      <c r="K57" s="496"/>
      <c r="L57" s="500"/>
      <c r="M57" s="496"/>
      <c r="N57" s="500"/>
      <c r="O57" s="496"/>
      <c r="P57" s="500"/>
      <c r="Q57" s="498"/>
      <c r="R57" s="500"/>
      <c r="S57" s="498"/>
      <c r="T57" s="496"/>
      <c r="U57" s="498"/>
      <c r="V57" s="496"/>
      <c r="W57" s="498"/>
      <c r="X57" s="500"/>
      <c r="Y57" s="498"/>
      <c r="Z57" s="500"/>
      <c r="AA57" s="500"/>
      <c r="AB57" s="500"/>
      <c r="AC57" s="501"/>
      <c r="AD57" s="500"/>
      <c r="AE57" s="501"/>
      <c r="AF57" s="500"/>
      <c r="AG57" s="501"/>
      <c r="AH57" s="500"/>
      <c r="AI57" s="498"/>
      <c r="AJ57" s="500"/>
      <c r="AK57" s="500"/>
      <c r="AL57" s="500"/>
      <c r="AM57" s="500"/>
      <c r="AN57" s="500"/>
      <c r="AO57" s="500"/>
      <c r="AP57" s="500"/>
      <c r="AQ57" s="500"/>
      <c r="AR57" s="500"/>
      <c r="AS57" s="500"/>
      <c r="AT57" s="500"/>
      <c r="AU57" s="498"/>
      <c r="AV57" s="500"/>
      <c r="AW57" s="500"/>
      <c r="AX57" s="500"/>
      <c r="AY57" s="500"/>
      <c r="AZ57" s="500"/>
      <c r="BA57" s="500"/>
      <c r="BB57" s="500"/>
      <c r="BC57" s="500"/>
      <c r="BD57" s="500"/>
      <c r="BE57" s="500"/>
      <c r="BF57" s="500"/>
      <c r="BG57" s="500"/>
      <c r="BH57" s="500"/>
      <c r="BI57" s="500"/>
      <c r="BJ57" s="500"/>
      <c r="BK57" s="500"/>
      <c r="BL57" s="500"/>
      <c r="BM57" s="500"/>
      <c r="BN57" s="500"/>
      <c r="BO57" s="500"/>
      <c r="BP57" s="500"/>
      <c r="BQ57" s="498"/>
      <c r="BR57" s="498"/>
      <c r="BS57" s="498"/>
      <c r="BT57" s="498"/>
      <c r="BU57" s="498"/>
      <c r="BV57" s="500"/>
      <c r="BW57" s="498"/>
      <c r="BX57" s="498"/>
      <c r="BY57" s="498"/>
      <c r="BZ57" s="498"/>
      <c r="CA57" s="498"/>
      <c r="CB57" s="498"/>
      <c r="CC57" s="498"/>
      <c r="CD57" s="498"/>
      <c r="CE57" s="498"/>
      <c r="CF57" s="498"/>
      <c r="CG57" s="502"/>
      <c r="CH57" s="503"/>
      <c r="CI57" s="502"/>
      <c r="CJ57" s="502"/>
      <c r="CK57" s="502"/>
      <c r="CL57" s="500"/>
      <c r="CM57" s="500"/>
      <c r="CN57" s="500"/>
      <c r="CO57" s="500"/>
    </row>
    <row r="58">
      <c r="A58" s="496"/>
      <c r="B58" s="496"/>
      <c r="C58" s="496"/>
      <c r="D58" s="497"/>
      <c r="E58" s="498"/>
      <c r="F58" s="498"/>
      <c r="G58" s="499"/>
      <c r="H58" s="499"/>
      <c r="I58" s="498"/>
      <c r="J58" s="500"/>
      <c r="K58" s="496"/>
      <c r="L58" s="500"/>
      <c r="M58" s="496"/>
      <c r="N58" s="500"/>
      <c r="O58" s="496"/>
      <c r="P58" s="500"/>
      <c r="Q58" s="498"/>
      <c r="R58" s="500"/>
      <c r="S58" s="498"/>
      <c r="T58" s="496"/>
      <c r="U58" s="498"/>
      <c r="V58" s="496"/>
      <c r="W58" s="498"/>
      <c r="X58" s="500"/>
      <c r="Y58" s="498"/>
      <c r="Z58" s="500"/>
      <c r="AA58" s="500"/>
      <c r="AB58" s="500"/>
      <c r="AC58" s="501"/>
      <c r="AD58" s="500"/>
      <c r="AE58" s="501"/>
      <c r="AF58" s="500"/>
      <c r="AG58" s="501"/>
      <c r="AH58" s="500"/>
      <c r="AI58" s="498"/>
      <c r="AJ58" s="500"/>
      <c r="AK58" s="500"/>
      <c r="AL58" s="500"/>
      <c r="AM58" s="500"/>
      <c r="AN58" s="500"/>
      <c r="AO58" s="500"/>
      <c r="AP58" s="500"/>
      <c r="AQ58" s="500"/>
      <c r="AR58" s="500"/>
      <c r="AS58" s="500"/>
      <c r="AT58" s="500"/>
      <c r="AU58" s="498"/>
      <c r="AV58" s="500"/>
      <c r="AW58" s="500"/>
      <c r="AX58" s="500"/>
      <c r="AY58" s="500"/>
      <c r="AZ58" s="500"/>
      <c r="BA58" s="500"/>
      <c r="BB58" s="500"/>
      <c r="BC58" s="500"/>
      <c r="BD58" s="500"/>
      <c r="BE58" s="500"/>
      <c r="BF58" s="500"/>
      <c r="BG58" s="500"/>
      <c r="BH58" s="500"/>
      <c r="BI58" s="500"/>
      <c r="BJ58" s="500"/>
      <c r="BK58" s="500"/>
      <c r="BL58" s="500"/>
      <c r="BM58" s="500"/>
      <c r="BN58" s="500"/>
      <c r="BO58" s="500"/>
      <c r="BP58" s="500"/>
      <c r="BQ58" s="498"/>
      <c r="BR58" s="498"/>
      <c r="BS58" s="498"/>
      <c r="BT58" s="498"/>
      <c r="BU58" s="498"/>
      <c r="BV58" s="500"/>
      <c r="BW58" s="498"/>
      <c r="BX58" s="498"/>
      <c r="BY58" s="498"/>
      <c r="BZ58" s="498"/>
      <c r="CA58" s="498"/>
      <c r="CB58" s="498"/>
      <c r="CC58" s="498"/>
      <c r="CD58" s="498"/>
      <c r="CE58" s="498"/>
      <c r="CF58" s="498"/>
      <c r="CG58" s="502"/>
      <c r="CH58" s="503"/>
      <c r="CI58" s="502"/>
      <c r="CJ58" s="502"/>
      <c r="CK58" s="502"/>
      <c r="CL58" s="500"/>
      <c r="CM58" s="500"/>
      <c r="CN58" s="500"/>
      <c r="CO58" s="500"/>
    </row>
    <row r="59">
      <c r="A59" s="496"/>
      <c r="B59" s="496"/>
      <c r="C59" s="496"/>
      <c r="D59" s="497"/>
      <c r="E59" s="498"/>
      <c r="F59" s="498"/>
      <c r="G59" s="499"/>
      <c r="H59" s="499"/>
      <c r="I59" s="498"/>
      <c r="J59" s="500"/>
      <c r="K59" s="496"/>
      <c r="L59" s="500"/>
      <c r="M59" s="496"/>
      <c r="N59" s="500"/>
      <c r="O59" s="496"/>
      <c r="P59" s="500"/>
      <c r="Q59" s="498"/>
      <c r="R59" s="500"/>
      <c r="S59" s="498"/>
      <c r="T59" s="496"/>
      <c r="U59" s="498"/>
      <c r="V59" s="496"/>
      <c r="W59" s="498"/>
      <c r="X59" s="500"/>
      <c r="Y59" s="498"/>
      <c r="Z59" s="500"/>
      <c r="AA59" s="500"/>
      <c r="AB59" s="500"/>
      <c r="AC59" s="501"/>
      <c r="AD59" s="500"/>
      <c r="AE59" s="501"/>
      <c r="AF59" s="500"/>
      <c r="AG59" s="501"/>
      <c r="AH59" s="500"/>
      <c r="AI59" s="498"/>
      <c r="AJ59" s="500"/>
      <c r="AK59" s="500"/>
      <c r="AL59" s="500"/>
      <c r="AM59" s="500"/>
      <c r="AN59" s="500"/>
      <c r="AO59" s="500"/>
      <c r="AP59" s="500"/>
      <c r="AQ59" s="500"/>
      <c r="AR59" s="500"/>
      <c r="AS59" s="500"/>
      <c r="AT59" s="500"/>
      <c r="AU59" s="498"/>
      <c r="AV59" s="500"/>
      <c r="AW59" s="500"/>
      <c r="AX59" s="500"/>
      <c r="AY59" s="500"/>
      <c r="AZ59" s="500"/>
      <c r="BA59" s="500"/>
      <c r="BB59" s="500"/>
      <c r="BC59" s="500"/>
      <c r="BD59" s="500"/>
      <c r="BE59" s="500"/>
      <c r="BF59" s="500"/>
      <c r="BG59" s="500"/>
      <c r="BH59" s="500"/>
      <c r="BI59" s="500"/>
      <c r="BJ59" s="500"/>
      <c r="BK59" s="500"/>
      <c r="BL59" s="500"/>
      <c r="BM59" s="500"/>
      <c r="BN59" s="500"/>
      <c r="BO59" s="500"/>
      <c r="BP59" s="500"/>
      <c r="BQ59" s="498"/>
      <c r="BR59" s="498"/>
      <c r="BS59" s="498"/>
      <c r="BT59" s="498"/>
      <c r="BU59" s="498"/>
      <c r="BV59" s="500"/>
      <c r="BW59" s="498"/>
      <c r="BX59" s="498"/>
      <c r="BY59" s="498"/>
      <c r="BZ59" s="498"/>
      <c r="CA59" s="498"/>
      <c r="CB59" s="498"/>
      <c r="CC59" s="498"/>
      <c r="CD59" s="498"/>
      <c r="CE59" s="498"/>
      <c r="CF59" s="498"/>
      <c r="CG59" s="502"/>
      <c r="CH59" s="503"/>
      <c r="CI59" s="502"/>
      <c r="CJ59" s="502"/>
      <c r="CK59" s="502"/>
      <c r="CL59" s="500"/>
      <c r="CM59" s="500"/>
      <c r="CN59" s="500"/>
      <c r="CO59" s="500"/>
    </row>
    <row r="60">
      <c r="A60" s="496"/>
      <c r="B60" s="496"/>
      <c r="C60" s="496"/>
      <c r="D60" s="497"/>
      <c r="E60" s="498"/>
      <c r="F60" s="498"/>
      <c r="G60" s="499"/>
      <c r="H60" s="499"/>
      <c r="I60" s="498"/>
      <c r="J60" s="500"/>
      <c r="K60" s="496"/>
      <c r="L60" s="500"/>
      <c r="M60" s="496"/>
      <c r="N60" s="500"/>
      <c r="O60" s="496"/>
      <c r="P60" s="500"/>
      <c r="Q60" s="498"/>
      <c r="R60" s="500"/>
      <c r="S60" s="498"/>
      <c r="T60" s="496"/>
      <c r="U60" s="498"/>
      <c r="V60" s="496"/>
      <c r="W60" s="498"/>
      <c r="X60" s="500"/>
      <c r="Y60" s="498"/>
      <c r="Z60" s="500"/>
      <c r="AA60" s="500"/>
      <c r="AB60" s="500"/>
      <c r="AC60" s="501"/>
      <c r="AD60" s="500"/>
      <c r="AE60" s="501"/>
      <c r="AF60" s="500"/>
      <c r="AG60" s="501"/>
      <c r="AH60" s="500"/>
      <c r="AI60" s="498"/>
      <c r="AJ60" s="500"/>
      <c r="AK60" s="500"/>
      <c r="AL60" s="500"/>
      <c r="AM60" s="500"/>
      <c r="AN60" s="500"/>
      <c r="AO60" s="500"/>
      <c r="AP60" s="500"/>
      <c r="AQ60" s="500"/>
      <c r="AR60" s="500"/>
      <c r="AS60" s="500"/>
      <c r="AT60" s="500"/>
      <c r="AU60" s="498"/>
      <c r="AV60" s="500"/>
      <c r="AW60" s="500"/>
      <c r="AX60" s="500"/>
      <c r="AY60" s="500"/>
      <c r="AZ60" s="500"/>
      <c r="BA60" s="500"/>
      <c r="BB60" s="500"/>
      <c r="BC60" s="500"/>
      <c r="BD60" s="500"/>
      <c r="BE60" s="500"/>
      <c r="BF60" s="500"/>
      <c r="BG60" s="500"/>
      <c r="BH60" s="500"/>
      <c r="BI60" s="500"/>
      <c r="BJ60" s="500"/>
      <c r="BK60" s="500"/>
      <c r="BL60" s="500"/>
      <c r="BM60" s="500"/>
      <c r="BN60" s="500"/>
      <c r="BO60" s="500"/>
      <c r="BP60" s="500"/>
      <c r="BQ60" s="498"/>
      <c r="BR60" s="498"/>
      <c r="BS60" s="498"/>
      <c r="BT60" s="498"/>
      <c r="BU60" s="498"/>
      <c r="BV60" s="500"/>
      <c r="BW60" s="498"/>
      <c r="BX60" s="498"/>
      <c r="BY60" s="498"/>
      <c r="BZ60" s="498"/>
      <c r="CA60" s="498"/>
      <c r="CB60" s="498"/>
      <c r="CC60" s="498"/>
      <c r="CD60" s="498"/>
      <c r="CE60" s="498"/>
      <c r="CF60" s="498"/>
      <c r="CG60" s="502"/>
      <c r="CH60" s="503"/>
      <c r="CI60" s="502"/>
      <c r="CJ60" s="502"/>
      <c r="CK60" s="502"/>
      <c r="CL60" s="500"/>
      <c r="CM60" s="500"/>
      <c r="CN60" s="500"/>
      <c r="CO60" s="500"/>
    </row>
    <row r="61">
      <c r="A61" s="496"/>
      <c r="B61" s="496"/>
      <c r="C61" s="496"/>
      <c r="D61" s="497"/>
      <c r="E61" s="498"/>
      <c r="F61" s="498"/>
      <c r="G61" s="499"/>
      <c r="H61" s="499"/>
      <c r="I61" s="498"/>
      <c r="J61" s="500"/>
      <c r="K61" s="496"/>
      <c r="L61" s="500"/>
      <c r="M61" s="496"/>
      <c r="N61" s="500"/>
      <c r="O61" s="496"/>
      <c r="P61" s="500"/>
      <c r="Q61" s="498"/>
      <c r="R61" s="500"/>
      <c r="S61" s="498"/>
      <c r="T61" s="496"/>
      <c r="U61" s="498"/>
      <c r="V61" s="496"/>
      <c r="W61" s="498"/>
      <c r="X61" s="500"/>
      <c r="Y61" s="498"/>
      <c r="Z61" s="500"/>
      <c r="AA61" s="500"/>
      <c r="AB61" s="500"/>
      <c r="AC61" s="501"/>
      <c r="AD61" s="500"/>
      <c r="AE61" s="501"/>
      <c r="AF61" s="500"/>
      <c r="AG61" s="501"/>
      <c r="AH61" s="500"/>
      <c r="AI61" s="498"/>
      <c r="AJ61" s="500"/>
      <c r="AK61" s="500"/>
      <c r="AL61" s="500"/>
      <c r="AM61" s="500"/>
      <c r="AN61" s="500"/>
      <c r="AO61" s="500"/>
      <c r="AP61" s="500"/>
      <c r="AQ61" s="500"/>
      <c r="AR61" s="500"/>
      <c r="AS61" s="500"/>
      <c r="AT61" s="500"/>
      <c r="AU61" s="498"/>
      <c r="AV61" s="500"/>
      <c r="AW61" s="500"/>
      <c r="AX61" s="500"/>
      <c r="AY61" s="500"/>
      <c r="AZ61" s="500"/>
      <c r="BA61" s="500"/>
      <c r="BB61" s="500"/>
      <c r="BC61" s="500"/>
      <c r="BD61" s="500"/>
      <c r="BE61" s="500"/>
      <c r="BF61" s="500"/>
      <c r="BG61" s="500"/>
      <c r="BH61" s="500"/>
      <c r="BI61" s="500"/>
      <c r="BJ61" s="500"/>
      <c r="BK61" s="500"/>
      <c r="BL61" s="500"/>
      <c r="BM61" s="500"/>
      <c r="BN61" s="500"/>
      <c r="BO61" s="500"/>
      <c r="BP61" s="500"/>
      <c r="BQ61" s="498"/>
      <c r="BR61" s="498"/>
      <c r="BS61" s="498"/>
      <c r="BT61" s="498"/>
      <c r="BU61" s="498"/>
      <c r="BV61" s="500"/>
      <c r="BW61" s="498"/>
      <c r="BX61" s="498"/>
      <c r="BY61" s="498"/>
      <c r="BZ61" s="498"/>
      <c r="CA61" s="498"/>
      <c r="CB61" s="498"/>
      <c r="CC61" s="498"/>
      <c r="CD61" s="498"/>
      <c r="CE61" s="498"/>
      <c r="CF61" s="498"/>
      <c r="CG61" s="502"/>
      <c r="CH61" s="503"/>
      <c r="CI61" s="502"/>
      <c r="CJ61" s="502"/>
      <c r="CK61" s="502"/>
      <c r="CL61" s="500"/>
      <c r="CM61" s="500"/>
      <c r="CN61" s="500"/>
      <c r="CO61" s="500"/>
    </row>
    <row r="62">
      <c r="A62" s="496"/>
      <c r="B62" s="496"/>
      <c r="C62" s="496"/>
      <c r="D62" s="497"/>
      <c r="E62" s="498"/>
      <c r="F62" s="498"/>
      <c r="G62" s="499"/>
      <c r="H62" s="499"/>
      <c r="I62" s="498"/>
      <c r="J62" s="500"/>
      <c r="K62" s="496"/>
      <c r="L62" s="500"/>
      <c r="M62" s="496"/>
      <c r="N62" s="500"/>
      <c r="O62" s="496"/>
      <c r="P62" s="500"/>
      <c r="Q62" s="498"/>
      <c r="R62" s="500"/>
      <c r="S62" s="498"/>
      <c r="T62" s="496"/>
      <c r="U62" s="498"/>
      <c r="V62" s="496"/>
      <c r="W62" s="498"/>
      <c r="X62" s="500"/>
      <c r="Y62" s="498"/>
      <c r="Z62" s="500"/>
      <c r="AA62" s="500"/>
      <c r="AB62" s="500"/>
      <c r="AC62" s="501"/>
      <c r="AD62" s="500"/>
      <c r="AE62" s="501"/>
      <c r="AF62" s="500"/>
      <c r="AG62" s="501"/>
      <c r="AH62" s="500"/>
      <c r="AI62" s="498"/>
      <c r="AJ62" s="500"/>
      <c r="AK62" s="500"/>
      <c r="AL62" s="500"/>
      <c r="AM62" s="500"/>
      <c r="AN62" s="500"/>
      <c r="AO62" s="500"/>
      <c r="AP62" s="500"/>
      <c r="AQ62" s="500"/>
      <c r="AR62" s="500"/>
      <c r="AS62" s="500"/>
      <c r="AT62" s="500"/>
      <c r="AU62" s="498"/>
      <c r="AV62" s="500"/>
      <c r="AW62" s="500"/>
      <c r="AX62" s="500"/>
      <c r="AY62" s="500"/>
      <c r="AZ62" s="500"/>
      <c r="BA62" s="500"/>
      <c r="BB62" s="500"/>
      <c r="BC62" s="500"/>
      <c r="BD62" s="500"/>
      <c r="BE62" s="500"/>
      <c r="BF62" s="500"/>
      <c r="BG62" s="500"/>
      <c r="BH62" s="500"/>
      <c r="BI62" s="500"/>
      <c r="BJ62" s="500"/>
      <c r="BK62" s="500"/>
      <c r="BL62" s="500"/>
      <c r="BM62" s="500"/>
      <c r="BN62" s="500"/>
      <c r="BO62" s="500"/>
      <c r="BP62" s="500"/>
      <c r="BQ62" s="498"/>
      <c r="BR62" s="498"/>
      <c r="BS62" s="498"/>
      <c r="BT62" s="498"/>
      <c r="BU62" s="498"/>
      <c r="BV62" s="500"/>
      <c r="BW62" s="498"/>
      <c r="BX62" s="498"/>
      <c r="BY62" s="498"/>
      <c r="BZ62" s="498"/>
      <c r="CA62" s="498"/>
      <c r="CB62" s="498"/>
      <c r="CC62" s="498"/>
      <c r="CD62" s="498"/>
      <c r="CE62" s="498"/>
      <c r="CF62" s="498"/>
      <c r="CG62" s="502"/>
      <c r="CH62" s="503"/>
      <c r="CI62" s="502"/>
      <c r="CJ62" s="502"/>
      <c r="CK62" s="502"/>
      <c r="CL62" s="500"/>
      <c r="CM62" s="500"/>
      <c r="CN62" s="500"/>
      <c r="CO62" s="500"/>
    </row>
    <row r="63">
      <c r="A63" s="496"/>
      <c r="B63" s="496"/>
      <c r="C63" s="496"/>
      <c r="D63" s="497"/>
      <c r="E63" s="498"/>
      <c r="F63" s="498"/>
      <c r="G63" s="499"/>
      <c r="H63" s="499"/>
      <c r="I63" s="498"/>
      <c r="J63" s="500"/>
      <c r="K63" s="496"/>
      <c r="L63" s="500"/>
      <c r="M63" s="496"/>
      <c r="N63" s="500"/>
      <c r="O63" s="496"/>
      <c r="P63" s="500"/>
      <c r="Q63" s="498"/>
      <c r="R63" s="500"/>
      <c r="S63" s="498"/>
      <c r="T63" s="496"/>
      <c r="U63" s="498"/>
      <c r="V63" s="496"/>
      <c r="W63" s="498"/>
      <c r="X63" s="500"/>
      <c r="Y63" s="498"/>
      <c r="Z63" s="500"/>
      <c r="AA63" s="500"/>
      <c r="AB63" s="500"/>
      <c r="AC63" s="501"/>
      <c r="AD63" s="500"/>
      <c r="AE63" s="501"/>
      <c r="AF63" s="500"/>
      <c r="AG63" s="501"/>
      <c r="AH63" s="500"/>
      <c r="AI63" s="498"/>
      <c r="AJ63" s="500"/>
      <c r="AK63" s="500"/>
      <c r="AL63" s="500"/>
      <c r="AM63" s="500"/>
      <c r="AN63" s="500"/>
      <c r="AO63" s="500"/>
      <c r="AP63" s="500"/>
      <c r="AQ63" s="500"/>
      <c r="AR63" s="500"/>
      <c r="AS63" s="500"/>
      <c r="AT63" s="500"/>
      <c r="AU63" s="498"/>
      <c r="AV63" s="500"/>
      <c r="AW63" s="500"/>
      <c r="AX63" s="500"/>
      <c r="AY63" s="500"/>
      <c r="AZ63" s="500"/>
      <c r="BA63" s="500"/>
      <c r="BB63" s="500"/>
      <c r="BC63" s="500"/>
      <c r="BD63" s="500"/>
      <c r="BE63" s="500"/>
      <c r="BF63" s="500"/>
      <c r="BG63" s="500"/>
      <c r="BH63" s="500"/>
      <c r="BI63" s="500"/>
      <c r="BJ63" s="500"/>
      <c r="BK63" s="500"/>
      <c r="BL63" s="500"/>
      <c r="BM63" s="500"/>
      <c r="BN63" s="500"/>
      <c r="BO63" s="500"/>
      <c r="BP63" s="500"/>
      <c r="BQ63" s="498"/>
      <c r="BR63" s="498"/>
      <c r="BS63" s="498"/>
      <c r="BT63" s="498"/>
      <c r="BU63" s="498"/>
      <c r="BV63" s="500"/>
      <c r="BW63" s="498"/>
      <c r="BX63" s="498"/>
      <c r="BY63" s="498"/>
      <c r="BZ63" s="498"/>
      <c r="CA63" s="498"/>
      <c r="CB63" s="498"/>
      <c r="CC63" s="498"/>
      <c r="CD63" s="498"/>
      <c r="CE63" s="498"/>
      <c r="CF63" s="498"/>
      <c r="CG63" s="502"/>
      <c r="CH63" s="503"/>
      <c r="CI63" s="502"/>
      <c r="CJ63" s="502"/>
      <c r="CK63" s="502"/>
      <c r="CL63" s="500"/>
      <c r="CM63" s="500"/>
      <c r="CN63" s="500"/>
      <c r="CO63" s="500"/>
    </row>
    <row r="64">
      <c r="A64" s="496"/>
      <c r="B64" s="496"/>
      <c r="C64" s="496"/>
      <c r="D64" s="497"/>
      <c r="E64" s="498"/>
      <c r="F64" s="498"/>
      <c r="G64" s="499"/>
      <c r="H64" s="499"/>
      <c r="I64" s="498"/>
      <c r="J64" s="500"/>
      <c r="K64" s="496"/>
      <c r="L64" s="500"/>
      <c r="M64" s="496"/>
      <c r="N64" s="500"/>
      <c r="O64" s="496"/>
      <c r="P64" s="500"/>
      <c r="Q64" s="498"/>
      <c r="R64" s="500"/>
      <c r="S64" s="498"/>
      <c r="T64" s="496"/>
      <c r="U64" s="498"/>
      <c r="V64" s="496"/>
      <c r="W64" s="498"/>
      <c r="X64" s="500"/>
      <c r="Y64" s="498"/>
      <c r="Z64" s="500"/>
      <c r="AA64" s="500"/>
      <c r="AB64" s="500"/>
      <c r="AC64" s="501"/>
      <c r="AD64" s="500"/>
      <c r="AE64" s="501"/>
      <c r="AF64" s="500"/>
      <c r="AG64" s="501"/>
      <c r="AH64" s="500"/>
      <c r="AI64" s="498"/>
      <c r="AJ64" s="500"/>
      <c r="AK64" s="500"/>
      <c r="AL64" s="500"/>
      <c r="AM64" s="500"/>
      <c r="AN64" s="500"/>
      <c r="AO64" s="500"/>
      <c r="AP64" s="500"/>
      <c r="AQ64" s="500"/>
      <c r="AR64" s="500"/>
      <c r="AS64" s="500"/>
      <c r="AT64" s="500"/>
      <c r="AU64" s="498"/>
      <c r="AV64" s="500"/>
      <c r="AW64" s="500"/>
      <c r="AX64" s="500"/>
      <c r="AY64" s="500"/>
      <c r="AZ64" s="500"/>
      <c r="BA64" s="500"/>
      <c r="BB64" s="500"/>
      <c r="BC64" s="500"/>
      <c r="BD64" s="500"/>
      <c r="BE64" s="500"/>
      <c r="BF64" s="500"/>
      <c r="BG64" s="500"/>
      <c r="BH64" s="500"/>
      <c r="BI64" s="500"/>
      <c r="BJ64" s="500"/>
      <c r="BK64" s="500"/>
      <c r="BL64" s="500"/>
      <c r="BM64" s="500"/>
      <c r="BN64" s="500"/>
      <c r="BO64" s="500"/>
      <c r="BP64" s="500"/>
      <c r="BQ64" s="498"/>
      <c r="BR64" s="498"/>
      <c r="BS64" s="498"/>
      <c r="BT64" s="498"/>
      <c r="BU64" s="498"/>
      <c r="BV64" s="500"/>
      <c r="BW64" s="498"/>
      <c r="BX64" s="498"/>
      <c r="BY64" s="498"/>
      <c r="BZ64" s="498"/>
      <c r="CA64" s="498"/>
      <c r="CB64" s="498"/>
      <c r="CC64" s="498"/>
      <c r="CD64" s="498"/>
      <c r="CE64" s="498"/>
      <c r="CF64" s="498"/>
      <c r="CG64" s="502"/>
      <c r="CH64" s="503"/>
      <c r="CI64" s="502"/>
      <c r="CJ64" s="502"/>
      <c r="CK64" s="502"/>
      <c r="CL64" s="500"/>
      <c r="CM64" s="500"/>
      <c r="CN64" s="500"/>
      <c r="CO64" s="500"/>
    </row>
    <row r="65">
      <c r="A65" s="496"/>
      <c r="B65" s="496"/>
      <c r="C65" s="496"/>
      <c r="D65" s="497"/>
      <c r="E65" s="498"/>
      <c r="F65" s="498"/>
      <c r="G65" s="499"/>
      <c r="H65" s="499"/>
      <c r="I65" s="498"/>
      <c r="J65" s="500"/>
      <c r="K65" s="496"/>
      <c r="L65" s="500"/>
      <c r="M65" s="496"/>
      <c r="N65" s="500"/>
      <c r="O65" s="496"/>
      <c r="P65" s="500"/>
      <c r="Q65" s="498"/>
      <c r="R65" s="500"/>
      <c r="S65" s="498"/>
      <c r="T65" s="496"/>
      <c r="U65" s="498"/>
      <c r="V65" s="496"/>
      <c r="W65" s="498"/>
      <c r="X65" s="500"/>
      <c r="Y65" s="498"/>
      <c r="Z65" s="500"/>
      <c r="AA65" s="500"/>
      <c r="AB65" s="500"/>
      <c r="AC65" s="501"/>
      <c r="AD65" s="500"/>
      <c r="AE65" s="501"/>
      <c r="AF65" s="500"/>
      <c r="AG65" s="501"/>
      <c r="AH65" s="500"/>
      <c r="AI65" s="498"/>
      <c r="AJ65" s="500"/>
      <c r="AK65" s="500"/>
      <c r="AL65" s="500"/>
      <c r="AM65" s="500"/>
      <c r="AN65" s="500"/>
      <c r="AO65" s="500"/>
      <c r="AP65" s="500"/>
      <c r="AQ65" s="500"/>
      <c r="AR65" s="500"/>
      <c r="AS65" s="500"/>
      <c r="AT65" s="500"/>
      <c r="AU65" s="498"/>
      <c r="AV65" s="500"/>
      <c r="AW65" s="500"/>
      <c r="AX65" s="500"/>
      <c r="AY65" s="500"/>
      <c r="AZ65" s="500"/>
      <c r="BA65" s="500"/>
      <c r="BB65" s="500"/>
      <c r="BC65" s="500"/>
      <c r="BD65" s="500"/>
      <c r="BE65" s="500"/>
      <c r="BF65" s="500"/>
      <c r="BG65" s="500"/>
      <c r="BH65" s="500"/>
      <c r="BI65" s="500"/>
      <c r="BJ65" s="500"/>
      <c r="BK65" s="500"/>
      <c r="BL65" s="500"/>
      <c r="BM65" s="500"/>
      <c r="BN65" s="500"/>
      <c r="BO65" s="500"/>
      <c r="BP65" s="500"/>
      <c r="BQ65" s="498"/>
      <c r="BR65" s="498"/>
      <c r="BS65" s="498"/>
      <c r="BT65" s="498"/>
      <c r="BU65" s="498"/>
      <c r="BV65" s="500"/>
      <c r="BW65" s="498"/>
      <c r="BX65" s="498"/>
      <c r="BY65" s="498"/>
      <c r="BZ65" s="498"/>
      <c r="CA65" s="498"/>
      <c r="CB65" s="498"/>
      <c r="CC65" s="498"/>
      <c r="CD65" s="498"/>
      <c r="CE65" s="498"/>
      <c r="CF65" s="498"/>
      <c r="CG65" s="502"/>
      <c r="CH65" s="503"/>
      <c r="CI65" s="502"/>
      <c r="CJ65" s="502"/>
      <c r="CK65" s="502"/>
      <c r="CL65" s="500"/>
      <c r="CM65" s="500"/>
      <c r="CN65" s="500"/>
      <c r="CO65" s="500"/>
    </row>
    <row r="66">
      <c r="A66" s="496"/>
      <c r="B66" s="496"/>
      <c r="C66" s="496"/>
      <c r="D66" s="497"/>
      <c r="E66" s="498"/>
      <c r="F66" s="498"/>
      <c r="G66" s="499"/>
      <c r="H66" s="499"/>
      <c r="I66" s="498"/>
      <c r="J66" s="500"/>
      <c r="K66" s="496"/>
      <c r="L66" s="500"/>
      <c r="M66" s="496"/>
      <c r="N66" s="500"/>
      <c r="O66" s="496"/>
      <c r="P66" s="500"/>
      <c r="Q66" s="498"/>
      <c r="R66" s="500"/>
      <c r="S66" s="498"/>
      <c r="T66" s="496"/>
      <c r="U66" s="498"/>
      <c r="V66" s="496"/>
      <c r="W66" s="498"/>
      <c r="X66" s="500"/>
      <c r="Y66" s="498"/>
      <c r="Z66" s="500"/>
      <c r="AA66" s="500"/>
      <c r="AB66" s="500"/>
      <c r="AC66" s="501"/>
      <c r="AD66" s="500"/>
      <c r="AE66" s="501"/>
      <c r="AF66" s="500"/>
      <c r="AG66" s="501"/>
      <c r="AH66" s="500"/>
      <c r="AI66" s="498"/>
      <c r="AJ66" s="500"/>
      <c r="AK66" s="500"/>
      <c r="AL66" s="500"/>
      <c r="AM66" s="500"/>
      <c r="AN66" s="500"/>
      <c r="AO66" s="500"/>
      <c r="AP66" s="500"/>
      <c r="AQ66" s="500"/>
      <c r="AR66" s="500"/>
      <c r="AS66" s="500"/>
      <c r="AT66" s="500"/>
      <c r="AU66" s="498"/>
      <c r="AV66" s="500"/>
      <c r="AW66" s="500"/>
      <c r="AX66" s="500"/>
      <c r="AY66" s="500"/>
      <c r="AZ66" s="500"/>
      <c r="BA66" s="500"/>
      <c r="BB66" s="500"/>
      <c r="BC66" s="500"/>
      <c r="BD66" s="500"/>
      <c r="BE66" s="500"/>
      <c r="BF66" s="500"/>
      <c r="BG66" s="500"/>
      <c r="BH66" s="500"/>
      <c r="BI66" s="500"/>
      <c r="BJ66" s="500"/>
      <c r="BK66" s="500"/>
      <c r="BL66" s="500"/>
      <c r="BM66" s="500"/>
      <c r="BN66" s="500"/>
      <c r="BO66" s="500"/>
      <c r="BP66" s="500"/>
      <c r="BQ66" s="498"/>
      <c r="BR66" s="498"/>
      <c r="BS66" s="498"/>
      <c r="BT66" s="498"/>
      <c r="BU66" s="498"/>
      <c r="BV66" s="500"/>
      <c r="BW66" s="498"/>
      <c r="BX66" s="498"/>
      <c r="BY66" s="498"/>
      <c r="BZ66" s="498"/>
      <c r="CA66" s="498"/>
      <c r="CB66" s="498"/>
      <c r="CC66" s="498"/>
      <c r="CD66" s="498"/>
      <c r="CE66" s="498"/>
      <c r="CF66" s="498"/>
      <c r="CG66" s="502"/>
      <c r="CH66" s="503"/>
      <c r="CI66" s="502"/>
      <c r="CJ66" s="502"/>
      <c r="CK66" s="502"/>
      <c r="CL66" s="500"/>
      <c r="CM66" s="500"/>
      <c r="CN66" s="500"/>
      <c r="CO66" s="500"/>
    </row>
    <row r="67">
      <c r="A67" s="496"/>
      <c r="B67" s="496"/>
      <c r="C67" s="496"/>
      <c r="D67" s="497"/>
      <c r="E67" s="498"/>
      <c r="F67" s="498"/>
      <c r="G67" s="499"/>
      <c r="H67" s="499"/>
      <c r="I67" s="498"/>
      <c r="J67" s="500"/>
      <c r="K67" s="496"/>
      <c r="L67" s="500"/>
      <c r="M67" s="496"/>
      <c r="N67" s="500"/>
      <c r="O67" s="496"/>
      <c r="P67" s="500"/>
      <c r="Q67" s="498"/>
      <c r="R67" s="500"/>
      <c r="S67" s="498"/>
      <c r="T67" s="496"/>
      <c r="U67" s="498"/>
      <c r="V67" s="496"/>
      <c r="W67" s="498"/>
      <c r="X67" s="500"/>
      <c r="Y67" s="498"/>
      <c r="Z67" s="500"/>
      <c r="AA67" s="500"/>
      <c r="AB67" s="500"/>
      <c r="AC67" s="501"/>
      <c r="AD67" s="500"/>
      <c r="AE67" s="501"/>
      <c r="AF67" s="500"/>
      <c r="AG67" s="501"/>
      <c r="AH67" s="500"/>
      <c r="AI67" s="498"/>
      <c r="AJ67" s="500"/>
      <c r="AK67" s="500"/>
      <c r="AL67" s="500"/>
      <c r="AM67" s="500"/>
      <c r="AN67" s="500"/>
      <c r="AO67" s="500"/>
      <c r="AP67" s="500"/>
      <c r="AQ67" s="500"/>
      <c r="AR67" s="500"/>
      <c r="AS67" s="500"/>
      <c r="AT67" s="500"/>
      <c r="AU67" s="498"/>
      <c r="AV67" s="500"/>
      <c r="AW67" s="500"/>
      <c r="AX67" s="500"/>
      <c r="AY67" s="500"/>
      <c r="AZ67" s="500"/>
      <c r="BA67" s="500"/>
      <c r="BB67" s="500"/>
      <c r="BC67" s="500"/>
      <c r="BD67" s="500"/>
      <c r="BE67" s="500"/>
      <c r="BF67" s="500"/>
      <c r="BG67" s="500"/>
      <c r="BH67" s="500"/>
      <c r="BI67" s="500"/>
      <c r="BJ67" s="500"/>
      <c r="BK67" s="500"/>
      <c r="BL67" s="500"/>
      <c r="BM67" s="500"/>
      <c r="BN67" s="500"/>
      <c r="BO67" s="500"/>
      <c r="BP67" s="500"/>
      <c r="BQ67" s="498"/>
      <c r="BR67" s="498"/>
      <c r="BS67" s="498"/>
      <c r="BT67" s="498"/>
      <c r="BU67" s="498"/>
      <c r="BV67" s="500"/>
      <c r="BW67" s="498"/>
      <c r="BX67" s="498"/>
      <c r="BY67" s="498"/>
      <c r="BZ67" s="498"/>
      <c r="CA67" s="498"/>
      <c r="CB67" s="498"/>
      <c r="CC67" s="498"/>
      <c r="CD67" s="498"/>
      <c r="CE67" s="498"/>
      <c r="CF67" s="498"/>
      <c r="CG67" s="502"/>
      <c r="CH67" s="503"/>
      <c r="CI67" s="502"/>
      <c r="CJ67" s="502"/>
      <c r="CK67" s="502"/>
      <c r="CL67" s="500"/>
      <c r="CM67" s="500"/>
      <c r="CN67" s="500"/>
      <c r="CO67" s="500"/>
    </row>
    <row r="68">
      <c r="A68" s="496"/>
      <c r="B68" s="496"/>
      <c r="C68" s="496"/>
      <c r="D68" s="497"/>
      <c r="E68" s="498"/>
      <c r="F68" s="498"/>
      <c r="G68" s="499"/>
      <c r="H68" s="499"/>
      <c r="I68" s="498"/>
      <c r="J68" s="500"/>
      <c r="K68" s="496"/>
      <c r="L68" s="500"/>
      <c r="M68" s="496"/>
      <c r="N68" s="500"/>
      <c r="O68" s="496"/>
      <c r="P68" s="500"/>
      <c r="Q68" s="498"/>
      <c r="R68" s="500"/>
      <c r="S68" s="498"/>
      <c r="T68" s="496"/>
      <c r="U68" s="498"/>
      <c r="V68" s="496"/>
      <c r="W68" s="498"/>
      <c r="X68" s="500"/>
      <c r="Y68" s="498"/>
      <c r="Z68" s="500"/>
      <c r="AA68" s="500"/>
      <c r="AB68" s="500"/>
      <c r="AC68" s="501"/>
      <c r="AD68" s="500"/>
      <c r="AE68" s="501"/>
      <c r="AF68" s="500"/>
      <c r="AG68" s="501"/>
      <c r="AH68" s="500"/>
      <c r="AI68" s="498"/>
      <c r="AJ68" s="500"/>
      <c r="AK68" s="500"/>
      <c r="AL68" s="500"/>
      <c r="AM68" s="500"/>
      <c r="AN68" s="500"/>
      <c r="AO68" s="500"/>
      <c r="AP68" s="500"/>
      <c r="AQ68" s="500"/>
      <c r="AR68" s="500"/>
      <c r="AS68" s="500"/>
      <c r="AT68" s="500"/>
      <c r="AU68" s="498"/>
      <c r="AV68" s="500"/>
      <c r="AW68" s="500"/>
      <c r="AX68" s="500"/>
      <c r="AY68" s="500"/>
      <c r="AZ68" s="500"/>
      <c r="BA68" s="500"/>
      <c r="BB68" s="500"/>
      <c r="BC68" s="500"/>
      <c r="BD68" s="500"/>
      <c r="BE68" s="500"/>
      <c r="BF68" s="500"/>
      <c r="BG68" s="500"/>
      <c r="BH68" s="500"/>
      <c r="BI68" s="500"/>
      <c r="BJ68" s="500"/>
      <c r="BK68" s="500"/>
      <c r="BL68" s="500"/>
      <c r="BM68" s="500"/>
      <c r="BN68" s="500"/>
      <c r="BO68" s="500"/>
      <c r="BP68" s="500"/>
      <c r="BQ68" s="498"/>
      <c r="BR68" s="498"/>
      <c r="BS68" s="498"/>
      <c r="BT68" s="498"/>
      <c r="BU68" s="498"/>
      <c r="BV68" s="500"/>
      <c r="BW68" s="498"/>
      <c r="BX68" s="498"/>
      <c r="BY68" s="498"/>
      <c r="BZ68" s="498"/>
      <c r="CA68" s="498"/>
      <c r="CB68" s="498"/>
      <c r="CC68" s="498"/>
      <c r="CD68" s="498"/>
      <c r="CE68" s="498"/>
      <c r="CF68" s="498"/>
      <c r="CG68" s="502"/>
      <c r="CH68" s="503"/>
      <c r="CI68" s="502"/>
      <c r="CJ68" s="502"/>
      <c r="CK68" s="502"/>
      <c r="CL68" s="500"/>
      <c r="CM68" s="500"/>
      <c r="CN68" s="500"/>
      <c r="CO68" s="500"/>
    </row>
    <row r="69">
      <c r="A69" s="496"/>
      <c r="B69" s="496"/>
      <c r="C69" s="496"/>
      <c r="D69" s="497"/>
      <c r="E69" s="498"/>
      <c r="F69" s="498"/>
      <c r="G69" s="499"/>
      <c r="H69" s="499"/>
      <c r="I69" s="498"/>
      <c r="J69" s="500"/>
      <c r="K69" s="496"/>
      <c r="L69" s="500"/>
      <c r="M69" s="496"/>
      <c r="N69" s="500"/>
      <c r="O69" s="496"/>
      <c r="P69" s="500"/>
      <c r="Q69" s="498"/>
      <c r="R69" s="500"/>
      <c r="S69" s="498"/>
      <c r="T69" s="496"/>
      <c r="U69" s="498"/>
      <c r="V69" s="496"/>
      <c r="W69" s="498"/>
      <c r="X69" s="500"/>
      <c r="Y69" s="498"/>
      <c r="Z69" s="500"/>
      <c r="AA69" s="500"/>
      <c r="AB69" s="500"/>
      <c r="AC69" s="501"/>
      <c r="AD69" s="500"/>
      <c r="AE69" s="501"/>
      <c r="AF69" s="500"/>
      <c r="AG69" s="501"/>
      <c r="AH69" s="500"/>
      <c r="AI69" s="498"/>
      <c r="AJ69" s="500"/>
      <c r="AK69" s="500"/>
      <c r="AL69" s="500"/>
      <c r="AM69" s="500"/>
      <c r="AN69" s="500"/>
      <c r="AO69" s="500"/>
      <c r="AP69" s="500"/>
      <c r="AQ69" s="500"/>
      <c r="AR69" s="500"/>
      <c r="AS69" s="500"/>
      <c r="AT69" s="500"/>
      <c r="AU69" s="498"/>
      <c r="AV69" s="500"/>
      <c r="AW69" s="500"/>
      <c r="AX69" s="500"/>
      <c r="AY69" s="500"/>
      <c r="AZ69" s="500"/>
      <c r="BA69" s="500"/>
      <c r="BB69" s="500"/>
      <c r="BC69" s="500"/>
      <c r="BD69" s="500"/>
      <c r="BE69" s="500"/>
      <c r="BF69" s="500"/>
      <c r="BG69" s="500"/>
      <c r="BH69" s="500"/>
      <c r="BI69" s="500"/>
      <c r="BJ69" s="500"/>
      <c r="BK69" s="500"/>
      <c r="BL69" s="500"/>
      <c r="BM69" s="500"/>
      <c r="BN69" s="500"/>
      <c r="BO69" s="500"/>
      <c r="BP69" s="500"/>
      <c r="BQ69" s="498"/>
      <c r="BR69" s="498"/>
      <c r="BS69" s="498"/>
      <c r="BT69" s="498"/>
      <c r="BU69" s="498"/>
      <c r="BV69" s="500"/>
      <c r="BW69" s="498"/>
      <c r="BX69" s="498"/>
      <c r="BY69" s="498"/>
      <c r="BZ69" s="498"/>
      <c r="CA69" s="498"/>
      <c r="CB69" s="498"/>
      <c r="CC69" s="498"/>
      <c r="CD69" s="498"/>
      <c r="CE69" s="498"/>
      <c r="CF69" s="498"/>
      <c r="CG69" s="502"/>
      <c r="CH69" s="503"/>
      <c r="CI69" s="502"/>
      <c r="CJ69" s="502"/>
      <c r="CK69" s="502"/>
      <c r="CL69" s="500"/>
      <c r="CM69" s="500"/>
      <c r="CN69" s="500"/>
      <c r="CO69" s="500"/>
    </row>
    <row r="70">
      <c r="A70" s="496"/>
      <c r="B70" s="496"/>
      <c r="C70" s="496"/>
      <c r="D70" s="497"/>
      <c r="E70" s="498"/>
      <c r="F70" s="498"/>
      <c r="G70" s="499"/>
      <c r="H70" s="499"/>
      <c r="I70" s="498"/>
      <c r="J70" s="500"/>
      <c r="K70" s="496"/>
      <c r="L70" s="500"/>
      <c r="M70" s="496"/>
      <c r="N70" s="500"/>
      <c r="O70" s="496"/>
      <c r="P70" s="500"/>
      <c r="Q70" s="498"/>
      <c r="R70" s="500"/>
      <c r="S70" s="498"/>
      <c r="T70" s="496"/>
      <c r="U70" s="498"/>
      <c r="V70" s="496"/>
      <c r="W70" s="498"/>
      <c r="X70" s="500"/>
      <c r="Y70" s="498"/>
      <c r="Z70" s="500"/>
      <c r="AA70" s="500"/>
      <c r="AB70" s="500"/>
      <c r="AC70" s="501"/>
      <c r="AD70" s="500"/>
      <c r="AE70" s="501"/>
      <c r="AF70" s="500"/>
      <c r="AG70" s="501"/>
      <c r="AH70" s="500"/>
      <c r="AI70" s="498"/>
      <c r="AJ70" s="500"/>
      <c r="AK70" s="500"/>
      <c r="AL70" s="500"/>
      <c r="AM70" s="500"/>
      <c r="AN70" s="500"/>
      <c r="AO70" s="500"/>
      <c r="AP70" s="500"/>
      <c r="AQ70" s="500"/>
      <c r="AR70" s="500"/>
      <c r="AS70" s="500"/>
      <c r="AT70" s="500"/>
      <c r="AU70" s="498"/>
      <c r="AV70" s="500"/>
      <c r="AW70" s="500"/>
      <c r="AX70" s="500"/>
      <c r="AY70" s="500"/>
      <c r="AZ70" s="500"/>
      <c r="BA70" s="500"/>
      <c r="BB70" s="500"/>
      <c r="BC70" s="500"/>
      <c r="BD70" s="500"/>
      <c r="BE70" s="500"/>
      <c r="BF70" s="500"/>
      <c r="BG70" s="500"/>
      <c r="BH70" s="500"/>
      <c r="BI70" s="500"/>
      <c r="BJ70" s="500"/>
      <c r="BK70" s="500"/>
      <c r="BL70" s="500"/>
      <c r="BM70" s="500"/>
      <c r="BN70" s="500"/>
      <c r="BO70" s="500"/>
      <c r="BP70" s="500"/>
      <c r="BQ70" s="498"/>
      <c r="BR70" s="498"/>
      <c r="BS70" s="498"/>
      <c r="BT70" s="498"/>
      <c r="BU70" s="498"/>
      <c r="BV70" s="500"/>
      <c r="BW70" s="498"/>
      <c r="BX70" s="498"/>
      <c r="BY70" s="498"/>
      <c r="BZ70" s="498"/>
      <c r="CA70" s="498"/>
      <c r="CB70" s="498"/>
      <c r="CC70" s="498"/>
      <c r="CD70" s="498"/>
      <c r="CE70" s="498"/>
      <c r="CF70" s="498"/>
      <c r="CG70" s="502"/>
      <c r="CH70" s="503"/>
      <c r="CI70" s="502"/>
      <c r="CJ70" s="502"/>
      <c r="CK70" s="502"/>
      <c r="CL70" s="500"/>
      <c r="CM70" s="500"/>
      <c r="CN70" s="500"/>
      <c r="CO70" s="500"/>
    </row>
    <row r="71">
      <c r="A71" s="496"/>
      <c r="B71" s="496"/>
      <c r="C71" s="496"/>
      <c r="D71" s="497"/>
      <c r="E71" s="498"/>
      <c r="F71" s="498"/>
      <c r="G71" s="499"/>
      <c r="H71" s="499"/>
      <c r="I71" s="498"/>
      <c r="J71" s="500"/>
      <c r="K71" s="496"/>
      <c r="L71" s="500"/>
      <c r="M71" s="496"/>
      <c r="N71" s="500"/>
      <c r="O71" s="496"/>
      <c r="P71" s="500"/>
      <c r="Q71" s="498"/>
      <c r="R71" s="500"/>
      <c r="S71" s="498"/>
      <c r="T71" s="496"/>
      <c r="U71" s="498"/>
      <c r="V71" s="496"/>
      <c r="W71" s="498"/>
      <c r="X71" s="500"/>
      <c r="Y71" s="498"/>
      <c r="Z71" s="500"/>
      <c r="AA71" s="500"/>
      <c r="AB71" s="500"/>
      <c r="AC71" s="501"/>
      <c r="AD71" s="500"/>
      <c r="AE71" s="501"/>
      <c r="AF71" s="500"/>
      <c r="AG71" s="501"/>
      <c r="AH71" s="500"/>
      <c r="AI71" s="498"/>
      <c r="AJ71" s="500"/>
      <c r="AK71" s="500"/>
      <c r="AL71" s="500"/>
      <c r="AM71" s="500"/>
      <c r="AN71" s="500"/>
      <c r="AO71" s="500"/>
      <c r="AP71" s="500"/>
      <c r="AQ71" s="500"/>
      <c r="AR71" s="500"/>
      <c r="AS71" s="500"/>
      <c r="AT71" s="500"/>
      <c r="AU71" s="498"/>
      <c r="AV71" s="500"/>
      <c r="AW71" s="500"/>
      <c r="AX71" s="500"/>
      <c r="AY71" s="500"/>
      <c r="AZ71" s="500"/>
      <c r="BA71" s="500"/>
      <c r="BB71" s="500"/>
      <c r="BC71" s="500"/>
      <c r="BD71" s="500"/>
      <c r="BE71" s="500"/>
      <c r="BF71" s="500"/>
      <c r="BG71" s="500"/>
      <c r="BH71" s="500"/>
      <c r="BI71" s="500"/>
      <c r="BJ71" s="500"/>
      <c r="BK71" s="500"/>
      <c r="BL71" s="500"/>
      <c r="BM71" s="500"/>
      <c r="BN71" s="500"/>
      <c r="BO71" s="500"/>
      <c r="BP71" s="500"/>
      <c r="BQ71" s="498"/>
      <c r="BR71" s="498"/>
      <c r="BS71" s="498"/>
      <c r="BT71" s="498"/>
      <c r="BU71" s="498"/>
      <c r="BV71" s="500"/>
      <c r="BW71" s="498"/>
      <c r="BX71" s="498"/>
      <c r="BY71" s="498"/>
      <c r="BZ71" s="498"/>
      <c r="CA71" s="498"/>
      <c r="CB71" s="498"/>
      <c r="CC71" s="498"/>
      <c r="CD71" s="498"/>
      <c r="CE71" s="498"/>
      <c r="CF71" s="498"/>
      <c r="CG71" s="502"/>
      <c r="CH71" s="503"/>
      <c r="CI71" s="502"/>
      <c r="CJ71" s="502"/>
      <c r="CK71" s="502"/>
      <c r="CL71" s="500"/>
      <c r="CM71" s="500"/>
      <c r="CN71" s="500"/>
      <c r="CO71" s="500"/>
    </row>
    <row r="72">
      <c r="A72" s="496"/>
      <c r="B72" s="496"/>
      <c r="C72" s="496"/>
      <c r="D72" s="497"/>
      <c r="E72" s="498"/>
      <c r="F72" s="498"/>
      <c r="G72" s="499"/>
      <c r="H72" s="499"/>
      <c r="I72" s="498"/>
      <c r="J72" s="500"/>
      <c r="K72" s="496"/>
      <c r="L72" s="500"/>
      <c r="M72" s="496"/>
      <c r="N72" s="500"/>
      <c r="O72" s="496"/>
      <c r="P72" s="500"/>
      <c r="Q72" s="498"/>
      <c r="R72" s="500"/>
      <c r="S72" s="498"/>
      <c r="T72" s="496"/>
      <c r="U72" s="498"/>
      <c r="V72" s="496"/>
      <c r="W72" s="498"/>
      <c r="X72" s="500"/>
      <c r="Y72" s="498"/>
      <c r="Z72" s="500"/>
      <c r="AA72" s="500"/>
      <c r="AB72" s="500"/>
      <c r="AC72" s="501"/>
      <c r="AD72" s="500"/>
      <c r="AE72" s="501"/>
      <c r="AF72" s="500"/>
      <c r="AG72" s="501"/>
      <c r="AH72" s="500"/>
      <c r="AI72" s="498"/>
      <c r="AJ72" s="500"/>
      <c r="AK72" s="500"/>
      <c r="AL72" s="500"/>
      <c r="AM72" s="500"/>
      <c r="AN72" s="500"/>
      <c r="AO72" s="500"/>
      <c r="AP72" s="500"/>
      <c r="AQ72" s="500"/>
      <c r="AR72" s="500"/>
      <c r="AS72" s="500"/>
      <c r="AT72" s="500"/>
      <c r="AU72" s="498"/>
      <c r="AV72" s="500"/>
      <c r="AW72" s="500"/>
      <c r="AX72" s="500"/>
      <c r="AY72" s="500"/>
      <c r="AZ72" s="500"/>
      <c r="BA72" s="500"/>
      <c r="BB72" s="500"/>
      <c r="BC72" s="500"/>
      <c r="BD72" s="500"/>
      <c r="BE72" s="500"/>
      <c r="BF72" s="500"/>
      <c r="BG72" s="500"/>
      <c r="BH72" s="500"/>
      <c r="BI72" s="500"/>
      <c r="BJ72" s="500"/>
      <c r="BK72" s="500"/>
      <c r="BL72" s="500"/>
      <c r="BM72" s="500"/>
      <c r="BN72" s="500"/>
      <c r="BO72" s="500"/>
      <c r="BP72" s="500"/>
      <c r="BQ72" s="498"/>
      <c r="BR72" s="498"/>
      <c r="BS72" s="498"/>
      <c r="BT72" s="498"/>
      <c r="BU72" s="498"/>
      <c r="BV72" s="500"/>
      <c r="BW72" s="498"/>
      <c r="BX72" s="498"/>
      <c r="BY72" s="498"/>
      <c r="BZ72" s="498"/>
      <c r="CA72" s="498"/>
      <c r="CB72" s="498"/>
      <c r="CC72" s="498"/>
      <c r="CD72" s="498"/>
      <c r="CE72" s="498"/>
      <c r="CF72" s="498"/>
      <c r="CG72" s="502"/>
      <c r="CH72" s="503"/>
      <c r="CI72" s="502"/>
      <c r="CJ72" s="502"/>
      <c r="CK72" s="502"/>
      <c r="CL72" s="500"/>
      <c r="CM72" s="500"/>
      <c r="CN72" s="500"/>
      <c r="CO72" s="500"/>
    </row>
    <row r="73">
      <c r="A73" s="496"/>
      <c r="B73" s="496"/>
      <c r="C73" s="496"/>
      <c r="D73" s="497"/>
      <c r="E73" s="498"/>
      <c r="F73" s="498"/>
      <c r="G73" s="499"/>
      <c r="H73" s="499"/>
      <c r="I73" s="498"/>
      <c r="J73" s="500"/>
      <c r="K73" s="496"/>
      <c r="L73" s="500"/>
      <c r="M73" s="496"/>
      <c r="N73" s="500"/>
      <c r="O73" s="496"/>
      <c r="P73" s="500"/>
      <c r="Q73" s="498"/>
      <c r="R73" s="500"/>
      <c r="S73" s="498"/>
      <c r="T73" s="496"/>
      <c r="U73" s="498"/>
      <c r="V73" s="496"/>
      <c r="W73" s="498"/>
      <c r="X73" s="500"/>
      <c r="Y73" s="498"/>
      <c r="Z73" s="500"/>
      <c r="AA73" s="500"/>
      <c r="AB73" s="500"/>
      <c r="AC73" s="501"/>
      <c r="AD73" s="500"/>
      <c r="AE73" s="501"/>
      <c r="AF73" s="500"/>
      <c r="AG73" s="501"/>
      <c r="AH73" s="500"/>
      <c r="AI73" s="498"/>
      <c r="AJ73" s="500"/>
      <c r="AK73" s="500"/>
      <c r="AL73" s="500"/>
      <c r="AM73" s="500"/>
      <c r="AN73" s="500"/>
      <c r="AO73" s="500"/>
      <c r="AP73" s="500"/>
      <c r="AQ73" s="500"/>
      <c r="AR73" s="500"/>
      <c r="AS73" s="500"/>
      <c r="AT73" s="500"/>
      <c r="AU73" s="498"/>
      <c r="AV73" s="500"/>
      <c r="AW73" s="500"/>
      <c r="AX73" s="500"/>
      <c r="AY73" s="500"/>
      <c r="AZ73" s="500"/>
      <c r="BA73" s="500"/>
      <c r="BB73" s="500"/>
      <c r="BC73" s="500"/>
      <c r="BD73" s="500"/>
      <c r="BE73" s="500"/>
      <c r="BF73" s="500"/>
      <c r="BG73" s="500"/>
      <c r="BH73" s="500"/>
      <c r="BI73" s="500"/>
      <c r="BJ73" s="500"/>
      <c r="BK73" s="500"/>
      <c r="BL73" s="500"/>
      <c r="BM73" s="500"/>
      <c r="BN73" s="500"/>
      <c r="BO73" s="500"/>
      <c r="BP73" s="500"/>
      <c r="BQ73" s="498"/>
      <c r="BR73" s="498"/>
      <c r="BS73" s="498"/>
      <c r="BT73" s="498"/>
      <c r="BU73" s="498"/>
      <c r="BV73" s="500"/>
      <c r="BW73" s="498"/>
      <c r="BX73" s="498"/>
      <c r="BY73" s="498"/>
      <c r="BZ73" s="498"/>
      <c r="CA73" s="498"/>
      <c r="CB73" s="498"/>
      <c r="CC73" s="498"/>
      <c r="CD73" s="498"/>
      <c r="CE73" s="498"/>
      <c r="CF73" s="498"/>
      <c r="CG73" s="502"/>
      <c r="CH73" s="503"/>
      <c r="CI73" s="502"/>
      <c r="CJ73" s="502"/>
      <c r="CK73" s="502"/>
      <c r="CL73" s="500"/>
      <c r="CM73" s="500"/>
      <c r="CN73" s="500"/>
      <c r="CO73" s="500"/>
    </row>
    <row r="74">
      <c r="A74" s="496"/>
      <c r="B74" s="496"/>
      <c r="C74" s="496"/>
      <c r="D74" s="497"/>
      <c r="E74" s="498"/>
      <c r="F74" s="498"/>
      <c r="G74" s="499"/>
      <c r="H74" s="499"/>
      <c r="I74" s="498"/>
      <c r="J74" s="500"/>
      <c r="K74" s="496"/>
      <c r="L74" s="500"/>
      <c r="M74" s="496"/>
      <c r="N74" s="500"/>
      <c r="O74" s="496"/>
      <c r="P74" s="500"/>
      <c r="Q74" s="498"/>
      <c r="R74" s="500"/>
      <c r="S74" s="498"/>
      <c r="T74" s="496"/>
      <c r="U74" s="498"/>
      <c r="V74" s="496"/>
      <c r="W74" s="498"/>
      <c r="X74" s="500"/>
      <c r="Y74" s="498"/>
      <c r="Z74" s="500"/>
      <c r="AA74" s="500"/>
      <c r="AB74" s="500"/>
      <c r="AC74" s="501"/>
      <c r="AD74" s="500"/>
      <c r="AE74" s="501"/>
      <c r="AF74" s="500"/>
      <c r="AG74" s="501"/>
      <c r="AH74" s="500"/>
      <c r="AI74" s="498"/>
      <c r="AJ74" s="500"/>
      <c r="AK74" s="500"/>
      <c r="AL74" s="500"/>
      <c r="AM74" s="500"/>
      <c r="AN74" s="500"/>
      <c r="AO74" s="500"/>
      <c r="AP74" s="500"/>
      <c r="AQ74" s="500"/>
      <c r="AR74" s="500"/>
      <c r="AS74" s="500"/>
      <c r="AT74" s="500"/>
      <c r="AU74" s="498"/>
      <c r="AV74" s="500"/>
      <c r="AW74" s="500"/>
      <c r="AX74" s="500"/>
      <c r="AY74" s="500"/>
      <c r="AZ74" s="500"/>
      <c r="BA74" s="500"/>
      <c r="BB74" s="500"/>
      <c r="BC74" s="500"/>
      <c r="BD74" s="500"/>
      <c r="BE74" s="500"/>
      <c r="BF74" s="500"/>
      <c r="BG74" s="500"/>
      <c r="BH74" s="500"/>
      <c r="BI74" s="500"/>
      <c r="BJ74" s="500"/>
      <c r="BK74" s="500"/>
      <c r="BL74" s="500"/>
      <c r="BM74" s="500"/>
      <c r="BN74" s="500"/>
      <c r="BO74" s="500"/>
      <c r="BP74" s="500"/>
      <c r="BQ74" s="498"/>
      <c r="BR74" s="498"/>
      <c r="BS74" s="498"/>
      <c r="BT74" s="498"/>
      <c r="BU74" s="498"/>
      <c r="BV74" s="500"/>
      <c r="BW74" s="498"/>
      <c r="BX74" s="498"/>
      <c r="BY74" s="498"/>
      <c r="BZ74" s="498"/>
      <c r="CA74" s="498"/>
      <c r="CB74" s="498"/>
      <c r="CC74" s="498"/>
      <c r="CD74" s="498"/>
      <c r="CE74" s="498"/>
      <c r="CF74" s="498"/>
      <c r="CG74" s="502"/>
      <c r="CH74" s="503"/>
      <c r="CI74" s="502"/>
      <c r="CJ74" s="502"/>
      <c r="CK74" s="502"/>
      <c r="CL74" s="500"/>
      <c r="CM74" s="500"/>
      <c r="CN74" s="500"/>
      <c r="CO74" s="500"/>
    </row>
    <row r="75">
      <c r="A75" s="496"/>
      <c r="B75" s="496"/>
      <c r="C75" s="496"/>
      <c r="D75" s="497"/>
      <c r="E75" s="498"/>
      <c r="F75" s="498"/>
      <c r="G75" s="499"/>
      <c r="H75" s="499"/>
      <c r="I75" s="498"/>
      <c r="J75" s="500"/>
      <c r="K75" s="496"/>
      <c r="L75" s="500"/>
      <c r="M75" s="496"/>
      <c r="N75" s="500"/>
      <c r="O75" s="496"/>
      <c r="P75" s="500"/>
      <c r="Q75" s="498"/>
      <c r="R75" s="500"/>
      <c r="S75" s="498"/>
      <c r="T75" s="496"/>
      <c r="U75" s="498"/>
      <c r="V75" s="496"/>
      <c r="W75" s="498"/>
      <c r="X75" s="500"/>
      <c r="Y75" s="498"/>
      <c r="Z75" s="500"/>
      <c r="AA75" s="500"/>
      <c r="AB75" s="500"/>
      <c r="AC75" s="501"/>
      <c r="AD75" s="500"/>
      <c r="AE75" s="501"/>
      <c r="AF75" s="500"/>
      <c r="AG75" s="501"/>
      <c r="AH75" s="500"/>
      <c r="AI75" s="498"/>
      <c r="AJ75" s="500"/>
      <c r="AK75" s="500"/>
      <c r="AL75" s="500"/>
      <c r="AM75" s="500"/>
      <c r="AN75" s="500"/>
      <c r="AO75" s="500"/>
      <c r="AP75" s="500"/>
      <c r="AQ75" s="500"/>
      <c r="AR75" s="500"/>
      <c r="AS75" s="500"/>
      <c r="AT75" s="500"/>
      <c r="AU75" s="498"/>
      <c r="AV75" s="500"/>
      <c r="AW75" s="500"/>
      <c r="AX75" s="500"/>
      <c r="AY75" s="500"/>
      <c r="AZ75" s="500"/>
      <c r="BA75" s="500"/>
      <c r="BB75" s="500"/>
      <c r="BC75" s="500"/>
      <c r="BD75" s="500"/>
      <c r="BE75" s="500"/>
      <c r="BF75" s="500"/>
      <c r="BG75" s="500"/>
      <c r="BH75" s="500"/>
      <c r="BI75" s="500"/>
      <c r="BJ75" s="500"/>
      <c r="BK75" s="500"/>
      <c r="BL75" s="500"/>
      <c r="BM75" s="500"/>
      <c r="BN75" s="500"/>
      <c r="BO75" s="500"/>
      <c r="BP75" s="500"/>
      <c r="BQ75" s="498"/>
      <c r="BR75" s="498"/>
      <c r="BS75" s="498"/>
      <c r="BT75" s="498"/>
      <c r="BU75" s="498"/>
      <c r="BV75" s="500"/>
      <c r="BW75" s="498"/>
      <c r="BX75" s="498"/>
      <c r="BY75" s="498"/>
      <c r="BZ75" s="498"/>
      <c r="CA75" s="498"/>
      <c r="CB75" s="498"/>
      <c r="CC75" s="498"/>
      <c r="CD75" s="498"/>
      <c r="CE75" s="498"/>
      <c r="CF75" s="498"/>
      <c r="CG75" s="502"/>
      <c r="CH75" s="503"/>
      <c r="CI75" s="502"/>
      <c r="CJ75" s="502"/>
      <c r="CK75" s="502"/>
      <c r="CL75" s="500"/>
      <c r="CM75" s="500"/>
      <c r="CN75" s="500"/>
      <c r="CO75" s="500"/>
    </row>
    <row r="76">
      <c r="A76" s="496"/>
      <c r="B76" s="496"/>
      <c r="C76" s="496"/>
      <c r="D76" s="497"/>
      <c r="E76" s="498"/>
      <c r="F76" s="498"/>
      <c r="G76" s="499"/>
      <c r="H76" s="499"/>
      <c r="I76" s="498"/>
      <c r="J76" s="500"/>
      <c r="K76" s="496"/>
      <c r="L76" s="500"/>
      <c r="M76" s="496"/>
      <c r="N76" s="500"/>
      <c r="O76" s="496"/>
      <c r="P76" s="500"/>
      <c r="Q76" s="498"/>
      <c r="R76" s="500"/>
      <c r="S76" s="498"/>
      <c r="T76" s="496"/>
      <c r="U76" s="498"/>
      <c r="V76" s="496"/>
      <c r="W76" s="498"/>
      <c r="X76" s="500"/>
      <c r="Y76" s="498"/>
      <c r="Z76" s="500"/>
      <c r="AA76" s="500"/>
      <c r="AB76" s="500"/>
      <c r="AC76" s="501"/>
      <c r="AD76" s="500"/>
      <c r="AE76" s="501"/>
      <c r="AF76" s="500"/>
      <c r="AG76" s="501"/>
      <c r="AH76" s="500"/>
      <c r="AI76" s="498"/>
      <c r="AJ76" s="500"/>
      <c r="AK76" s="500"/>
      <c r="AL76" s="500"/>
      <c r="AM76" s="500"/>
      <c r="AN76" s="500"/>
      <c r="AO76" s="500"/>
      <c r="AP76" s="500"/>
      <c r="AQ76" s="500"/>
      <c r="AR76" s="500"/>
      <c r="AS76" s="500"/>
      <c r="AT76" s="500"/>
      <c r="AU76" s="498"/>
      <c r="AV76" s="500"/>
      <c r="AW76" s="500"/>
      <c r="AX76" s="500"/>
      <c r="AY76" s="500"/>
      <c r="AZ76" s="500"/>
      <c r="BA76" s="500"/>
      <c r="BB76" s="500"/>
      <c r="BC76" s="500"/>
      <c r="BD76" s="500"/>
      <c r="BE76" s="500"/>
      <c r="BF76" s="500"/>
      <c r="BG76" s="500"/>
      <c r="BH76" s="500"/>
      <c r="BI76" s="500"/>
      <c r="BJ76" s="500"/>
      <c r="BK76" s="500"/>
      <c r="BL76" s="500"/>
      <c r="BM76" s="500"/>
      <c r="BN76" s="500"/>
      <c r="BO76" s="500"/>
      <c r="BP76" s="500"/>
      <c r="BQ76" s="498"/>
      <c r="BR76" s="498"/>
      <c r="BS76" s="498"/>
      <c r="BT76" s="498"/>
      <c r="BU76" s="498"/>
      <c r="BV76" s="500"/>
      <c r="BW76" s="498"/>
      <c r="BX76" s="498"/>
      <c r="BY76" s="498"/>
      <c r="BZ76" s="498"/>
      <c r="CA76" s="498"/>
      <c r="CB76" s="498"/>
      <c r="CC76" s="498"/>
      <c r="CD76" s="498"/>
      <c r="CE76" s="498"/>
      <c r="CF76" s="498"/>
      <c r="CG76" s="502"/>
      <c r="CH76" s="503"/>
      <c r="CI76" s="502"/>
      <c r="CJ76" s="502"/>
      <c r="CK76" s="502"/>
      <c r="CL76" s="500"/>
      <c r="CM76" s="500"/>
      <c r="CN76" s="500"/>
      <c r="CO76" s="500"/>
    </row>
    <row r="77">
      <c r="A77" s="496"/>
      <c r="B77" s="496"/>
      <c r="C77" s="496"/>
      <c r="D77" s="497"/>
      <c r="E77" s="498"/>
      <c r="F77" s="498"/>
      <c r="G77" s="499"/>
      <c r="H77" s="499"/>
      <c r="I77" s="498"/>
      <c r="J77" s="500"/>
      <c r="K77" s="496"/>
      <c r="L77" s="500"/>
      <c r="M77" s="496"/>
      <c r="N77" s="500"/>
      <c r="O77" s="496"/>
      <c r="P77" s="500"/>
      <c r="Q77" s="498"/>
      <c r="R77" s="500"/>
      <c r="S77" s="498"/>
      <c r="T77" s="496"/>
      <c r="U77" s="498"/>
      <c r="V77" s="496"/>
      <c r="W77" s="498"/>
      <c r="X77" s="500"/>
      <c r="Y77" s="498"/>
      <c r="Z77" s="500"/>
      <c r="AA77" s="500"/>
      <c r="AB77" s="500"/>
      <c r="AC77" s="501"/>
      <c r="AD77" s="500"/>
      <c r="AE77" s="501"/>
      <c r="AF77" s="500"/>
      <c r="AG77" s="501"/>
      <c r="AH77" s="500"/>
      <c r="AI77" s="498"/>
      <c r="AJ77" s="500"/>
      <c r="AK77" s="500"/>
      <c r="AL77" s="500"/>
      <c r="AM77" s="500"/>
      <c r="AN77" s="500"/>
      <c r="AO77" s="500"/>
      <c r="AP77" s="500"/>
      <c r="AQ77" s="500"/>
      <c r="AR77" s="500"/>
      <c r="AS77" s="500"/>
      <c r="AT77" s="500"/>
      <c r="AU77" s="498"/>
      <c r="AV77" s="500"/>
      <c r="AW77" s="500"/>
      <c r="AX77" s="500"/>
      <c r="AY77" s="500"/>
      <c r="AZ77" s="500"/>
      <c r="BA77" s="500"/>
      <c r="BB77" s="500"/>
      <c r="BC77" s="500"/>
      <c r="BD77" s="500"/>
      <c r="BE77" s="500"/>
      <c r="BF77" s="500"/>
      <c r="BG77" s="500"/>
      <c r="BH77" s="500"/>
      <c r="BI77" s="500"/>
      <c r="BJ77" s="500"/>
      <c r="BK77" s="500"/>
      <c r="BL77" s="500"/>
      <c r="BM77" s="500"/>
      <c r="BN77" s="500"/>
      <c r="BO77" s="500"/>
      <c r="BP77" s="500"/>
      <c r="BQ77" s="498"/>
      <c r="BR77" s="498"/>
      <c r="BS77" s="498"/>
      <c r="BT77" s="498"/>
      <c r="BU77" s="498"/>
      <c r="BV77" s="500"/>
      <c r="BW77" s="498"/>
      <c r="BX77" s="498"/>
      <c r="BY77" s="498"/>
      <c r="BZ77" s="498"/>
      <c r="CA77" s="498"/>
      <c r="CB77" s="498"/>
      <c r="CC77" s="498"/>
      <c r="CD77" s="498"/>
      <c r="CE77" s="498"/>
      <c r="CF77" s="498"/>
      <c r="CG77" s="502"/>
      <c r="CH77" s="503"/>
      <c r="CI77" s="502"/>
      <c r="CJ77" s="502"/>
      <c r="CK77" s="502"/>
      <c r="CL77" s="500"/>
      <c r="CM77" s="500"/>
      <c r="CN77" s="500"/>
      <c r="CO77" s="500"/>
    </row>
    <row r="78">
      <c r="A78" s="496"/>
      <c r="B78" s="496"/>
      <c r="C78" s="496"/>
      <c r="D78" s="497"/>
      <c r="E78" s="498"/>
      <c r="F78" s="498"/>
      <c r="G78" s="499"/>
      <c r="H78" s="499"/>
      <c r="I78" s="498"/>
      <c r="J78" s="500"/>
      <c r="K78" s="496"/>
      <c r="L78" s="500"/>
      <c r="M78" s="496"/>
      <c r="N78" s="500"/>
      <c r="O78" s="496"/>
      <c r="P78" s="500"/>
      <c r="Q78" s="498"/>
      <c r="R78" s="500"/>
      <c r="S78" s="498"/>
      <c r="T78" s="496"/>
      <c r="U78" s="498"/>
      <c r="V78" s="496"/>
      <c r="W78" s="498"/>
      <c r="X78" s="500"/>
      <c r="Y78" s="498"/>
      <c r="Z78" s="500"/>
      <c r="AA78" s="500"/>
      <c r="AB78" s="500"/>
      <c r="AC78" s="501"/>
      <c r="AD78" s="500"/>
      <c r="AE78" s="501"/>
      <c r="AF78" s="500"/>
      <c r="AG78" s="501"/>
      <c r="AH78" s="500"/>
      <c r="AI78" s="498"/>
      <c r="AJ78" s="500"/>
      <c r="AK78" s="500"/>
      <c r="AL78" s="500"/>
      <c r="AM78" s="500"/>
      <c r="AN78" s="500"/>
      <c r="AO78" s="500"/>
      <c r="AP78" s="500"/>
      <c r="AQ78" s="500"/>
      <c r="AR78" s="500"/>
      <c r="AS78" s="500"/>
      <c r="AT78" s="500"/>
      <c r="AU78" s="498"/>
      <c r="AV78" s="500"/>
      <c r="AW78" s="500"/>
      <c r="AX78" s="500"/>
      <c r="AY78" s="500"/>
      <c r="AZ78" s="500"/>
      <c r="BA78" s="500"/>
      <c r="BB78" s="500"/>
      <c r="BC78" s="500"/>
      <c r="BD78" s="500"/>
      <c r="BE78" s="500"/>
      <c r="BF78" s="500"/>
      <c r="BG78" s="500"/>
      <c r="BH78" s="500"/>
      <c r="BI78" s="500"/>
      <c r="BJ78" s="500"/>
      <c r="BK78" s="500"/>
      <c r="BL78" s="500"/>
      <c r="BM78" s="500"/>
      <c r="BN78" s="500"/>
      <c r="BO78" s="500"/>
      <c r="BP78" s="500"/>
      <c r="BQ78" s="498"/>
      <c r="BR78" s="498"/>
      <c r="BS78" s="498"/>
      <c r="BT78" s="498"/>
      <c r="BU78" s="498"/>
      <c r="BV78" s="500"/>
      <c r="BW78" s="498"/>
      <c r="BX78" s="498"/>
      <c r="BY78" s="498"/>
      <c r="BZ78" s="498"/>
      <c r="CA78" s="498"/>
      <c r="CB78" s="498"/>
      <c r="CC78" s="498"/>
      <c r="CD78" s="498"/>
      <c r="CE78" s="498"/>
      <c r="CF78" s="498"/>
      <c r="CG78" s="502"/>
      <c r="CH78" s="503"/>
      <c r="CI78" s="502"/>
      <c r="CJ78" s="502"/>
      <c r="CK78" s="502"/>
      <c r="CL78" s="500"/>
      <c r="CM78" s="500"/>
      <c r="CN78" s="500"/>
      <c r="CO78" s="500"/>
    </row>
    <row r="79">
      <c r="A79" s="496"/>
      <c r="B79" s="496"/>
      <c r="C79" s="496"/>
      <c r="D79" s="497"/>
      <c r="E79" s="498"/>
      <c r="F79" s="498"/>
      <c r="G79" s="499"/>
      <c r="H79" s="499"/>
      <c r="I79" s="498"/>
      <c r="J79" s="500"/>
      <c r="K79" s="496"/>
      <c r="L79" s="500"/>
      <c r="M79" s="496"/>
      <c r="N79" s="500"/>
      <c r="O79" s="496"/>
      <c r="P79" s="500"/>
      <c r="Q79" s="498"/>
      <c r="R79" s="500"/>
      <c r="S79" s="498"/>
      <c r="T79" s="496"/>
      <c r="U79" s="498"/>
      <c r="V79" s="496"/>
      <c r="W79" s="498"/>
      <c r="X79" s="500"/>
      <c r="Y79" s="498"/>
      <c r="Z79" s="500"/>
      <c r="AA79" s="500"/>
      <c r="AB79" s="500"/>
      <c r="AC79" s="501"/>
      <c r="AD79" s="500"/>
      <c r="AE79" s="501"/>
      <c r="AF79" s="500"/>
      <c r="AG79" s="501"/>
      <c r="AH79" s="500"/>
      <c r="AI79" s="498"/>
      <c r="AJ79" s="500"/>
      <c r="AK79" s="500"/>
      <c r="AL79" s="500"/>
      <c r="AM79" s="500"/>
      <c r="AN79" s="500"/>
      <c r="AO79" s="500"/>
      <c r="AP79" s="500"/>
      <c r="AQ79" s="500"/>
      <c r="AR79" s="500"/>
      <c r="AS79" s="500"/>
      <c r="AT79" s="500"/>
      <c r="AU79" s="498"/>
      <c r="AV79" s="500"/>
      <c r="AW79" s="500"/>
      <c r="AX79" s="500"/>
      <c r="AY79" s="500"/>
      <c r="AZ79" s="500"/>
      <c r="BA79" s="500"/>
      <c r="BB79" s="500"/>
      <c r="BC79" s="500"/>
      <c r="BD79" s="500"/>
      <c r="BE79" s="500"/>
      <c r="BF79" s="500"/>
      <c r="BG79" s="500"/>
      <c r="BH79" s="500"/>
      <c r="BI79" s="500"/>
      <c r="BJ79" s="500"/>
      <c r="BK79" s="500"/>
      <c r="BL79" s="500"/>
      <c r="BM79" s="500"/>
      <c r="BN79" s="500"/>
      <c r="BO79" s="500"/>
      <c r="BP79" s="500"/>
      <c r="BQ79" s="498"/>
      <c r="BR79" s="498"/>
      <c r="BS79" s="498"/>
      <c r="BT79" s="498"/>
      <c r="BU79" s="498"/>
      <c r="BV79" s="500"/>
      <c r="BW79" s="498"/>
      <c r="BX79" s="498"/>
      <c r="BY79" s="498"/>
      <c r="BZ79" s="498"/>
      <c r="CA79" s="498"/>
      <c r="CB79" s="498"/>
      <c r="CC79" s="498"/>
      <c r="CD79" s="498"/>
      <c r="CE79" s="498"/>
      <c r="CF79" s="498"/>
      <c r="CG79" s="502"/>
      <c r="CH79" s="503"/>
      <c r="CI79" s="502"/>
      <c r="CJ79" s="502"/>
      <c r="CK79" s="502"/>
      <c r="CL79" s="500"/>
      <c r="CM79" s="500"/>
      <c r="CN79" s="500"/>
      <c r="CO79" s="500"/>
    </row>
    <row r="80">
      <c r="A80" s="496"/>
      <c r="B80" s="496"/>
      <c r="C80" s="496"/>
      <c r="D80" s="497"/>
      <c r="E80" s="498"/>
      <c r="F80" s="498"/>
      <c r="G80" s="499"/>
      <c r="H80" s="499"/>
      <c r="I80" s="498"/>
      <c r="J80" s="500"/>
      <c r="K80" s="496"/>
      <c r="L80" s="500"/>
      <c r="M80" s="496"/>
      <c r="N80" s="500"/>
      <c r="O80" s="496"/>
      <c r="P80" s="500"/>
      <c r="Q80" s="498"/>
      <c r="R80" s="500"/>
      <c r="S80" s="498"/>
      <c r="T80" s="496"/>
      <c r="U80" s="498"/>
      <c r="V80" s="496"/>
      <c r="W80" s="498"/>
      <c r="X80" s="500"/>
      <c r="Y80" s="498"/>
      <c r="Z80" s="500"/>
      <c r="AA80" s="500"/>
      <c r="AB80" s="500"/>
      <c r="AC80" s="501"/>
      <c r="AD80" s="500"/>
      <c r="AE80" s="501"/>
      <c r="AF80" s="500"/>
      <c r="AG80" s="501"/>
      <c r="AH80" s="500"/>
      <c r="AI80" s="498"/>
      <c r="AJ80" s="500"/>
      <c r="AK80" s="500"/>
      <c r="AL80" s="500"/>
      <c r="AM80" s="500"/>
      <c r="AN80" s="500"/>
      <c r="AO80" s="500"/>
      <c r="AP80" s="500"/>
      <c r="AQ80" s="500"/>
      <c r="AR80" s="500"/>
      <c r="AS80" s="500"/>
      <c r="AT80" s="500"/>
      <c r="AU80" s="498"/>
      <c r="AV80" s="500"/>
      <c r="AW80" s="500"/>
      <c r="AX80" s="500"/>
      <c r="AY80" s="500"/>
      <c r="AZ80" s="500"/>
      <c r="BA80" s="500"/>
      <c r="BB80" s="500"/>
      <c r="BC80" s="500"/>
      <c r="BD80" s="500"/>
      <c r="BE80" s="500"/>
      <c r="BF80" s="500"/>
      <c r="BG80" s="500"/>
      <c r="BH80" s="500"/>
      <c r="BI80" s="500"/>
      <c r="BJ80" s="500"/>
      <c r="BK80" s="500"/>
      <c r="BL80" s="500"/>
      <c r="BM80" s="500"/>
      <c r="BN80" s="500"/>
      <c r="BO80" s="500"/>
      <c r="BP80" s="500"/>
      <c r="BQ80" s="498"/>
      <c r="BR80" s="498"/>
      <c r="BS80" s="498"/>
      <c r="BT80" s="498"/>
      <c r="BU80" s="498"/>
      <c r="BV80" s="500"/>
      <c r="BW80" s="498"/>
      <c r="BX80" s="498"/>
      <c r="BY80" s="498"/>
      <c r="BZ80" s="498"/>
      <c r="CA80" s="498"/>
      <c r="CB80" s="498"/>
      <c r="CC80" s="498"/>
      <c r="CD80" s="498"/>
      <c r="CE80" s="498"/>
      <c r="CF80" s="498"/>
      <c r="CG80" s="502"/>
      <c r="CH80" s="503"/>
      <c r="CI80" s="502"/>
      <c r="CJ80" s="502"/>
      <c r="CK80" s="502"/>
      <c r="CL80" s="500"/>
      <c r="CM80" s="500"/>
      <c r="CN80" s="500"/>
      <c r="CO80" s="500"/>
    </row>
    <row r="81">
      <c r="A81" s="496"/>
      <c r="B81" s="496"/>
      <c r="C81" s="496"/>
      <c r="D81" s="497"/>
      <c r="E81" s="498"/>
      <c r="F81" s="498"/>
      <c r="G81" s="499"/>
      <c r="H81" s="499"/>
      <c r="I81" s="498"/>
      <c r="J81" s="500"/>
      <c r="K81" s="496"/>
      <c r="L81" s="500"/>
      <c r="M81" s="496"/>
      <c r="N81" s="500"/>
      <c r="O81" s="496"/>
      <c r="P81" s="500"/>
      <c r="Q81" s="498"/>
      <c r="R81" s="500"/>
      <c r="S81" s="498"/>
      <c r="T81" s="496"/>
      <c r="U81" s="498"/>
      <c r="V81" s="496"/>
      <c r="W81" s="498"/>
      <c r="X81" s="500"/>
      <c r="Y81" s="498"/>
      <c r="Z81" s="500"/>
      <c r="AA81" s="500"/>
      <c r="AB81" s="500"/>
      <c r="AC81" s="501"/>
      <c r="AD81" s="500"/>
      <c r="AE81" s="501"/>
      <c r="AF81" s="500"/>
      <c r="AG81" s="501"/>
      <c r="AH81" s="500"/>
      <c r="AI81" s="498"/>
      <c r="AJ81" s="500"/>
      <c r="AK81" s="500"/>
      <c r="AL81" s="500"/>
      <c r="AM81" s="500"/>
      <c r="AN81" s="500"/>
      <c r="AO81" s="500"/>
      <c r="AP81" s="500"/>
      <c r="AQ81" s="500"/>
      <c r="AR81" s="500"/>
      <c r="AS81" s="500"/>
      <c r="AT81" s="500"/>
      <c r="AU81" s="498"/>
      <c r="AV81" s="500"/>
      <c r="AW81" s="500"/>
      <c r="AX81" s="500"/>
      <c r="AY81" s="500"/>
      <c r="AZ81" s="500"/>
      <c r="BA81" s="500"/>
      <c r="BB81" s="500"/>
      <c r="BC81" s="500"/>
      <c r="BD81" s="500"/>
      <c r="BE81" s="500"/>
      <c r="BF81" s="500"/>
      <c r="BG81" s="500"/>
      <c r="BH81" s="500"/>
      <c r="BI81" s="500"/>
      <c r="BJ81" s="500"/>
      <c r="BK81" s="500"/>
      <c r="BL81" s="500"/>
      <c r="BM81" s="500"/>
      <c r="BN81" s="500"/>
      <c r="BO81" s="500"/>
      <c r="BP81" s="500"/>
      <c r="BQ81" s="498"/>
      <c r="BR81" s="498"/>
      <c r="BS81" s="498"/>
      <c r="BT81" s="498"/>
      <c r="BU81" s="498"/>
      <c r="BV81" s="500"/>
      <c r="BW81" s="498"/>
      <c r="BX81" s="498"/>
      <c r="BY81" s="498"/>
      <c r="BZ81" s="498"/>
      <c r="CA81" s="498"/>
      <c r="CB81" s="498"/>
      <c r="CC81" s="498"/>
      <c r="CD81" s="498"/>
      <c r="CE81" s="498"/>
      <c r="CF81" s="498"/>
      <c r="CG81" s="502"/>
      <c r="CH81" s="503"/>
      <c r="CI81" s="502"/>
      <c r="CJ81" s="502"/>
      <c r="CK81" s="502"/>
      <c r="CL81" s="500"/>
      <c r="CM81" s="500"/>
      <c r="CN81" s="500"/>
      <c r="CO81" s="500"/>
    </row>
    <row r="82">
      <c r="A82" s="496"/>
      <c r="B82" s="496"/>
      <c r="C82" s="496"/>
      <c r="D82" s="497"/>
      <c r="E82" s="498"/>
      <c r="F82" s="498"/>
      <c r="G82" s="499"/>
      <c r="H82" s="499"/>
      <c r="I82" s="498"/>
      <c r="J82" s="500"/>
      <c r="K82" s="496"/>
      <c r="L82" s="500"/>
      <c r="M82" s="496"/>
      <c r="N82" s="500"/>
      <c r="O82" s="496"/>
      <c r="P82" s="500"/>
      <c r="Q82" s="498"/>
      <c r="R82" s="500"/>
      <c r="S82" s="498"/>
      <c r="T82" s="496"/>
      <c r="U82" s="498"/>
      <c r="V82" s="496"/>
      <c r="W82" s="498"/>
      <c r="X82" s="500"/>
      <c r="Y82" s="498"/>
      <c r="Z82" s="500"/>
      <c r="AA82" s="500"/>
      <c r="AB82" s="500"/>
      <c r="AC82" s="501"/>
      <c r="AD82" s="500"/>
      <c r="AE82" s="501"/>
      <c r="AF82" s="500"/>
      <c r="AG82" s="501"/>
      <c r="AH82" s="500"/>
      <c r="AI82" s="498"/>
      <c r="AJ82" s="500"/>
      <c r="AK82" s="500"/>
      <c r="AL82" s="500"/>
      <c r="AM82" s="500"/>
      <c r="AN82" s="500"/>
      <c r="AO82" s="500"/>
      <c r="AP82" s="500"/>
      <c r="AQ82" s="500"/>
      <c r="AR82" s="500"/>
      <c r="AS82" s="500"/>
      <c r="AT82" s="500"/>
      <c r="AU82" s="498"/>
      <c r="AV82" s="500"/>
      <c r="AW82" s="500"/>
      <c r="AX82" s="500"/>
      <c r="AY82" s="500"/>
      <c r="AZ82" s="500"/>
      <c r="BA82" s="500"/>
      <c r="BB82" s="500"/>
      <c r="BC82" s="500"/>
      <c r="BD82" s="500"/>
      <c r="BE82" s="500"/>
      <c r="BF82" s="500"/>
      <c r="BG82" s="500"/>
      <c r="BH82" s="500"/>
      <c r="BI82" s="500"/>
      <c r="BJ82" s="500"/>
      <c r="BK82" s="500"/>
      <c r="BL82" s="500"/>
      <c r="BM82" s="500"/>
      <c r="BN82" s="500"/>
      <c r="BO82" s="500"/>
      <c r="BP82" s="500"/>
      <c r="BQ82" s="498"/>
      <c r="BR82" s="498"/>
      <c r="BS82" s="498"/>
      <c r="BT82" s="498"/>
      <c r="BU82" s="498"/>
      <c r="BV82" s="500"/>
      <c r="BW82" s="498"/>
      <c r="BX82" s="498"/>
      <c r="BY82" s="498"/>
      <c r="BZ82" s="498"/>
      <c r="CA82" s="498"/>
      <c r="CB82" s="498"/>
      <c r="CC82" s="498"/>
      <c r="CD82" s="498"/>
      <c r="CE82" s="498"/>
      <c r="CF82" s="498"/>
      <c r="CG82" s="502"/>
      <c r="CH82" s="503"/>
      <c r="CI82" s="502"/>
      <c r="CJ82" s="502"/>
      <c r="CK82" s="502"/>
      <c r="CL82" s="500"/>
      <c r="CM82" s="500"/>
      <c r="CN82" s="500"/>
      <c r="CO82" s="500"/>
    </row>
    <row r="83">
      <c r="A83" s="496"/>
      <c r="B83" s="496"/>
      <c r="C83" s="496"/>
      <c r="D83" s="497"/>
      <c r="E83" s="498"/>
      <c r="F83" s="498"/>
      <c r="G83" s="499"/>
      <c r="H83" s="499"/>
      <c r="I83" s="498"/>
      <c r="J83" s="500"/>
      <c r="K83" s="496"/>
      <c r="L83" s="500"/>
      <c r="M83" s="496"/>
      <c r="N83" s="500"/>
      <c r="O83" s="496"/>
      <c r="P83" s="500"/>
      <c r="Q83" s="498"/>
      <c r="R83" s="500"/>
      <c r="S83" s="498"/>
      <c r="T83" s="496"/>
      <c r="U83" s="498"/>
      <c r="V83" s="496"/>
      <c r="W83" s="498"/>
      <c r="X83" s="500"/>
      <c r="Y83" s="498"/>
      <c r="Z83" s="500"/>
      <c r="AA83" s="500"/>
      <c r="AB83" s="500"/>
      <c r="AC83" s="501"/>
      <c r="AD83" s="500"/>
      <c r="AE83" s="501"/>
      <c r="AF83" s="500"/>
      <c r="AG83" s="501"/>
      <c r="AH83" s="500"/>
      <c r="AI83" s="498"/>
      <c r="AJ83" s="500"/>
      <c r="AK83" s="500"/>
      <c r="AL83" s="500"/>
      <c r="AM83" s="500"/>
      <c r="AN83" s="500"/>
      <c r="AO83" s="500"/>
      <c r="AP83" s="500"/>
      <c r="AQ83" s="500"/>
      <c r="AR83" s="500"/>
      <c r="AS83" s="500"/>
      <c r="AT83" s="500"/>
      <c r="AU83" s="498"/>
      <c r="AV83" s="500"/>
      <c r="AW83" s="500"/>
      <c r="AX83" s="500"/>
      <c r="AY83" s="500"/>
      <c r="AZ83" s="500"/>
      <c r="BA83" s="500"/>
      <c r="BB83" s="500"/>
      <c r="BC83" s="500"/>
      <c r="BD83" s="500"/>
      <c r="BE83" s="500"/>
      <c r="BF83" s="500"/>
      <c r="BG83" s="500"/>
      <c r="BH83" s="500"/>
      <c r="BI83" s="500"/>
      <c r="BJ83" s="500"/>
      <c r="BK83" s="500"/>
      <c r="BL83" s="500"/>
      <c r="BM83" s="500"/>
      <c r="BN83" s="500"/>
      <c r="BO83" s="500"/>
      <c r="BP83" s="500"/>
      <c r="BQ83" s="498"/>
      <c r="BR83" s="498"/>
      <c r="BS83" s="498"/>
      <c r="BT83" s="498"/>
      <c r="BU83" s="498"/>
      <c r="BV83" s="500"/>
      <c r="BW83" s="498"/>
      <c r="BX83" s="498"/>
      <c r="BY83" s="498"/>
      <c r="BZ83" s="498"/>
      <c r="CA83" s="498"/>
      <c r="CB83" s="498"/>
      <c r="CC83" s="498"/>
      <c r="CD83" s="498"/>
      <c r="CE83" s="498"/>
      <c r="CF83" s="498"/>
      <c r="CG83" s="502"/>
      <c r="CH83" s="503"/>
      <c r="CI83" s="502"/>
      <c r="CJ83" s="502"/>
      <c r="CK83" s="502"/>
      <c r="CL83" s="500"/>
      <c r="CM83" s="500"/>
      <c r="CN83" s="500"/>
      <c r="CO83" s="500"/>
    </row>
    <row r="84">
      <c r="A84" s="496"/>
      <c r="B84" s="496"/>
      <c r="C84" s="496"/>
      <c r="D84" s="497"/>
      <c r="E84" s="498"/>
      <c r="F84" s="498"/>
      <c r="G84" s="499"/>
      <c r="H84" s="499"/>
      <c r="I84" s="498"/>
      <c r="J84" s="500"/>
      <c r="K84" s="496"/>
      <c r="L84" s="500"/>
      <c r="M84" s="496"/>
      <c r="N84" s="500"/>
      <c r="O84" s="496"/>
      <c r="P84" s="500"/>
      <c r="Q84" s="498"/>
      <c r="R84" s="500"/>
      <c r="S84" s="498"/>
      <c r="T84" s="496"/>
      <c r="U84" s="498"/>
      <c r="V84" s="496"/>
      <c r="W84" s="498"/>
      <c r="X84" s="500"/>
      <c r="Y84" s="498"/>
      <c r="Z84" s="500"/>
      <c r="AA84" s="500"/>
      <c r="AB84" s="500"/>
      <c r="AC84" s="501"/>
      <c r="AD84" s="500"/>
      <c r="AE84" s="501"/>
      <c r="AF84" s="500"/>
      <c r="AG84" s="501"/>
      <c r="AH84" s="500"/>
      <c r="AI84" s="498"/>
      <c r="AJ84" s="500"/>
      <c r="AK84" s="500"/>
      <c r="AL84" s="500"/>
      <c r="AM84" s="500"/>
      <c r="AN84" s="500"/>
      <c r="AO84" s="500"/>
      <c r="AP84" s="500"/>
      <c r="AQ84" s="500"/>
      <c r="AR84" s="500"/>
      <c r="AS84" s="500"/>
      <c r="AT84" s="500"/>
      <c r="AU84" s="498"/>
      <c r="AV84" s="500"/>
      <c r="AW84" s="500"/>
      <c r="AX84" s="500"/>
      <c r="AY84" s="500"/>
      <c r="AZ84" s="500"/>
      <c r="BA84" s="500"/>
      <c r="BB84" s="500"/>
      <c r="BC84" s="500"/>
      <c r="BD84" s="500"/>
      <c r="BE84" s="500"/>
      <c r="BF84" s="500"/>
      <c r="BG84" s="500"/>
      <c r="BH84" s="500"/>
      <c r="BI84" s="500"/>
      <c r="BJ84" s="500"/>
      <c r="BK84" s="500"/>
      <c r="BL84" s="500"/>
      <c r="BM84" s="500"/>
      <c r="BN84" s="500"/>
      <c r="BO84" s="500"/>
      <c r="BP84" s="500"/>
      <c r="BQ84" s="498"/>
      <c r="BR84" s="498"/>
      <c r="BS84" s="498"/>
      <c r="BT84" s="498"/>
      <c r="BU84" s="498"/>
      <c r="BV84" s="500"/>
      <c r="BW84" s="498"/>
      <c r="BX84" s="498"/>
      <c r="BY84" s="498"/>
      <c r="BZ84" s="498"/>
      <c r="CA84" s="498"/>
      <c r="CB84" s="498"/>
      <c r="CC84" s="498"/>
      <c r="CD84" s="498"/>
      <c r="CE84" s="498"/>
      <c r="CF84" s="498"/>
      <c r="CG84" s="502"/>
      <c r="CH84" s="503"/>
      <c r="CI84" s="502"/>
      <c r="CJ84" s="502"/>
      <c r="CK84" s="502"/>
      <c r="CL84" s="500"/>
      <c r="CM84" s="500"/>
      <c r="CN84" s="500"/>
      <c r="CO84" s="500"/>
    </row>
    <row r="85">
      <c r="A85" s="496"/>
      <c r="B85" s="496"/>
      <c r="C85" s="496"/>
      <c r="D85" s="497"/>
      <c r="E85" s="498"/>
      <c r="F85" s="498"/>
      <c r="G85" s="499"/>
      <c r="H85" s="499"/>
      <c r="I85" s="498"/>
      <c r="J85" s="500"/>
      <c r="K85" s="496"/>
      <c r="L85" s="500"/>
      <c r="M85" s="496"/>
      <c r="N85" s="500"/>
      <c r="O85" s="496"/>
      <c r="P85" s="500"/>
      <c r="Q85" s="498"/>
      <c r="R85" s="500"/>
      <c r="S85" s="498"/>
      <c r="T85" s="496"/>
      <c r="U85" s="498"/>
      <c r="V85" s="496"/>
      <c r="W85" s="498"/>
      <c r="X85" s="500"/>
      <c r="Y85" s="498"/>
      <c r="Z85" s="500"/>
      <c r="AA85" s="500"/>
      <c r="AB85" s="500"/>
      <c r="AC85" s="501"/>
      <c r="AD85" s="500"/>
      <c r="AE85" s="501"/>
      <c r="AF85" s="500"/>
      <c r="AG85" s="501"/>
      <c r="AH85" s="500"/>
      <c r="AI85" s="498"/>
      <c r="AJ85" s="500"/>
      <c r="AK85" s="500"/>
      <c r="AL85" s="500"/>
      <c r="AM85" s="500"/>
      <c r="AN85" s="500"/>
      <c r="AO85" s="500"/>
      <c r="AP85" s="500"/>
      <c r="AQ85" s="500"/>
      <c r="AR85" s="500"/>
      <c r="AS85" s="500"/>
      <c r="AT85" s="500"/>
      <c r="AU85" s="498"/>
      <c r="AV85" s="500"/>
      <c r="AW85" s="500"/>
      <c r="AX85" s="500"/>
      <c r="AY85" s="500"/>
      <c r="AZ85" s="500"/>
      <c r="BA85" s="500"/>
      <c r="BB85" s="500"/>
      <c r="BC85" s="500"/>
      <c r="BD85" s="500"/>
      <c r="BE85" s="500"/>
      <c r="BF85" s="500"/>
      <c r="BG85" s="500"/>
      <c r="BH85" s="500"/>
      <c r="BI85" s="500"/>
      <c r="BJ85" s="500"/>
      <c r="BK85" s="500"/>
      <c r="BL85" s="500"/>
      <c r="BM85" s="500"/>
      <c r="BN85" s="500"/>
      <c r="BO85" s="500"/>
      <c r="BP85" s="500"/>
      <c r="BQ85" s="498"/>
      <c r="BR85" s="498"/>
      <c r="BS85" s="498"/>
      <c r="BT85" s="498"/>
      <c r="BU85" s="498"/>
      <c r="BV85" s="500"/>
      <c r="BW85" s="498"/>
      <c r="BX85" s="498"/>
      <c r="BY85" s="498"/>
      <c r="BZ85" s="498"/>
      <c r="CA85" s="498"/>
      <c r="CB85" s="498"/>
      <c r="CC85" s="498"/>
      <c r="CD85" s="498"/>
      <c r="CE85" s="498"/>
      <c r="CF85" s="498"/>
      <c r="CG85" s="502"/>
      <c r="CH85" s="503"/>
      <c r="CI85" s="502"/>
      <c r="CJ85" s="502"/>
      <c r="CK85" s="502"/>
      <c r="CL85" s="500"/>
      <c r="CM85" s="500"/>
      <c r="CN85" s="500"/>
      <c r="CO85" s="500"/>
    </row>
    <row r="86">
      <c r="A86" s="496"/>
      <c r="B86" s="496"/>
      <c r="C86" s="496"/>
      <c r="D86" s="497"/>
      <c r="E86" s="498"/>
      <c r="F86" s="498"/>
      <c r="G86" s="499"/>
      <c r="H86" s="499"/>
      <c r="I86" s="498"/>
      <c r="J86" s="500"/>
      <c r="K86" s="496"/>
      <c r="L86" s="500"/>
      <c r="M86" s="496"/>
      <c r="N86" s="500"/>
      <c r="O86" s="496"/>
      <c r="P86" s="500"/>
      <c r="Q86" s="498"/>
      <c r="R86" s="500"/>
      <c r="S86" s="498"/>
      <c r="T86" s="496"/>
      <c r="U86" s="498"/>
      <c r="V86" s="496"/>
      <c r="W86" s="498"/>
      <c r="X86" s="500"/>
      <c r="Y86" s="498"/>
      <c r="Z86" s="500"/>
      <c r="AA86" s="500"/>
      <c r="AB86" s="500"/>
      <c r="AC86" s="501"/>
      <c r="AD86" s="500"/>
      <c r="AE86" s="501"/>
      <c r="AF86" s="500"/>
      <c r="AG86" s="501"/>
      <c r="AH86" s="500"/>
      <c r="AI86" s="498"/>
      <c r="AJ86" s="500"/>
      <c r="AK86" s="500"/>
      <c r="AL86" s="500"/>
      <c r="AM86" s="500"/>
      <c r="AN86" s="500"/>
      <c r="AO86" s="500"/>
      <c r="AP86" s="500"/>
      <c r="AQ86" s="500"/>
      <c r="AR86" s="500"/>
      <c r="AS86" s="500"/>
      <c r="AT86" s="500"/>
      <c r="AU86" s="498"/>
      <c r="AV86" s="500"/>
      <c r="AW86" s="500"/>
      <c r="AX86" s="500"/>
      <c r="AY86" s="500"/>
      <c r="AZ86" s="500"/>
      <c r="BA86" s="500"/>
      <c r="BB86" s="500"/>
      <c r="BC86" s="500"/>
      <c r="BD86" s="500"/>
      <c r="BE86" s="500"/>
      <c r="BF86" s="500"/>
      <c r="BG86" s="500"/>
      <c r="BH86" s="500"/>
      <c r="BI86" s="500"/>
      <c r="BJ86" s="500"/>
      <c r="BK86" s="500"/>
      <c r="BL86" s="500"/>
      <c r="BM86" s="500"/>
      <c r="BN86" s="500"/>
      <c r="BO86" s="500"/>
      <c r="BP86" s="500"/>
      <c r="BQ86" s="498"/>
      <c r="BR86" s="498"/>
      <c r="BS86" s="498"/>
      <c r="BT86" s="498"/>
      <c r="BU86" s="498"/>
      <c r="BV86" s="500"/>
      <c r="BW86" s="498"/>
      <c r="BX86" s="498"/>
      <c r="BY86" s="498"/>
      <c r="BZ86" s="498"/>
      <c r="CA86" s="498"/>
      <c r="CB86" s="498"/>
      <c r="CC86" s="498"/>
      <c r="CD86" s="498"/>
      <c r="CE86" s="498"/>
      <c r="CF86" s="498"/>
      <c r="CG86" s="502"/>
      <c r="CH86" s="503"/>
      <c r="CI86" s="502"/>
      <c r="CJ86" s="502"/>
      <c r="CK86" s="502"/>
      <c r="CL86" s="500"/>
      <c r="CM86" s="500"/>
      <c r="CN86" s="500"/>
      <c r="CO86" s="500"/>
    </row>
    <row r="87">
      <c r="A87" s="496"/>
      <c r="B87" s="496"/>
      <c r="C87" s="496"/>
      <c r="D87" s="497"/>
      <c r="E87" s="498"/>
      <c r="F87" s="498"/>
      <c r="G87" s="499"/>
      <c r="H87" s="499"/>
      <c r="I87" s="498"/>
      <c r="J87" s="500"/>
      <c r="K87" s="496"/>
      <c r="L87" s="500"/>
      <c r="M87" s="496"/>
      <c r="N87" s="500"/>
      <c r="O87" s="496"/>
      <c r="P87" s="500"/>
      <c r="Q87" s="498"/>
      <c r="R87" s="500"/>
      <c r="S87" s="498"/>
      <c r="T87" s="496"/>
      <c r="U87" s="498"/>
      <c r="V87" s="496"/>
      <c r="W87" s="498"/>
      <c r="X87" s="500"/>
      <c r="Y87" s="498"/>
      <c r="Z87" s="500"/>
      <c r="AA87" s="500"/>
      <c r="AB87" s="500"/>
      <c r="AC87" s="501"/>
      <c r="AD87" s="500"/>
      <c r="AE87" s="501"/>
      <c r="AF87" s="500"/>
      <c r="AG87" s="501"/>
      <c r="AH87" s="500"/>
      <c r="AI87" s="498"/>
      <c r="AJ87" s="500"/>
      <c r="AK87" s="500"/>
      <c r="AL87" s="500"/>
      <c r="AM87" s="500"/>
      <c r="AN87" s="500"/>
      <c r="AO87" s="500"/>
      <c r="AP87" s="500"/>
      <c r="AQ87" s="500"/>
      <c r="AR87" s="500"/>
      <c r="AS87" s="500"/>
      <c r="AT87" s="500"/>
      <c r="AU87" s="498"/>
      <c r="AV87" s="500"/>
      <c r="AW87" s="500"/>
      <c r="AX87" s="500"/>
      <c r="AY87" s="500"/>
      <c r="AZ87" s="500"/>
      <c r="BA87" s="500"/>
      <c r="BB87" s="500"/>
      <c r="BC87" s="500"/>
      <c r="BD87" s="500"/>
      <c r="BE87" s="500"/>
      <c r="BF87" s="500"/>
      <c r="BG87" s="500"/>
      <c r="BH87" s="500"/>
      <c r="BI87" s="500"/>
      <c r="BJ87" s="500"/>
      <c r="BK87" s="500"/>
      <c r="BL87" s="500"/>
      <c r="BM87" s="500"/>
      <c r="BN87" s="500"/>
      <c r="BO87" s="500"/>
      <c r="BP87" s="500"/>
      <c r="BQ87" s="498"/>
      <c r="BR87" s="498"/>
      <c r="BS87" s="498"/>
      <c r="BT87" s="498"/>
      <c r="BU87" s="498"/>
      <c r="BV87" s="500"/>
      <c r="BW87" s="498"/>
      <c r="BX87" s="498"/>
      <c r="BY87" s="498"/>
      <c r="BZ87" s="498"/>
      <c r="CA87" s="498"/>
      <c r="CB87" s="498"/>
      <c r="CC87" s="498"/>
      <c r="CD87" s="498"/>
      <c r="CE87" s="498"/>
      <c r="CF87" s="498"/>
      <c r="CG87" s="502"/>
      <c r="CH87" s="503"/>
      <c r="CI87" s="502"/>
      <c r="CJ87" s="502"/>
      <c r="CK87" s="502"/>
      <c r="CL87" s="500"/>
      <c r="CM87" s="500"/>
      <c r="CN87" s="500"/>
      <c r="CO87" s="500"/>
    </row>
    <row r="88">
      <c r="A88" s="496"/>
      <c r="B88" s="496"/>
      <c r="C88" s="496"/>
      <c r="D88" s="497"/>
      <c r="E88" s="498"/>
      <c r="F88" s="498"/>
      <c r="G88" s="499"/>
      <c r="H88" s="499"/>
      <c r="I88" s="498"/>
      <c r="J88" s="500"/>
      <c r="K88" s="496"/>
      <c r="L88" s="500"/>
      <c r="M88" s="496"/>
      <c r="N88" s="500"/>
      <c r="O88" s="496"/>
      <c r="P88" s="500"/>
      <c r="Q88" s="498"/>
      <c r="R88" s="500"/>
      <c r="S88" s="498"/>
      <c r="T88" s="496"/>
      <c r="U88" s="498"/>
      <c r="V88" s="496"/>
      <c r="W88" s="498"/>
      <c r="X88" s="500"/>
      <c r="Y88" s="498"/>
      <c r="Z88" s="500"/>
      <c r="AA88" s="500"/>
      <c r="AB88" s="500"/>
      <c r="AC88" s="501"/>
      <c r="AD88" s="500"/>
      <c r="AE88" s="501"/>
      <c r="AF88" s="500"/>
      <c r="AG88" s="501"/>
      <c r="AH88" s="500"/>
      <c r="AI88" s="498"/>
      <c r="AJ88" s="500"/>
      <c r="AK88" s="500"/>
      <c r="AL88" s="500"/>
      <c r="AM88" s="500"/>
      <c r="AN88" s="500"/>
      <c r="AO88" s="500"/>
      <c r="AP88" s="500"/>
      <c r="AQ88" s="500"/>
      <c r="AR88" s="500"/>
      <c r="AS88" s="500"/>
      <c r="AT88" s="500"/>
      <c r="AU88" s="498"/>
      <c r="AV88" s="500"/>
      <c r="AW88" s="500"/>
      <c r="AX88" s="500"/>
      <c r="AY88" s="500"/>
      <c r="AZ88" s="500"/>
      <c r="BA88" s="500"/>
      <c r="BB88" s="500"/>
      <c r="BC88" s="500"/>
      <c r="BD88" s="500"/>
      <c r="BE88" s="500"/>
      <c r="BF88" s="500"/>
      <c r="BG88" s="500"/>
      <c r="BH88" s="500"/>
      <c r="BI88" s="500"/>
      <c r="BJ88" s="500"/>
      <c r="BK88" s="500"/>
      <c r="BL88" s="500"/>
      <c r="BM88" s="500"/>
      <c r="BN88" s="500"/>
      <c r="BO88" s="500"/>
      <c r="BP88" s="500"/>
      <c r="BQ88" s="498"/>
      <c r="BR88" s="498"/>
      <c r="BS88" s="498"/>
      <c r="BT88" s="498"/>
      <c r="BU88" s="498"/>
      <c r="BV88" s="500"/>
      <c r="BW88" s="498"/>
      <c r="BX88" s="498"/>
      <c r="BY88" s="498"/>
      <c r="BZ88" s="498"/>
      <c r="CA88" s="498"/>
      <c r="CB88" s="498"/>
      <c r="CC88" s="498"/>
      <c r="CD88" s="498"/>
      <c r="CE88" s="498"/>
      <c r="CF88" s="498"/>
      <c r="CG88" s="502"/>
      <c r="CH88" s="503"/>
      <c r="CI88" s="502"/>
      <c r="CJ88" s="502"/>
      <c r="CK88" s="502"/>
      <c r="CL88" s="500"/>
      <c r="CM88" s="500"/>
      <c r="CN88" s="500"/>
      <c r="CO88" s="500"/>
    </row>
    <row r="89">
      <c r="A89" s="496"/>
      <c r="B89" s="496"/>
      <c r="C89" s="496"/>
      <c r="D89" s="497"/>
      <c r="E89" s="498"/>
      <c r="F89" s="498"/>
      <c r="G89" s="499"/>
      <c r="H89" s="499"/>
      <c r="I89" s="498"/>
      <c r="J89" s="500"/>
      <c r="K89" s="496"/>
      <c r="L89" s="500"/>
      <c r="M89" s="496"/>
      <c r="N89" s="500"/>
      <c r="O89" s="496"/>
      <c r="P89" s="500"/>
      <c r="Q89" s="498"/>
      <c r="R89" s="500"/>
      <c r="S89" s="498"/>
      <c r="T89" s="496"/>
      <c r="U89" s="498"/>
      <c r="V89" s="496"/>
      <c r="W89" s="498"/>
      <c r="X89" s="500"/>
      <c r="Y89" s="498"/>
      <c r="Z89" s="500"/>
      <c r="AA89" s="500"/>
      <c r="AB89" s="500"/>
      <c r="AC89" s="501"/>
      <c r="AD89" s="500"/>
      <c r="AE89" s="501"/>
      <c r="AF89" s="500"/>
      <c r="AG89" s="501"/>
      <c r="AH89" s="500"/>
      <c r="AI89" s="498"/>
      <c r="AJ89" s="500"/>
      <c r="AK89" s="500"/>
      <c r="AL89" s="500"/>
      <c r="AM89" s="500"/>
      <c r="AN89" s="500"/>
      <c r="AO89" s="500"/>
      <c r="AP89" s="500"/>
      <c r="AQ89" s="500"/>
      <c r="AR89" s="500"/>
      <c r="AS89" s="500"/>
      <c r="AT89" s="500"/>
      <c r="AU89" s="498"/>
      <c r="AV89" s="500"/>
      <c r="AW89" s="500"/>
      <c r="AX89" s="500"/>
      <c r="AY89" s="500"/>
      <c r="AZ89" s="500"/>
      <c r="BA89" s="500"/>
      <c r="BB89" s="500"/>
      <c r="BC89" s="500"/>
      <c r="BD89" s="500"/>
      <c r="BE89" s="500"/>
      <c r="BF89" s="500"/>
      <c r="BG89" s="500"/>
      <c r="BH89" s="500"/>
      <c r="BI89" s="500"/>
      <c r="BJ89" s="500"/>
      <c r="BK89" s="500"/>
      <c r="BL89" s="500"/>
      <c r="BM89" s="500"/>
      <c r="BN89" s="500"/>
      <c r="BO89" s="500"/>
      <c r="BP89" s="500"/>
      <c r="BQ89" s="498"/>
      <c r="BR89" s="498"/>
      <c r="BS89" s="498"/>
      <c r="BT89" s="498"/>
      <c r="BU89" s="498"/>
      <c r="BV89" s="500"/>
      <c r="BW89" s="498"/>
      <c r="BX89" s="498"/>
      <c r="BY89" s="498"/>
      <c r="BZ89" s="498"/>
      <c r="CA89" s="498"/>
      <c r="CB89" s="498"/>
      <c r="CC89" s="498"/>
      <c r="CD89" s="498"/>
      <c r="CE89" s="498"/>
      <c r="CF89" s="498"/>
      <c r="CG89" s="502"/>
      <c r="CH89" s="503"/>
      <c r="CI89" s="502"/>
      <c r="CJ89" s="502"/>
      <c r="CK89" s="502"/>
      <c r="CL89" s="500"/>
      <c r="CM89" s="500"/>
      <c r="CN89" s="500"/>
      <c r="CO89" s="500"/>
    </row>
    <row r="90">
      <c r="A90" s="496"/>
      <c r="B90" s="496"/>
      <c r="C90" s="496"/>
      <c r="D90" s="497"/>
      <c r="E90" s="498"/>
      <c r="F90" s="498"/>
      <c r="G90" s="499"/>
      <c r="H90" s="499"/>
      <c r="I90" s="498"/>
      <c r="J90" s="500"/>
      <c r="K90" s="496"/>
      <c r="L90" s="500"/>
      <c r="M90" s="496"/>
      <c r="N90" s="500"/>
      <c r="O90" s="496"/>
      <c r="P90" s="500"/>
      <c r="Q90" s="498"/>
      <c r="R90" s="500"/>
      <c r="S90" s="498"/>
      <c r="T90" s="496"/>
      <c r="U90" s="498"/>
      <c r="V90" s="496"/>
      <c r="W90" s="498"/>
      <c r="X90" s="500"/>
      <c r="Y90" s="498"/>
      <c r="Z90" s="500"/>
      <c r="AA90" s="500"/>
      <c r="AB90" s="500"/>
      <c r="AC90" s="501"/>
      <c r="AD90" s="500"/>
      <c r="AE90" s="501"/>
      <c r="AF90" s="500"/>
      <c r="AG90" s="501"/>
      <c r="AH90" s="500"/>
      <c r="AI90" s="498"/>
      <c r="AJ90" s="500"/>
      <c r="AK90" s="500"/>
      <c r="AL90" s="500"/>
      <c r="AM90" s="500"/>
      <c r="AN90" s="500"/>
      <c r="AO90" s="500"/>
      <c r="AP90" s="500"/>
      <c r="AQ90" s="500"/>
      <c r="AR90" s="500"/>
      <c r="AS90" s="500"/>
      <c r="AT90" s="500"/>
      <c r="AU90" s="498"/>
      <c r="AV90" s="500"/>
      <c r="AW90" s="500"/>
      <c r="AX90" s="500"/>
      <c r="AY90" s="500"/>
      <c r="AZ90" s="500"/>
      <c r="BA90" s="500"/>
      <c r="BB90" s="500"/>
      <c r="BC90" s="500"/>
      <c r="BD90" s="500"/>
      <c r="BE90" s="500"/>
      <c r="BF90" s="500"/>
      <c r="BG90" s="500"/>
      <c r="BH90" s="500"/>
      <c r="BI90" s="500"/>
      <c r="BJ90" s="500"/>
      <c r="BK90" s="500"/>
      <c r="BL90" s="500"/>
      <c r="BM90" s="500"/>
      <c r="BN90" s="500"/>
      <c r="BO90" s="500"/>
      <c r="BP90" s="500"/>
      <c r="BQ90" s="498"/>
      <c r="BR90" s="498"/>
      <c r="BS90" s="498"/>
      <c r="BT90" s="498"/>
      <c r="BU90" s="498"/>
      <c r="BV90" s="500"/>
      <c r="BW90" s="498"/>
      <c r="BX90" s="498"/>
      <c r="BY90" s="498"/>
      <c r="BZ90" s="498"/>
      <c r="CA90" s="498"/>
      <c r="CB90" s="498"/>
      <c r="CC90" s="498"/>
      <c r="CD90" s="498"/>
      <c r="CE90" s="498"/>
      <c r="CF90" s="498"/>
      <c r="CG90" s="502"/>
      <c r="CH90" s="503"/>
      <c r="CI90" s="502"/>
      <c r="CJ90" s="502"/>
      <c r="CK90" s="502"/>
      <c r="CL90" s="500"/>
      <c r="CM90" s="500"/>
      <c r="CN90" s="500"/>
      <c r="CO90" s="500"/>
    </row>
    <row r="91">
      <c r="A91" s="496"/>
      <c r="B91" s="496"/>
      <c r="C91" s="496"/>
      <c r="D91" s="497"/>
      <c r="E91" s="498"/>
      <c r="F91" s="498"/>
      <c r="G91" s="499"/>
      <c r="H91" s="499"/>
      <c r="I91" s="498"/>
      <c r="J91" s="500"/>
      <c r="K91" s="496"/>
      <c r="L91" s="500"/>
      <c r="M91" s="496"/>
      <c r="N91" s="500"/>
      <c r="O91" s="496"/>
      <c r="P91" s="500"/>
      <c r="Q91" s="498"/>
      <c r="R91" s="500"/>
      <c r="S91" s="498"/>
      <c r="T91" s="496"/>
      <c r="U91" s="498"/>
      <c r="V91" s="496"/>
      <c r="W91" s="498"/>
      <c r="X91" s="500"/>
      <c r="Y91" s="498"/>
      <c r="Z91" s="500"/>
      <c r="AA91" s="500"/>
      <c r="AB91" s="500"/>
      <c r="AC91" s="501"/>
      <c r="AD91" s="500"/>
      <c r="AE91" s="501"/>
      <c r="AF91" s="500"/>
      <c r="AG91" s="501"/>
      <c r="AH91" s="500"/>
      <c r="AI91" s="498"/>
      <c r="AJ91" s="500"/>
      <c r="AK91" s="500"/>
      <c r="AL91" s="500"/>
      <c r="AM91" s="500"/>
      <c r="AN91" s="500"/>
      <c r="AO91" s="500"/>
      <c r="AP91" s="500"/>
      <c r="AQ91" s="500"/>
      <c r="AR91" s="500"/>
      <c r="AS91" s="500"/>
      <c r="AT91" s="500"/>
      <c r="AU91" s="498"/>
      <c r="AV91" s="500"/>
      <c r="AW91" s="500"/>
      <c r="AX91" s="500"/>
      <c r="AY91" s="500"/>
      <c r="AZ91" s="500"/>
      <c r="BA91" s="500"/>
      <c r="BB91" s="500"/>
      <c r="BC91" s="500"/>
      <c r="BD91" s="500"/>
      <c r="BE91" s="500"/>
      <c r="BF91" s="500"/>
      <c r="BG91" s="500"/>
      <c r="BH91" s="500"/>
      <c r="BI91" s="500"/>
      <c r="BJ91" s="500"/>
      <c r="BK91" s="500"/>
      <c r="BL91" s="500"/>
      <c r="BM91" s="500"/>
      <c r="BN91" s="500"/>
      <c r="BO91" s="500"/>
      <c r="BP91" s="500"/>
      <c r="BQ91" s="498"/>
      <c r="BR91" s="498"/>
      <c r="BS91" s="498"/>
      <c r="BT91" s="498"/>
      <c r="BU91" s="498"/>
      <c r="BV91" s="500"/>
      <c r="BW91" s="498"/>
      <c r="BX91" s="498"/>
      <c r="BY91" s="498"/>
      <c r="BZ91" s="498"/>
      <c r="CA91" s="498"/>
      <c r="CB91" s="498"/>
      <c r="CC91" s="498"/>
      <c r="CD91" s="498"/>
      <c r="CE91" s="498"/>
      <c r="CF91" s="498"/>
      <c r="CG91" s="502"/>
      <c r="CH91" s="503"/>
      <c r="CI91" s="502"/>
      <c r="CJ91" s="502"/>
      <c r="CK91" s="502"/>
      <c r="CL91" s="500"/>
      <c r="CM91" s="500"/>
      <c r="CN91" s="500"/>
      <c r="CO91" s="500"/>
    </row>
    <row r="92">
      <c r="A92" s="496"/>
      <c r="B92" s="496"/>
      <c r="C92" s="496"/>
      <c r="D92" s="497"/>
      <c r="E92" s="498"/>
      <c r="F92" s="498"/>
      <c r="G92" s="499"/>
      <c r="H92" s="499"/>
      <c r="I92" s="498"/>
      <c r="J92" s="500"/>
      <c r="K92" s="496"/>
      <c r="L92" s="500"/>
      <c r="M92" s="496"/>
      <c r="N92" s="500"/>
      <c r="O92" s="496"/>
      <c r="P92" s="500"/>
      <c r="Q92" s="498"/>
      <c r="R92" s="500"/>
      <c r="S92" s="498"/>
      <c r="T92" s="496"/>
      <c r="U92" s="498"/>
      <c r="V92" s="496"/>
      <c r="W92" s="498"/>
      <c r="X92" s="500"/>
      <c r="Y92" s="498"/>
      <c r="Z92" s="500"/>
      <c r="AA92" s="500"/>
      <c r="AB92" s="500"/>
      <c r="AC92" s="501"/>
      <c r="AD92" s="500"/>
      <c r="AE92" s="501"/>
      <c r="AF92" s="500"/>
      <c r="AG92" s="501"/>
      <c r="AH92" s="500"/>
      <c r="AI92" s="498"/>
      <c r="AJ92" s="500"/>
      <c r="AK92" s="500"/>
      <c r="AL92" s="500"/>
      <c r="AM92" s="500"/>
      <c r="AN92" s="500"/>
      <c r="AO92" s="500"/>
      <c r="AP92" s="500"/>
      <c r="AQ92" s="500"/>
      <c r="AR92" s="500"/>
      <c r="AS92" s="500"/>
      <c r="AT92" s="500"/>
      <c r="AU92" s="498"/>
      <c r="AV92" s="500"/>
      <c r="AW92" s="500"/>
      <c r="AX92" s="500"/>
      <c r="AY92" s="500"/>
      <c r="AZ92" s="500"/>
      <c r="BA92" s="500"/>
      <c r="BB92" s="500"/>
      <c r="BC92" s="500"/>
      <c r="BD92" s="500"/>
      <c r="BE92" s="500"/>
      <c r="BF92" s="500"/>
      <c r="BG92" s="500"/>
      <c r="BH92" s="500"/>
      <c r="BI92" s="500"/>
      <c r="BJ92" s="500"/>
      <c r="BK92" s="500"/>
      <c r="BL92" s="500"/>
      <c r="BM92" s="500"/>
      <c r="BN92" s="500"/>
      <c r="BO92" s="500"/>
      <c r="BP92" s="500"/>
      <c r="BQ92" s="498"/>
      <c r="BR92" s="498"/>
      <c r="BS92" s="498"/>
      <c r="BT92" s="498"/>
      <c r="BU92" s="498"/>
      <c r="BV92" s="500"/>
      <c r="BW92" s="498"/>
      <c r="BX92" s="498"/>
      <c r="BY92" s="498"/>
      <c r="BZ92" s="498"/>
      <c r="CA92" s="498"/>
      <c r="CB92" s="498"/>
      <c r="CC92" s="498"/>
      <c r="CD92" s="498"/>
      <c r="CE92" s="498"/>
      <c r="CF92" s="498"/>
      <c r="CG92" s="502"/>
      <c r="CH92" s="503"/>
      <c r="CI92" s="502"/>
      <c r="CJ92" s="502"/>
      <c r="CK92" s="502"/>
      <c r="CL92" s="500"/>
      <c r="CM92" s="500"/>
      <c r="CN92" s="500"/>
      <c r="CO92" s="500"/>
    </row>
    <row r="93">
      <c r="A93" s="496"/>
      <c r="B93" s="496"/>
      <c r="C93" s="496"/>
      <c r="D93" s="497"/>
      <c r="E93" s="498"/>
      <c r="F93" s="498"/>
      <c r="G93" s="499"/>
      <c r="H93" s="499"/>
      <c r="I93" s="498"/>
      <c r="J93" s="500"/>
      <c r="K93" s="496"/>
      <c r="L93" s="500"/>
      <c r="M93" s="496"/>
      <c r="N93" s="500"/>
      <c r="O93" s="496"/>
      <c r="P93" s="500"/>
      <c r="Q93" s="498"/>
      <c r="R93" s="500"/>
      <c r="S93" s="498"/>
      <c r="T93" s="496"/>
      <c r="U93" s="498"/>
      <c r="V93" s="496"/>
      <c r="W93" s="498"/>
      <c r="X93" s="500"/>
      <c r="Y93" s="498"/>
      <c r="Z93" s="500"/>
      <c r="AA93" s="500"/>
      <c r="AB93" s="500"/>
      <c r="AC93" s="501"/>
      <c r="AD93" s="500"/>
      <c r="AE93" s="501"/>
      <c r="AF93" s="500"/>
      <c r="AG93" s="501"/>
      <c r="AH93" s="500"/>
      <c r="AI93" s="498"/>
      <c r="AJ93" s="500"/>
      <c r="AK93" s="500"/>
      <c r="AL93" s="500"/>
      <c r="AM93" s="500"/>
      <c r="AN93" s="500"/>
      <c r="AO93" s="500"/>
      <c r="AP93" s="500"/>
      <c r="AQ93" s="500"/>
      <c r="AR93" s="500"/>
      <c r="AS93" s="500"/>
      <c r="AT93" s="500"/>
      <c r="AU93" s="498"/>
      <c r="AV93" s="500"/>
      <c r="AW93" s="500"/>
      <c r="AX93" s="500"/>
      <c r="AY93" s="500"/>
      <c r="AZ93" s="500"/>
      <c r="BA93" s="500"/>
      <c r="BB93" s="500"/>
      <c r="BC93" s="500"/>
      <c r="BD93" s="500"/>
      <c r="BE93" s="500"/>
      <c r="BF93" s="500"/>
      <c r="BG93" s="500"/>
      <c r="BH93" s="500"/>
      <c r="BI93" s="500"/>
      <c r="BJ93" s="500"/>
      <c r="BK93" s="500"/>
      <c r="BL93" s="500"/>
      <c r="BM93" s="500"/>
      <c r="BN93" s="500"/>
      <c r="BO93" s="500"/>
      <c r="BP93" s="500"/>
      <c r="BQ93" s="498"/>
      <c r="BR93" s="498"/>
      <c r="BS93" s="498"/>
      <c r="BT93" s="498"/>
      <c r="BU93" s="498"/>
      <c r="BV93" s="500"/>
      <c r="BW93" s="498"/>
      <c r="BX93" s="498"/>
      <c r="BY93" s="498"/>
      <c r="BZ93" s="498"/>
      <c r="CA93" s="498"/>
      <c r="CB93" s="498"/>
      <c r="CC93" s="498"/>
      <c r="CD93" s="498"/>
      <c r="CE93" s="498"/>
      <c r="CF93" s="498"/>
      <c r="CG93" s="502"/>
      <c r="CH93" s="503"/>
      <c r="CI93" s="502"/>
      <c r="CJ93" s="502"/>
      <c r="CK93" s="502"/>
      <c r="CL93" s="500"/>
      <c r="CM93" s="500"/>
      <c r="CN93" s="500"/>
      <c r="CO93" s="500"/>
    </row>
    <row r="94">
      <c r="A94" s="496"/>
      <c r="B94" s="496"/>
      <c r="C94" s="496"/>
      <c r="D94" s="497"/>
      <c r="E94" s="498"/>
      <c r="F94" s="498"/>
      <c r="G94" s="499"/>
      <c r="H94" s="499"/>
      <c r="I94" s="498"/>
      <c r="J94" s="500"/>
      <c r="K94" s="496"/>
      <c r="L94" s="500"/>
      <c r="M94" s="496"/>
      <c r="N94" s="500"/>
      <c r="O94" s="496"/>
      <c r="P94" s="500"/>
      <c r="Q94" s="498"/>
      <c r="R94" s="500"/>
      <c r="S94" s="498"/>
      <c r="T94" s="496"/>
      <c r="U94" s="498"/>
      <c r="V94" s="496"/>
      <c r="W94" s="498"/>
      <c r="X94" s="500"/>
      <c r="Y94" s="498"/>
      <c r="Z94" s="500"/>
      <c r="AA94" s="500"/>
      <c r="AB94" s="500"/>
      <c r="AC94" s="501"/>
      <c r="AD94" s="500"/>
      <c r="AE94" s="501"/>
      <c r="AF94" s="500"/>
      <c r="AG94" s="501"/>
      <c r="AH94" s="500"/>
      <c r="AI94" s="498"/>
      <c r="AJ94" s="500"/>
      <c r="AK94" s="500"/>
      <c r="AL94" s="500"/>
      <c r="AM94" s="500"/>
      <c r="AN94" s="500"/>
      <c r="AO94" s="500"/>
      <c r="AP94" s="500"/>
      <c r="AQ94" s="500"/>
      <c r="AR94" s="500"/>
      <c r="AS94" s="500"/>
      <c r="AT94" s="500"/>
      <c r="AU94" s="498"/>
      <c r="AV94" s="500"/>
      <c r="AW94" s="500"/>
      <c r="AX94" s="500"/>
      <c r="AY94" s="500"/>
      <c r="AZ94" s="500"/>
      <c r="BA94" s="500"/>
      <c r="BB94" s="500"/>
      <c r="BC94" s="500"/>
      <c r="BD94" s="500"/>
      <c r="BE94" s="500"/>
      <c r="BF94" s="500"/>
      <c r="BG94" s="500"/>
      <c r="BH94" s="500"/>
      <c r="BI94" s="500"/>
      <c r="BJ94" s="500"/>
      <c r="BK94" s="500"/>
      <c r="BL94" s="500"/>
      <c r="BM94" s="500"/>
      <c r="BN94" s="500"/>
      <c r="BO94" s="500"/>
      <c r="BP94" s="500"/>
      <c r="BQ94" s="498"/>
      <c r="BR94" s="498"/>
      <c r="BS94" s="498"/>
      <c r="BT94" s="498"/>
      <c r="BU94" s="498"/>
      <c r="BV94" s="500"/>
      <c r="BW94" s="498"/>
      <c r="BX94" s="498"/>
      <c r="BY94" s="498"/>
      <c r="BZ94" s="498"/>
      <c r="CA94" s="498"/>
      <c r="CB94" s="498"/>
      <c r="CC94" s="498"/>
      <c r="CD94" s="498"/>
      <c r="CE94" s="498"/>
      <c r="CF94" s="498"/>
      <c r="CG94" s="502"/>
      <c r="CH94" s="503"/>
      <c r="CI94" s="502"/>
      <c r="CJ94" s="502"/>
      <c r="CK94" s="502"/>
      <c r="CL94" s="500"/>
      <c r="CM94" s="500"/>
      <c r="CN94" s="500"/>
      <c r="CO94" s="500"/>
    </row>
    <row r="95">
      <c r="A95" s="496"/>
      <c r="B95" s="496"/>
      <c r="C95" s="496"/>
      <c r="D95" s="497"/>
      <c r="E95" s="498"/>
      <c r="F95" s="498"/>
      <c r="G95" s="499"/>
      <c r="H95" s="499"/>
      <c r="I95" s="498"/>
      <c r="J95" s="500"/>
      <c r="K95" s="496"/>
      <c r="L95" s="500"/>
      <c r="M95" s="496"/>
      <c r="N95" s="500"/>
      <c r="O95" s="496"/>
      <c r="P95" s="500"/>
      <c r="Q95" s="498"/>
      <c r="R95" s="500"/>
      <c r="S95" s="498"/>
      <c r="T95" s="496"/>
      <c r="U95" s="498"/>
      <c r="V95" s="496"/>
      <c r="W95" s="498"/>
      <c r="X95" s="500"/>
      <c r="Y95" s="498"/>
      <c r="Z95" s="500"/>
      <c r="AA95" s="500"/>
      <c r="AB95" s="500"/>
      <c r="AC95" s="501"/>
      <c r="AD95" s="500"/>
      <c r="AE95" s="501"/>
      <c r="AF95" s="500"/>
      <c r="AG95" s="501"/>
      <c r="AH95" s="500"/>
      <c r="AI95" s="498"/>
      <c r="AJ95" s="500"/>
      <c r="AK95" s="500"/>
      <c r="AL95" s="500"/>
      <c r="AM95" s="500"/>
      <c r="AN95" s="500"/>
      <c r="AO95" s="500"/>
      <c r="AP95" s="500"/>
      <c r="AQ95" s="500"/>
      <c r="AR95" s="500"/>
      <c r="AS95" s="500"/>
      <c r="AT95" s="500"/>
      <c r="AU95" s="498"/>
      <c r="AV95" s="500"/>
      <c r="AW95" s="500"/>
      <c r="AX95" s="500"/>
      <c r="AY95" s="500"/>
      <c r="AZ95" s="500"/>
      <c r="BA95" s="500"/>
      <c r="BB95" s="500"/>
      <c r="BC95" s="500"/>
      <c r="BD95" s="500"/>
      <c r="BE95" s="500"/>
      <c r="BF95" s="500"/>
      <c r="BG95" s="500"/>
      <c r="BH95" s="500"/>
      <c r="BI95" s="500"/>
      <c r="BJ95" s="500"/>
      <c r="BK95" s="500"/>
      <c r="BL95" s="500"/>
      <c r="BM95" s="500"/>
      <c r="BN95" s="500"/>
      <c r="BO95" s="500"/>
      <c r="BP95" s="500"/>
      <c r="BQ95" s="498"/>
      <c r="BR95" s="498"/>
      <c r="BS95" s="498"/>
      <c r="BT95" s="498"/>
      <c r="BU95" s="498"/>
      <c r="BV95" s="500"/>
      <c r="BW95" s="498"/>
      <c r="BX95" s="498"/>
      <c r="BY95" s="498"/>
      <c r="BZ95" s="498"/>
      <c r="CA95" s="498"/>
      <c r="CB95" s="498"/>
      <c r="CC95" s="498"/>
      <c r="CD95" s="498"/>
      <c r="CE95" s="498"/>
      <c r="CF95" s="498"/>
      <c r="CG95" s="502"/>
      <c r="CH95" s="503"/>
      <c r="CI95" s="502"/>
      <c r="CJ95" s="502"/>
      <c r="CK95" s="502"/>
      <c r="CL95" s="500"/>
      <c r="CM95" s="500"/>
      <c r="CN95" s="500"/>
      <c r="CO95" s="500"/>
    </row>
    <row r="96">
      <c r="A96" s="496"/>
      <c r="B96" s="496"/>
      <c r="C96" s="496"/>
      <c r="D96" s="497"/>
      <c r="E96" s="498"/>
      <c r="F96" s="498"/>
      <c r="G96" s="499"/>
      <c r="H96" s="499"/>
      <c r="I96" s="498"/>
      <c r="J96" s="500"/>
      <c r="K96" s="496"/>
      <c r="L96" s="500"/>
      <c r="M96" s="496"/>
      <c r="N96" s="500"/>
      <c r="O96" s="496"/>
      <c r="P96" s="500"/>
      <c r="Q96" s="498"/>
      <c r="R96" s="500"/>
      <c r="S96" s="498"/>
      <c r="T96" s="496"/>
      <c r="U96" s="498"/>
      <c r="V96" s="496"/>
      <c r="W96" s="498"/>
      <c r="X96" s="500"/>
      <c r="Y96" s="498"/>
      <c r="Z96" s="500"/>
      <c r="AA96" s="500"/>
      <c r="AB96" s="500"/>
      <c r="AC96" s="501"/>
      <c r="AD96" s="500"/>
      <c r="AE96" s="501"/>
      <c r="AF96" s="500"/>
      <c r="AG96" s="501"/>
      <c r="AH96" s="500"/>
      <c r="AI96" s="498"/>
      <c r="AJ96" s="500"/>
      <c r="AK96" s="500"/>
      <c r="AL96" s="500"/>
      <c r="AM96" s="500"/>
      <c r="AN96" s="500"/>
      <c r="AO96" s="500"/>
      <c r="AP96" s="500"/>
      <c r="AQ96" s="500"/>
      <c r="AR96" s="500"/>
      <c r="AS96" s="500"/>
      <c r="AT96" s="500"/>
      <c r="AU96" s="498"/>
      <c r="AV96" s="500"/>
      <c r="AW96" s="500"/>
      <c r="AX96" s="500"/>
      <c r="AY96" s="500"/>
      <c r="AZ96" s="500"/>
      <c r="BA96" s="500"/>
      <c r="BB96" s="500"/>
      <c r="BC96" s="500"/>
      <c r="BD96" s="500"/>
      <c r="BE96" s="500"/>
      <c r="BF96" s="500"/>
      <c r="BG96" s="500"/>
      <c r="BH96" s="500"/>
      <c r="BI96" s="500"/>
      <c r="BJ96" s="500"/>
      <c r="BK96" s="500"/>
      <c r="BL96" s="500"/>
      <c r="BM96" s="500"/>
      <c r="BN96" s="500"/>
      <c r="BO96" s="500"/>
      <c r="BP96" s="500"/>
      <c r="BQ96" s="498"/>
      <c r="BR96" s="498"/>
      <c r="BS96" s="498"/>
      <c r="BT96" s="498"/>
      <c r="BU96" s="498"/>
      <c r="BV96" s="500"/>
      <c r="BW96" s="498"/>
      <c r="BX96" s="498"/>
      <c r="BY96" s="498"/>
      <c r="BZ96" s="498"/>
      <c r="CA96" s="498"/>
      <c r="CB96" s="498"/>
      <c r="CC96" s="498"/>
      <c r="CD96" s="498"/>
      <c r="CE96" s="498"/>
      <c r="CF96" s="498"/>
      <c r="CG96" s="502"/>
      <c r="CH96" s="503"/>
      <c r="CI96" s="502"/>
      <c r="CJ96" s="502"/>
      <c r="CK96" s="502"/>
      <c r="CL96" s="500"/>
      <c r="CM96" s="500"/>
      <c r="CN96" s="500"/>
      <c r="CO96" s="500"/>
    </row>
    <row r="97">
      <c r="A97" s="496"/>
      <c r="B97" s="496"/>
      <c r="C97" s="496"/>
      <c r="D97" s="497"/>
      <c r="E97" s="498"/>
      <c r="F97" s="498"/>
      <c r="G97" s="499"/>
      <c r="H97" s="499"/>
      <c r="I97" s="498"/>
      <c r="J97" s="500"/>
      <c r="K97" s="496"/>
      <c r="L97" s="500"/>
      <c r="M97" s="496"/>
      <c r="N97" s="500"/>
      <c r="O97" s="496"/>
      <c r="P97" s="500"/>
      <c r="Q97" s="498"/>
      <c r="R97" s="500"/>
      <c r="S97" s="498"/>
      <c r="T97" s="496"/>
      <c r="U97" s="498"/>
      <c r="V97" s="496"/>
      <c r="W97" s="498"/>
      <c r="X97" s="500"/>
      <c r="Y97" s="498"/>
      <c r="Z97" s="500"/>
      <c r="AA97" s="500"/>
      <c r="AB97" s="500"/>
      <c r="AC97" s="501"/>
      <c r="AD97" s="500"/>
      <c r="AE97" s="501"/>
      <c r="AF97" s="500"/>
      <c r="AG97" s="501"/>
      <c r="AH97" s="500"/>
      <c r="AI97" s="498"/>
      <c r="AJ97" s="500"/>
      <c r="AK97" s="500"/>
      <c r="AL97" s="500"/>
      <c r="AM97" s="500"/>
      <c r="AN97" s="500"/>
      <c r="AO97" s="500"/>
      <c r="AP97" s="500"/>
      <c r="AQ97" s="500"/>
      <c r="AR97" s="500"/>
      <c r="AS97" s="500"/>
      <c r="AT97" s="500"/>
      <c r="AU97" s="498"/>
      <c r="AV97" s="500"/>
      <c r="AW97" s="500"/>
      <c r="AX97" s="500"/>
      <c r="AY97" s="500"/>
      <c r="AZ97" s="500"/>
      <c r="BA97" s="500"/>
      <c r="BB97" s="500"/>
      <c r="BC97" s="500"/>
      <c r="BD97" s="500"/>
      <c r="BE97" s="500"/>
      <c r="BF97" s="500"/>
      <c r="BG97" s="500"/>
      <c r="BH97" s="500"/>
      <c r="BI97" s="500"/>
      <c r="BJ97" s="500"/>
      <c r="BK97" s="500"/>
      <c r="BL97" s="500"/>
      <c r="BM97" s="500"/>
      <c r="BN97" s="500"/>
      <c r="BO97" s="500"/>
      <c r="BP97" s="500"/>
      <c r="BQ97" s="498"/>
      <c r="BR97" s="498"/>
      <c r="BS97" s="498"/>
      <c r="BT97" s="498"/>
      <c r="BU97" s="498"/>
      <c r="BV97" s="500"/>
      <c r="BW97" s="498"/>
      <c r="BX97" s="498"/>
      <c r="BY97" s="498"/>
      <c r="BZ97" s="498"/>
      <c r="CA97" s="498"/>
      <c r="CB97" s="498"/>
      <c r="CC97" s="498"/>
      <c r="CD97" s="498"/>
      <c r="CE97" s="498"/>
      <c r="CF97" s="498"/>
      <c r="CG97" s="502"/>
      <c r="CH97" s="503"/>
      <c r="CI97" s="502"/>
      <c r="CJ97" s="502"/>
      <c r="CK97" s="502"/>
      <c r="CL97" s="500"/>
      <c r="CM97" s="500"/>
      <c r="CN97" s="500"/>
      <c r="CO97" s="500"/>
    </row>
    <row r="98">
      <c r="A98" s="496"/>
      <c r="B98" s="496"/>
      <c r="C98" s="496"/>
      <c r="D98" s="497"/>
      <c r="E98" s="498"/>
      <c r="F98" s="498"/>
      <c r="G98" s="499"/>
      <c r="H98" s="499"/>
      <c r="I98" s="498"/>
      <c r="J98" s="500"/>
      <c r="K98" s="496"/>
      <c r="L98" s="500"/>
      <c r="M98" s="496"/>
      <c r="N98" s="500"/>
      <c r="O98" s="496"/>
      <c r="P98" s="500"/>
      <c r="Q98" s="498"/>
      <c r="R98" s="500"/>
      <c r="S98" s="498"/>
      <c r="T98" s="496"/>
      <c r="U98" s="498"/>
      <c r="V98" s="496"/>
      <c r="W98" s="498"/>
      <c r="X98" s="500"/>
      <c r="Y98" s="498"/>
      <c r="Z98" s="500"/>
      <c r="AA98" s="500"/>
      <c r="AB98" s="500"/>
      <c r="AC98" s="501"/>
      <c r="AD98" s="500"/>
      <c r="AE98" s="501"/>
      <c r="AF98" s="500"/>
      <c r="AG98" s="501"/>
      <c r="AH98" s="500"/>
      <c r="AI98" s="498"/>
      <c r="AJ98" s="500"/>
      <c r="AK98" s="500"/>
      <c r="AL98" s="500"/>
      <c r="AM98" s="500"/>
      <c r="AN98" s="500"/>
      <c r="AO98" s="500"/>
      <c r="AP98" s="500"/>
      <c r="AQ98" s="500"/>
      <c r="AR98" s="500"/>
      <c r="AS98" s="500"/>
      <c r="AT98" s="500"/>
      <c r="AU98" s="498"/>
      <c r="AV98" s="500"/>
      <c r="AW98" s="500"/>
      <c r="AX98" s="500"/>
      <c r="AY98" s="500"/>
      <c r="AZ98" s="500"/>
      <c r="BA98" s="500"/>
      <c r="BB98" s="500"/>
      <c r="BC98" s="500"/>
      <c r="BD98" s="500"/>
      <c r="BE98" s="500"/>
      <c r="BF98" s="500"/>
      <c r="BG98" s="500"/>
      <c r="BH98" s="500"/>
      <c r="BI98" s="500"/>
      <c r="BJ98" s="500"/>
      <c r="BK98" s="500"/>
      <c r="BL98" s="500"/>
      <c r="BM98" s="500"/>
      <c r="BN98" s="500"/>
      <c r="BO98" s="500"/>
      <c r="BP98" s="500"/>
      <c r="BQ98" s="498"/>
      <c r="BR98" s="498"/>
      <c r="BS98" s="498"/>
      <c r="BT98" s="498"/>
      <c r="BU98" s="498"/>
      <c r="BV98" s="500"/>
      <c r="BW98" s="498"/>
      <c r="BX98" s="498"/>
      <c r="BY98" s="498"/>
      <c r="BZ98" s="498"/>
      <c r="CA98" s="498"/>
      <c r="CB98" s="498"/>
      <c r="CC98" s="498"/>
      <c r="CD98" s="498"/>
      <c r="CE98" s="498"/>
      <c r="CF98" s="498"/>
      <c r="CG98" s="502"/>
      <c r="CH98" s="503"/>
      <c r="CI98" s="502"/>
      <c r="CJ98" s="502"/>
      <c r="CK98" s="502"/>
      <c r="CL98" s="500"/>
      <c r="CM98" s="500"/>
      <c r="CN98" s="500"/>
      <c r="CO98" s="500"/>
    </row>
    <row r="99">
      <c r="A99" s="496"/>
      <c r="B99" s="496"/>
      <c r="C99" s="496"/>
      <c r="D99" s="497"/>
      <c r="E99" s="498"/>
      <c r="F99" s="498"/>
      <c r="G99" s="499"/>
      <c r="H99" s="499"/>
      <c r="I99" s="498"/>
      <c r="J99" s="500"/>
      <c r="K99" s="496"/>
      <c r="L99" s="500"/>
      <c r="M99" s="496"/>
      <c r="N99" s="500"/>
      <c r="O99" s="496"/>
      <c r="P99" s="500"/>
      <c r="Q99" s="498"/>
      <c r="R99" s="500"/>
      <c r="S99" s="498"/>
      <c r="T99" s="496"/>
      <c r="U99" s="498"/>
      <c r="V99" s="496"/>
      <c r="W99" s="498"/>
      <c r="X99" s="500"/>
      <c r="Y99" s="498"/>
      <c r="Z99" s="500"/>
      <c r="AA99" s="500"/>
      <c r="AB99" s="500"/>
      <c r="AC99" s="501"/>
      <c r="AD99" s="500"/>
      <c r="AE99" s="501"/>
      <c r="AF99" s="500"/>
      <c r="AG99" s="501"/>
      <c r="AH99" s="500"/>
      <c r="AI99" s="498"/>
      <c r="AJ99" s="500"/>
      <c r="AK99" s="500"/>
      <c r="AL99" s="500"/>
      <c r="AM99" s="500"/>
      <c r="AN99" s="500"/>
      <c r="AO99" s="500"/>
      <c r="AP99" s="500"/>
      <c r="AQ99" s="500"/>
      <c r="AR99" s="500"/>
      <c r="AS99" s="500"/>
      <c r="AT99" s="500"/>
      <c r="AU99" s="498"/>
      <c r="AV99" s="500"/>
      <c r="AW99" s="500"/>
      <c r="AX99" s="500"/>
      <c r="AY99" s="500"/>
      <c r="AZ99" s="500"/>
      <c r="BA99" s="500"/>
      <c r="BB99" s="500"/>
      <c r="BC99" s="500"/>
      <c r="BD99" s="500"/>
      <c r="BE99" s="500"/>
      <c r="BF99" s="500"/>
      <c r="BG99" s="500"/>
      <c r="BH99" s="500"/>
      <c r="BI99" s="500"/>
      <c r="BJ99" s="500"/>
      <c r="BK99" s="500"/>
      <c r="BL99" s="500"/>
      <c r="BM99" s="500"/>
      <c r="BN99" s="500"/>
      <c r="BO99" s="500"/>
      <c r="BP99" s="500"/>
      <c r="BQ99" s="498"/>
      <c r="BR99" s="498"/>
      <c r="BS99" s="498"/>
      <c r="BT99" s="498"/>
      <c r="BU99" s="498"/>
      <c r="BV99" s="500"/>
      <c r="BW99" s="498"/>
      <c r="BX99" s="498"/>
      <c r="BY99" s="498"/>
      <c r="BZ99" s="498"/>
      <c r="CA99" s="498"/>
      <c r="CB99" s="498"/>
      <c r="CC99" s="498"/>
      <c r="CD99" s="498"/>
      <c r="CE99" s="498"/>
      <c r="CF99" s="498"/>
      <c r="CG99" s="502"/>
      <c r="CH99" s="503"/>
      <c r="CI99" s="502"/>
      <c r="CJ99" s="502"/>
      <c r="CK99" s="502"/>
      <c r="CL99" s="500"/>
      <c r="CM99" s="500"/>
      <c r="CN99" s="500"/>
      <c r="CO99" s="500"/>
    </row>
    <row r="100">
      <c r="A100" s="496"/>
      <c r="B100" s="496"/>
      <c r="C100" s="496"/>
      <c r="D100" s="497"/>
      <c r="E100" s="498"/>
      <c r="F100" s="498"/>
      <c r="G100" s="499"/>
      <c r="H100" s="499"/>
      <c r="I100" s="498"/>
      <c r="J100" s="500"/>
      <c r="K100" s="496"/>
      <c r="L100" s="500"/>
      <c r="M100" s="496"/>
      <c r="N100" s="500"/>
      <c r="O100" s="496"/>
      <c r="P100" s="500"/>
      <c r="Q100" s="498"/>
      <c r="R100" s="500"/>
      <c r="S100" s="498"/>
      <c r="T100" s="496"/>
      <c r="U100" s="498"/>
      <c r="V100" s="496"/>
      <c r="W100" s="498"/>
      <c r="X100" s="500"/>
      <c r="Y100" s="498"/>
      <c r="Z100" s="500"/>
      <c r="AA100" s="500"/>
      <c r="AB100" s="500"/>
      <c r="AC100" s="501"/>
      <c r="AD100" s="500"/>
      <c r="AE100" s="501"/>
      <c r="AF100" s="500"/>
      <c r="AG100" s="501"/>
      <c r="AH100" s="500"/>
      <c r="AI100" s="498"/>
      <c r="AJ100" s="500"/>
      <c r="AK100" s="500"/>
      <c r="AL100" s="500"/>
      <c r="AM100" s="500"/>
      <c r="AN100" s="500"/>
      <c r="AO100" s="500"/>
      <c r="AP100" s="500"/>
      <c r="AQ100" s="500"/>
      <c r="AR100" s="500"/>
      <c r="AS100" s="500"/>
      <c r="AT100" s="500"/>
      <c r="AU100" s="498"/>
      <c r="AV100" s="500"/>
      <c r="AW100" s="500"/>
      <c r="AX100" s="500"/>
      <c r="AY100" s="500"/>
      <c r="AZ100" s="500"/>
      <c r="BA100" s="500"/>
      <c r="BB100" s="500"/>
      <c r="BC100" s="500"/>
      <c r="BD100" s="500"/>
      <c r="BE100" s="500"/>
      <c r="BF100" s="500"/>
      <c r="BG100" s="500"/>
      <c r="BH100" s="500"/>
      <c r="BI100" s="500"/>
      <c r="BJ100" s="500"/>
      <c r="BK100" s="500"/>
      <c r="BL100" s="500"/>
      <c r="BM100" s="500"/>
      <c r="BN100" s="500"/>
      <c r="BO100" s="500"/>
      <c r="BP100" s="500"/>
      <c r="BQ100" s="498"/>
      <c r="BR100" s="498"/>
      <c r="BS100" s="498"/>
      <c r="BT100" s="498"/>
      <c r="BU100" s="498"/>
      <c r="BV100" s="500"/>
      <c r="BW100" s="498"/>
      <c r="BX100" s="498"/>
      <c r="BY100" s="498"/>
      <c r="BZ100" s="498"/>
      <c r="CA100" s="498"/>
      <c r="CB100" s="498"/>
      <c r="CC100" s="498"/>
      <c r="CD100" s="498"/>
      <c r="CE100" s="498"/>
      <c r="CF100" s="498"/>
      <c r="CG100" s="502"/>
      <c r="CH100" s="503"/>
      <c r="CI100" s="502"/>
      <c r="CJ100" s="502"/>
      <c r="CK100" s="502"/>
      <c r="CL100" s="500"/>
      <c r="CM100" s="500"/>
      <c r="CN100" s="500"/>
      <c r="CO100" s="500"/>
    </row>
    <row r="101">
      <c r="A101" s="496"/>
      <c r="B101" s="496"/>
      <c r="C101" s="496"/>
      <c r="D101" s="497"/>
      <c r="E101" s="498"/>
      <c r="F101" s="498"/>
      <c r="G101" s="499"/>
      <c r="H101" s="499"/>
      <c r="I101" s="498"/>
      <c r="J101" s="500"/>
      <c r="K101" s="496"/>
      <c r="L101" s="500"/>
      <c r="M101" s="496"/>
      <c r="N101" s="500"/>
      <c r="O101" s="496"/>
      <c r="P101" s="500"/>
      <c r="Q101" s="498"/>
      <c r="R101" s="500"/>
      <c r="S101" s="498"/>
      <c r="T101" s="496"/>
      <c r="U101" s="498"/>
      <c r="V101" s="496"/>
      <c r="W101" s="498"/>
      <c r="X101" s="500"/>
      <c r="Y101" s="498"/>
      <c r="Z101" s="500"/>
      <c r="AA101" s="500"/>
      <c r="AB101" s="500"/>
      <c r="AC101" s="501"/>
      <c r="AD101" s="500"/>
      <c r="AE101" s="501"/>
      <c r="AF101" s="500"/>
      <c r="AG101" s="501"/>
      <c r="AH101" s="500"/>
      <c r="AI101" s="498"/>
      <c r="AJ101" s="500"/>
      <c r="AK101" s="500"/>
      <c r="AL101" s="500"/>
      <c r="AM101" s="500"/>
      <c r="AN101" s="500"/>
      <c r="AO101" s="500"/>
      <c r="AP101" s="500"/>
      <c r="AQ101" s="500"/>
      <c r="AR101" s="500"/>
      <c r="AS101" s="500"/>
      <c r="AT101" s="500"/>
      <c r="AU101" s="498"/>
      <c r="AV101" s="500"/>
      <c r="AW101" s="500"/>
      <c r="AX101" s="500"/>
      <c r="AY101" s="500"/>
      <c r="AZ101" s="500"/>
      <c r="BA101" s="500"/>
      <c r="BB101" s="500"/>
      <c r="BC101" s="500"/>
      <c r="BD101" s="500"/>
      <c r="BE101" s="500"/>
      <c r="BF101" s="500"/>
      <c r="BG101" s="500"/>
      <c r="BH101" s="500"/>
      <c r="BI101" s="500"/>
      <c r="BJ101" s="500"/>
      <c r="BK101" s="500"/>
      <c r="BL101" s="500"/>
      <c r="BM101" s="500"/>
      <c r="BN101" s="500"/>
      <c r="BO101" s="500"/>
      <c r="BP101" s="500"/>
      <c r="BQ101" s="498"/>
      <c r="BR101" s="498"/>
      <c r="BS101" s="498"/>
      <c r="BT101" s="498"/>
      <c r="BU101" s="498"/>
      <c r="BV101" s="500"/>
      <c r="BW101" s="498"/>
      <c r="BX101" s="498"/>
      <c r="BY101" s="498"/>
      <c r="BZ101" s="498"/>
      <c r="CA101" s="498"/>
      <c r="CB101" s="498"/>
      <c r="CC101" s="498"/>
      <c r="CD101" s="498"/>
      <c r="CE101" s="498"/>
      <c r="CF101" s="498"/>
      <c r="CG101" s="502"/>
      <c r="CH101" s="503"/>
      <c r="CI101" s="502"/>
      <c r="CJ101" s="502"/>
      <c r="CK101" s="502"/>
      <c r="CL101" s="500"/>
      <c r="CM101" s="500"/>
      <c r="CN101" s="500"/>
      <c r="CO101" s="500"/>
    </row>
    <row r="102">
      <c r="A102" s="496"/>
      <c r="B102" s="496"/>
      <c r="C102" s="496"/>
      <c r="D102" s="497"/>
      <c r="E102" s="498"/>
      <c r="F102" s="498"/>
      <c r="G102" s="499"/>
      <c r="H102" s="499"/>
      <c r="I102" s="498"/>
      <c r="J102" s="500"/>
      <c r="K102" s="496"/>
      <c r="L102" s="500"/>
      <c r="M102" s="496"/>
      <c r="N102" s="500"/>
      <c r="O102" s="496"/>
      <c r="P102" s="500"/>
      <c r="Q102" s="498"/>
      <c r="R102" s="500"/>
      <c r="S102" s="498"/>
      <c r="T102" s="496"/>
      <c r="U102" s="498"/>
      <c r="V102" s="496"/>
      <c r="W102" s="498"/>
      <c r="X102" s="500"/>
      <c r="Y102" s="498"/>
      <c r="Z102" s="500"/>
      <c r="AA102" s="500"/>
      <c r="AB102" s="500"/>
      <c r="AC102" s="501"/>
      <c r="AD102" s="500"/>
      <c r="AE102" s="501"/>
      <c r="AF102" s="500"/>
      <c r="AG102" s="501"/>
      <c r="AH102" s="500"/>
      <c r="AI102" s="498"/>
      <c r="AJ102" s="500"/>
      <c r="AK102" s="500"/>
      <c r="AL102" s="500"/>
      <c r="AM102" s="500"/>
      <c r="AN102" s="500"/>
      <c r="AO102" s="500"/>
      <c r="AP102" s="500"/>
      <c r="AQ102" s="500"/>
      <c r="AR102" s="500"/>
      <c r="AS102" s="500"/>
      <c r="AT102" s="500"/>
      <c r="AU102" s="498"/>
      <c r="AV102" s="500"/>
      <c r="AW102" s="500"/>
      <c r="AX102" s="500"/>
      <c r="AY102" s="500"/>
      <c r="AZ102" s="500"/>
      <c r="BA102" s="500"/>
      <c r="BB102" s="500"/>
      <c r="BC102" s="500"/>
      <c r="BD102" s="500"/>
      <c r="BE102" s="500"/>
      <c r="BF102" s="500"/>
      <c r="BG102" s="500"/>
      <c r="BH102" s="500"/>
      <c r="BI102" s="500"/>
      <c r="BJ102" s="500"/>
      <c r="BK102" s="500"/>
      <c r="BL102" s="500"/>
      <c r="BM102" s="500"/>
      <c r="BN102" s="500"/>
      <c r="BO102" s="500"/>
      <c r="BP102" s="500"/>
      <c r="BQ102" s="498"/>
      <c r="BR102" s="498"/>
      <c r="BS102" s="498"/>
      <c r="BT102" s="498"/>
      <c r="BU102" s="498"/>
      <c r="BV102" s="500"/>
      <c r="BW102" s="498"/>
      <c r="BX102" s="498"/>
      <c r="BY102" s="498"/>
      <c r="BZ102" s="498"/>
      <c r="CA102" s="498"/>
      <c r="CB102" s="498"/>
      <c r="CC102" s="498"/>
      <c r="CD102" s="498"/>
      <c r="CE102" s="498"/>
      <c r="CF102" s="498"/>
      <c r="CG102" s="502"/>
      <c r="CH102" s="503"/>
      <c r="CI102" s="502"/>
      <c r="CJ102" s="502"/>
      <c r="CK102" s="502"/>
      <c r="CL102" s="500"/>
      <c r="CM102" s="500"/>
      <c r="CN102" s="500"/>
      <c r="CO102" s="500"/>
    </row>
    <row r="103">
      <c r="A103" s="496"/>
      <c r="B103" s="496"/>
      <c r="C103" s="496"/>
      <c r="D103" s="497"/>
      <c r="E103" s="498"/>
      <c r="F103" s="498"/>
      <c r="G103" s="499"/>
      <c r="H103" s="499"/>
      <c r="I103" s="498"/>
      <c r="J103" s="500"/>
      <c r="K103" s="496"/>
      <c r="L103" s="500"/>
      <c r="M103" s="496"/>
      <c r="N103" s="500"/>
      <c r="O103" s="496"/>
      <c r="P103" s="500"/>
      <c r="Q103" s="498"/>
      <c r="R103" s="500"/>
      <c r="S103" s="498"/>
      <c r="T103" s="496"/>
      <c r="U103" s="498"/>
      <c r="V103" s="496"/>
      <c r="W103" s="498"/>
      <c r="X103" s="500"/>
      <c r="Y103" s="498"/>
      <c r="Z103" s="500"/>
      <c r="AA103" s="500"/>
      <c r="AB103" s="500"/>
      <c r="AC103" s="501"/>
      <c r="AD103" s="500"/>
      <c r="AE103" s="501"/>
      <c r="AF103" s="500"/>
      <c r="AG103" s="501"/>
      <c r="AH103" s="500"/>
      <c r="AI103" s="498"/>
      <c r="AJ103" s="500"/>
      <c r="AK103" s="500"/>
      <c r="AL103" s="500"/>
      <c r="AM103" s="500"/>
      <c r="AN103" s="500"/>
      <c r="AO103" s="500"/>
      <c r="AP103" s="500"/>
      <c r="AQ103" s="500"/>
      <c r="AR103" s="500"/>
      <c r="AS103" s="500"/>
      <c r="AT103" s="500"/>
      <c r="AU103" s="498"/>
      <c r="AV103" s="500"/>
      <c r="AW103" s="500"/>
      <c r="AX103" s="500"/>
      <c r="AY103" s="500"/>
      <c r="AZ103" s="500"/>
      <c r="BA103" s="500"/>
      <c r="BB103" s="500"/>
      <c r="BC103" s="500"/>
      <c r="BD103" s="500"/>
      <c r="BE103" s="500"/>
      <c r="BF103" s="500"/>
      <c r="BG103" s="500"/>
      <c r="BH103" s="500"/>
      <c r="BI103" s="500"/>
      <c r="BJ103" s="500"/>
      <c r="BK103" s="500"/>
      <c r="BL103" s="500"/>
      <c r="BM103" s="500"/>
      <c r="BN103" s="500"/>
      <c r="BO103" s="500"/>
      <c r="BP103" s="500"/>
      <c r="BQ103" s="498"/>
      <c r="BR103" s="498"/>
      <c r="BS103" s="498"/>
      <c r="BT103" s="498"/>
      <c r="BU103" s="498"/>
      <c r="BV103" s="500"/>
      <c r="BW103" s="498"/>
      <c r="BX103" s="498"/>
      <c r="BY103" s="498"/>
      <c r="BZ103" s="498"/>
      <c r="CA103" s="498"/>
      <c r="CB103" s="498"/>
      <c r="CC103" s="498"/>
      <c r="CD103" s="498"/>
      <c r="CE103" s="498"/>
      <c r="CF103" s="498"/>
      <c r="CG103" s="502"/>
      <c r="CH103" s="503"/>
      <c r="CI103" s="502"/>
      <c r="CJ103" s="502"/>
      <c r="CK103" s="502"/>
      <c r="CL103" s="500"/>
      <c r="CM103" s="500"/>
      <c r="CN103" s="500"/>
      <c r="CO103" s="500"/>
    </row>
    <row r="104">
      <c r="A104" s="496"/>
      <c r="B104" s="496"/>
      <c r="C104" s="496"/>
      <c r="D104" s="497"/>
      <c r="E104" s="498"/>
      <c r="F104" s="498"/>
      <c r="G104" s="499"/>
      <c r="H104" s="499"/>
      <c r="I104" s="498"/>
      <c r="J104" s="500"/>
      <c r="K104" s="496"/>
      <c r="L104" s="500"/>
      <c r="M104" s="496"/>
      <c r="N104" s="500"/>
      <c r="O104" s="496"/>
      <c r="P104" s="500"/>
      <c r="Q104" s="498"/>
      <c r="R104" s="500"/>
      <c r="S104" s="498"/>
      <c r="T104" s="496"/>
      <c r="U104" s="498"/>
      <c r="V104" s="496"/>
      <c r="W104" s="498"/>
      <c r="X104" s="500"/>
      <c r="Y104" s="498"/>
      <c r="Z104" s="500"/>
      <c r="AA104" s="500"/>
      <c r="AB104" s="500"/>
      <c r="AC104" s="501"/>
      <c r="AD104" s="500"/>
      <c r="AE104" s="501"/>
      <c r="AF104" s="500"/>
      <c r="AG104" s="501"/>
      <c r="AH104" s="500"/>
      <c r="AI104" s="498"/>
      <c r="AJ104" s="500"/>
      <c r="AK104" s="500"/>
      <c r="AL104" s="500"/>
      <c r="AM104" s="500"/>
      <c r="AN104" s="500"/>
      <c r="AO104" s="500"/>
      <c r="AP104" s="500"/>
      <c r="AQ104" s="500"/>
      <c r="AR104" s="500"/>
      <c r="AS104" s="500"/>
      <c r="AT104" s="500"/>
      <c r="AU104" s="498"/>
      <c r="AV104" s="500"/>
      <c r="AW104" s="500"/>
      <c r="AX104" s="500"/>
      <c r="AY104" s="500"/>
      <c r="AZ104" s="500"/>
      <c r="BA104" s="500"/>
      <c r="BB104" s="500"/>
      <c r="BC104" s="500"/>
      <c r="BD104" s="500"/>
      <c r="BE104" s="500"/>
      <c r="BF104" s="500"/>
      <c r="BG104" s="500"/>
      <c r="BH104" s="500"/>
      <c r="BI104" s="500"/>
      <c r="BJ104" s="500"/>
      <c r="BK104" s="500"/>
      <c r="BL104" s="500"/>
      <c r="BM104" s="500"/>
      <c r="BN104" s="500"/>
      <c r="BO104" s="500"/>
      <c r="BP104" s="500"/>
      <c r="BQ104" s="498"/>
      <c r="BR104" s="498"/>
      <c r="BS104" s="498"/>
      <c r="BT104" s="498"/>
      <c r="BU104" s="498"/>
      <c r="BV104" s="500"/>
      <c r="BW104" s="498"/>
      <c r="BX104" s="498"/>
      <c r="BY104" s="498"/>
      <c r="BZ104" s="498"/>
      <c r="CA104" s="498"/>
      <c r="CB104" s="498"/>
      <c r="CC104" s="498"/>
      <c r="CD104" s="498"/>
      <c r="CE104" s="498"/>
      <c r="CF104" s="498"/>
      <c r="CG104" s="502"/>
      <c r="CH104" s="503"/>
      <c r="CI104" s="502"/>
      <c r="CJ104" s="502"/>
      <c r="CK104" s="502"/>
      <c r="CL104" s="500"/>
      <c r="CM104" s="500"/>
      <c r="CN104" s="500"/>
      <c r="CO104" s="500"/>
    </row>
    <row r="105">
      <c r="A105" s="496"/>
      <c r="B105" s="496"/>
      <c r="C105" s="496"/>
      <c r="D105" s="497"/>
      <c r="E105" s="498"/>
      <c r="F105" s="498"/>
      <c r="G105" s="499"/>
      <c r="H105" s="499"/>
      <c r="I105" s="498"/>
      <c r="J105" s="500"/>
      <c r="K105" s="496"/>
      <c r="L105" s="500"/>
      <c r="M105" s="496"/>
      <c r="N105" s="500"/>
      <c r="O105" s="496"/>
      <c r="P105" s="500"/>
      <c r="Q105" s="498"/>
      <c r="R105" s="500"/>
      <c r="S105" s="498"/>
      <c r="T105" s="496"/>
      <c r="U105" s="498"/>
      <c r="V105" s="496"/>
      <c r="W105" s="498"/>
      <c r="X105" s="500"/>
      <c r="Y105" s="498"/>
      <c r="Z105" s="500"/>
      <c r="AA105" s="500"/>
      <c r="AB105" s="500"/>
      <c r="AC105" s="501"/>
      <c r="AD105" s="500"/>
      <c r="AE105" s="501"/>
      <c r="AF105" s="500"/>
      <c r="AG105" s="501"/>
      <c r="AH105" s="500"/>
      <c r="AI105" s="498"/>
      <c r="AJ105" s="500"/>
      <c r="AK105" s="500"/>
      <c r="AL105" s="500"/>
      <c r="AM105" s="500"/>
      <c r="AN105" s="500"/>
      <c r="AO105" s="500"/>
      <c r="AP105" s="500"/>
      <c r="AQ105" s="500"/>
      <c r="AR105" s="500"/>
      <c r="AS105" s="500"/>
      <c r="AT105" s="500"/>
      <c r="AU105" s="498"/>
      <c r="AV105" s="500"/>
      <c r="AW105" s="500"/>
      <c r="AX105" s="500"/>
      <c r="AY105" s="500"/>
      <c r="AZ105" s="500"/>
      <c r="BA105" s="500"/>
      <c r="BB105" s="500"/>
      <c r="BC105" s="500"/>
      <c r="BD105" s="500"/>
      <c r="BE105" s="500"/>
      <c r="BF105" s="500"/>
      <c r="BG105" s="500"/>
      <c r="BH105" s="500"/>
      <c r="BI105" s="500"/>
      <c r="BJ105" s="500"/>
      <c r="BK105" s="500"/>
      <c r="BL105" s="500"/>
      <c r="BM105" s="500"/>
      <c r="BN105" s="500"/>
      <c r="BO105" s="500"/>
      <c r="BP105" s="500"/>
      <c r="BQ105" s="498"/>
      <c r="BR105" s="498"/>
      <c r="BS105" s="498"/>
      <c r="BT105" s="498"/>
      <c r="BU105" s="498"/>
      <c r="BV105" s="500"/>
      <c r="BW105" s="498"/>
      <c r="BX105" s="498"/>
      <c r="BY105" s="498"/>
      <c r="BZ105" s="498"/>
      <c r="CA105" s="498"/>
      <c r="CB105" s="498"/>
      <c r="CC105" s="498"/>
      <c r="CD105" s="498"/>
      <c r="CE105" s="498"/>
      <c r="CF105" s="498"/>
      <c r="CG105" s="502"/>
      <c r="CH105" s="503"/>
      <c r="CI105" s="502"/>
      <c r="CJ105" s="502"/>
      <c r="CK105" s="502"/>
      <c r="CL105" s="500"/>
      <c r="CM105" s="500"/>
      <c r="CN105" s="500"/>
      <c r="CO105" s="500"/>
    </row>
    <row r="106">
      <c r="A106" s="496"/>
      <c r="B106" s="496"/>
      <c r="C106" s="496"/>
      <c r="D106" s="497"/>
      <c r="E106" s="498"/>
      <c r="F106" s="498"/>
      <c r="G106" s="499"/>
      <c r="H106" s="499"/>
      <c r="I106" s="498"/>
      <c r="J106" s="500"/>
      <c r="K106" s="496"/>
      <c r="L106" s="500"/>
      <c r="M106" s="496"/>
      <c r="N106" s="500"/>
      <c r="O106" s="496"/>
      <c r="P106" s="500"/>
      <c r="Q106" s="498"/>
      <c r="R106" s="500"/>
      <c r="S106" s="498"/>
      <c r="T106" s="496"/>
      <c r="U106" s="498"/>
      <c r="V106" s="496"/>
      <c r="W106" s="498"/>
      <c r="X106" s="500"/>
      <c r="Y106" s="498"/>
      <c r="Z106" s="500"/>
      <c r="AA106" s="500"/>
      <c r="AB106" s="500"/>
      <c r="AC106" s="501"/>
      <c r="AD106" s="500"/>
      <c r="AE106" s="501"/>
      <c r="AF106" s="500"/>
      <c r="AG106" s="501"/>
      <c r="AH106" s="500"/>
      <c r="AI106" s="498"/>
      <c r="AJ106" s="500"/>
      <c r="AK106" s="500"/>
      <c r="AL106" s="500"/>
      <c r="AM106" s="500"/>
      <c r="AN106" s="500"/>
      <c r="AO106" s="500"/>
      <c r="AP106" s="500"/>
      <c r="AQ106" s="500"/>
      <c r="AR106" s="500"/>
      <c r="AS106" s="500"/>
      <c r="AT106" s="500"/>
      <c r="AU106" s="498"/>
      <c r="AV106" s="500"/>
      <c r="AW106" s="500"/>
      <c r="AX106" s="500"/>
      <c r="AY106" s="500"/>
      <c r="AZ106" s="500"/>
      <c r="BA106" s="500"/>
      <c r="BB106" s="500"/>
      <c r="BC106" s="500"/>
      <c r="BD106" s="500"/>
      <c r="BE106" s="500"/>
      <c r="BF106" s="500"/>
      <c r="BG106" s="500"/>
      <c r="BH106" s="500"/>
      <c r="BI106" s="500"/>
      <c r="BJ106" s="500"/>
      <c r="BK106" s="500"/>
      <c r="BL106" s="500"/>
      <c r="BM106" s="500"/>
      <c r="BN106" s="500"/>
      <c r="BO106" s="500"/>
      <c r="BP106" s="500"/>
      <c r="BQ106" s="498"/>
      <c r="BR106" s="498"/>
      <c r="BS106" s="498"/>
      <c r="BT106" s="498"/>
      <c r="BU106" s="498"/>
      <c r="BV106" s="500"/>
      <c r="BW106" s="498"/>
      <c r="BX106" s="498"/>
      <c r="BY106" s="498"/>
      <c r="BZ106" s="498"/>
      <c r="CA106" s="498"/>
      <c r="CB106" s="498"/>
      <c r="CC106" s="498"/>
      <c r="CD106" s="498"/>
      <c r="CE106" s="498"/>
      <c r="CF106" s="498"/>
      <c r="CG106" s="502"/>
      <c r="CH106" s="503"/>
      <c r="CI106" s="502"/>
      <c r="CJ106" s="502"/>
      <c r="CK106" s="502"/>
      <c r="CL106" s="500"/>
      <c r="CM106" s="500"/>
      <c r="CN106" s="500"/>
      <c r="CO106" s="500"/>
    </row>
    <row r="107">
      <c r="A107" s="496"/>
      <c r="B107" s="496"/>
      <c r="C107" s="496"/>
      <c r="D107" s="497"/>
      <c r="E107" s="498"/>
      <c r="F107" s="498"/>
      <c r="G107" s="499"/>
      <c r="H107" s="499"/>
      <c r="I107" s="498"/>
      <c r="J107" s="500"/>
      <c r="K107" s="496"/>
      <c r="L107" s="500"/>
      <c r="M107" s="496"/>
      <c r="N107" s="500"/>
      <c r="O107" s="496"/>
      <c r="P107" s="500"/>
      <c r="Q107" s="498"/>
      <c r="R107" s="500"/>
      <c r="S107" s="498"/>
      <c r="T107" s="496"/>
      <c r="U107" s="498"/>
      <c r="V107" s="496"/>
      <c r="W107" s="498"/>
      <c r="X107" s="500"/>
      <c r="Y107" s="498"/>
      <c r="Z107" s="500"/>
      <c r="AA107" s="500"/>
      <c r="AB107" s="500"/>
      <c r="AC107" s="501"/>
      <c r="AD107" s="500"/>
      <c r="AE107" s="501"/>
      <c r="AF107" s="500"/>
      <c r="AG107" s="501"/>
      <c r="AH107" s="500"/>
      <c r="AI107" s="498"/>
      <c r="AJ107" s="500"/>
      <c r="AK107" s="500"/>
      <c r="AL107" s="500"/>
      <c r="AM107" s="500"/>
      <c r="AN107" s="500"/>
      <c r="AO107" s="500"/>
      <c r="AP107" s="500"/>
      <c r="AQ107" s="500"/>
      <c r="AR107" s="500"/>
      <c r="AS107" s="500"/>
      <c r="AT107" s="500"/>
      <c r="AU107" s="498"/>
      <c r="AV107" s="500"/>
      <c r="AW107" s="500"/>
      <c r="AX107" s="500"/>
      <c r="AY107" s="500"/>
      <c r="AZ107" s="500"/>
      <c r="BA107" s="500"/>
      <c r="BB107" s="500"/>
      <c r="BC107" s="500"/>
      <c r="BD107" s="500"/>
      <c r="BE107" s="500"/>
      <c r="BF107" s="500"/>
      <c r="BG107" s="500"/>
      <c r="BH107" s="500"/>
      <c r="BI107" s="500"/>
      <c r="BJ107" s="500"/>
      <c r="BK107" s="500"/>
      <c r="BL107" s="500"/>
      <c r="BM107" s="500"/>
      <c r="BN107" s="500"/>
      <c r="BO107" s="500"/>
      <c r="BP107" s="500"/>
      <c r="BQ107" s="498"/>
      <c r="BR107" s="498"/>
      <c r="BS107" s="498"/>
      <c r="BT107" s="498"/>
      <c r="BU107" s="498"/>
      <c r="BV107" s="500"/>
      <c r="BW107" s="498"/>
      <c r="BX107" s="498"/>
      <c r="BY107" s="498"/>
      <c r="BZ107" s="498"/>
      <c r="CA107" s="498"/>
      <c r="CB107" s="498"/>
      <c r="CC107" s="498"/>
      <c r="CD107" s="498"/>
      <c r="CE107" s="498"/>
      <c r="CF107" s="498"/>
      <c r="CG107" s="502"/>
      <c r="CH107" s="503"/>
      <c r="CI107" s="502"/>
      <c r="CJ107" s="502"/>
      <c r="CK107" s="502"/>
      <c r="CL107" s="500"/>
      <c r="CM107" s="500"/>
      <c r="CN107" s="500"/>
      <c r="CO107" s="500"/>
    </row>
    <row r="108">
      <c r="A108" s="496"/>
      <c r="B108" s="496"/>
      <c r="C108" s="496"/>
      <c r="D108" s="497"/>
      <c r="E108" s="498"/>
      <c r="F108" s="498"/>
      <c r="G108" s="499"/>
      <c r="H108" s="499"/>
      <c r="I108" s="498"/>
      <c r="J108" s="500"/>
      <c r="K108" s="496"/>
      <c r="L108" s="500"/>
      <c r="M108" s="496"/>
      <c r="N108" s="500"/>
      <c r="O108" s="496"/>
      <c r="P108" s="500"/>
      <c r="Q108" s="498"/>
      <c r="R108" s="500"/>
      <c r="S108" s="498"/>
      <c r="T108" s="496"/>
      <c r="U108" s="498"/>
      <c r="V108" s="496"/>
      <c r="W108" s="498"/>
      <c r="X108" s="500"/>
      <c r="Y108" s="498"/>
      <c r="Z108" s="500"/>
      <c r="AA108" s="500"/>
      <c r="AB108" s="500"/>
      <c r="AC108" s="501"/>
      <c r="AD108" s="500"/>
      <c r="AE108" s="501"/>
      <c r="AF108" s="500"/>
      <c r="AG108" s="501"/>
      <c r="AH108" s="500"/>
      <c r="AI108" s="498"/>
      <c r="AJ108" s="500"/>
      <c r="AK108" s="500"/>
      <c r="AL108" s="500"/>
      <c r="AM108" s="500"/>
      <c r="AN108" s="500"/>
      <c r="AO108" s="500"/>
      <c r="AP108" s="500"/>
      <c r="AQ108" s="500"/>
      <c r="AR108" s="500"/>
      <c r="AS108" s="500"/>
      <c r="AT108" s="500"/>
      <c r="AU108" s="498"/>
      <c r="AV108" s="500"/>
      <c r="AW108" s="500"/>
      <c r="AX108" s="500"/>
      <c r="AY108" s="500"/>
      <c r="AZ108" s="500"/>
      <c r="BA108" s="500"/>
      <c r="BB108" s="500"/>
      <c r="BC108" s="500"/>
      <c r="BD108" s="500"/>
      <c r="BE108" s="500"/>
      <c r="BF108" s="500"/>
      <c r="BG108" s="500"/>
      <c r="BH108" s="500"/>
      <c r="BI108" s="500"/>
      <c r="BJ108" s="500"/>
      <c r="BK108" s="500"/>
      <c r="BL108" s="500"/>
      <c r="BM108" s="500"/>
      <c r="BN108" s="500"/>
      <c r="BO108" s="500"/>
      <c r="BP108" s="500"/>
      <c r="BQ108" s="498"/>
      <c r="BR108" s="498"/>
      <c r="BS108" s="498"/>
      <c r="BT108" s="498"/>
      <c r="BU108" s="498"/>
      <c r="BV108" s="500"/>
      <c r="BW108" s="498"/>
      <c r="BX108" s="498"/>
      <c r="BY108" s="498"/>
      <c r="BZ108" s="498"/>
      <c r="CA108" s="498"/>
      <c r="CB108" s="498"/>
      <c r="CC108" s="498"/>
      <c r="CD108" s="498"/>
      <c r="CE108" s="498"/>
      <c r="CF108" s="498"/>
      <c r="CG108" s="502"/>
      <c r="CH108" s="503"/>
      <c r="CI108" s="502"/>
      <c r="CJ108" s="502"/>
      <c r="CK108" s="502"/>
      <c r="CL108" s="500"/>
      <c r="CM108" s="500"/>
      <c r="CN108" s="500"/>
      <c r="CO108" s="500"/>
    </row>
    <row r="109">
      <c r="A109" s="496"/>
      <c r="B109" s="496"/>
      <c r="C109" s="496"/>
      <c r="D109" s="497"/>
      <c r="E109" s="498"/>
      <c r="F109" s="498"/>
      <c r="G109" s="499"/>
      <c r="H109" s="499"/>
      <c r="I109" s="498"/>
      <c r="J109" s="500"/>
      <c r="K109" s="496"/>
      <c r="L109" s="500"/>
      <c r="M109" s="496"/>
      <c r="N109" s="500"/>
      <c r="O109" s="496"/>
      <c r="P109" s="500"/>
      <c r="Q109" s="498"/>
      <c r="R109" s="500"/>
      <c r="S109" s="498"/>
      <c r="T109" s="496"/>
      <c r="U109" s="498"/>
      <c r="V109" s="496"/>
      <c r="W109" s="498"/>
      <c r="X109" s="500"/>
      <c r="Y109" s="498"/>
      <c r="Z109" s="500"/>
      <c r="AA109" s="500"/>
      <c r="AB109" s="500"/>
      <c r="AC109" s="501"/>
      <c r="AD109" s="500"/>
      <c r="AE109" s="501"/>
      <c r="AF109" s="500"/>
      <c r="AG109" s="501"/>
      <c r="AH109" s="500"/>
      <c r="AI109" s="498"/>
      <c r="AJ109" s="500"/>
      <c r="AK109" s="500"/>
      <c r="AL109" s="500"/>
      <c r="AM109" s="500"/>
      <c r="AN109" s="500"/>
      <c r="AO109" s="500"/>
      <c r="AP109" s="500"/>
      <c r="AQ109" s="500"/>
      <c r="AR109" s="500"/>
      <c r="AS109" s="500"/>
      <c r="AT109" s="500"/>
      <c r="AU109" s="498"/>
      <c r="AV109" s="500"/>
      <c r="AW109" s="500"/>
      <c r="AX109" s="500"/>
      <c r="AY109" s="500"/>
      <c r="AZ109" s="500"/>
      <c r="BA109" s="500"/>
      <c r="BB109" s="500"/>
      <c r="BC109" s="500"/>
      <c r="BD109" s="500"/>
      <c r="BE109" s="500"/>
      <c r="BF109" s="500"/>
      <c r="BG109" s="500"/>
      <c r="BH109" s="500"/>
      <c r="BI109" s="500"/>
      <c r="BJ109" s="500"/>
      <c r="BK109" s="500"/>
      <c r="BL109" s="500"/>
      <c r="BM109" s="500"/>
      <c r="BN109" s="500"/>
      <c r="BO109" s="500"/>
      <c r="BP109" s="500"/>
      <c r="BQ109" s="498"/>
      <c r="BR109" s="498"/>
      <c r="BS109" s="498"/>
      <c r="BT109" s="498"/>
      <c r="BU109" s="498"/>
      <c r="BV109" s="500"/>
      <c r="BW109" s="498"/>
      <c r="BX109" s="498"/>
      <c r="BY109" s="498"/>
      <c r="BZ109" s="498"/>
      <c r="CA109" s="498"/>
      <c r="CB109" s="498"/>
      <c r="CC109" s="498"/>
      <c r="CD109" s="498"/>
      <c r="CE109" s="498"/>
      <c r="CF109" s="498"/>
      <c r="CG109" s="502"/>
      <c r="CH109" s="503"/>
      <c r="CI109" s="502"/>
      <c r="CJ109" s="502"/>
      <c r="CK109" s="502"/>
      <c r="CL109" s="500"/>
      <c r="CM109" s="500"/>
      <c r="CN109" s="500"/>
      <c r="CO109" s="500"/>
    </row>
    <row r="110">
      <c r="A110" s="496"/>
      <c r="B110" s="496"/>
      <c r="C110" s="496"/>
      <c r="D110" s="497"/>
      <c r="E110" s="498"/>
      <c r="F110" s="498"/>
      <c r="G110" s="499"/>
      <c r="H110" s="499"/>
      <c r="I110" s="498"/>
      <c r="J110" s="500"/>
      <c r="K110" s="496"/>
      <c r="L110" s="500"/>
      <c r="M110" s="496"/>
      <c r="N110" s="500"/>
      <c r="O110" s="496"/>
      <c r="P110" s="500"/>
      <c r="Q110" s="498"/>
      <c r="R110" s="500"/>
      <c r="S110" s="498"/>
      <c r="T110" s="496"/>
      <c r="U110" s="498"/>
      <c r="V110" s="496"/>
      <c r="W110" s="498"/>
      <c r="X110" s="500"/>
      <c r="Y110" s="498"/>
      <c r="Z110" s="500"/>
      <c r="AA110" s="500"/>
      <c r="AB110" s="500"/>
      <c r="AC110" s="501"/>
      <c r="AD110" s="500"/>
      <c r="AE110" s="501"/>
      <c r="AF110" s="500"/>
      <c r="AG110" s="501"/>
      <c r="AH110" s="500"/>
      <c r="AI110" s="498"/>
      <c r="AJ110" s="500"/>
      <c r="AK110" s="500"/>
      <c r="AL110" s="500"/>
      <c r="AM110" s="500"/>
      <c r="AN110" s="500"/>
      <c r="AO110" s="500"/>
      <c r="AP110" s="500"/>
      <c r="AQ110" s="500"/>
      <c r="AR110" s="500"/>
      <c r="AS110" s="500"/>
      <c r="AT110" s="500"/>
      <c r="AU110" s="498"/>
      <c r="AV110" s="500"/>
      <c r="AW110" s="500"/>
      <c r="AX110" s="500"/>
      <c r="AY110" s="500"/>
      <c r="AZ110" s="500"/>
      <c r="BA110" s="500"/>
      <c r="BB110" s="500"/>
      <c r="BC110" s="500"/>
      <c r="BD110" s="500"/>
      <c r="BE110" s="500"/>
      <c r="BF110" s="500"/>
      <c r="BG110" s="500"/>
      <c r="BH110" s="500"/>
      <c r="BI110" s="500"/>
      <c r="BJ110" s="500"/>
      <c r="BK110" s="500"/>
      <c r="BL110" s="500"/>
      <c r="BM110" s="500"/>
      <c r="BN110" s="500"/>
      <c r="BO110" s="500"/>
      <c r="BP110" s="500"/>
      <c r="BQ110" s="498"/>
      <c r="BR110" s="498"/>
      <c r="BS110" s="498"/>
      <c r="BT110" s="498"/>
      <c r="BU110" s="498"/>
      <c r="BV110" s="500"/>
      <c r="BW110" s="498"/>
      <c r="BX110" s="498"/>
      <c r="BY110" s="498"/>
      <c r="BZ110" s="498"/>
      <c r="CA110" s="498"/>
      <c r="CB110" s="498"/>
      <c r="CC110" s="498"/>
      <c r="CD110" s="498"/>
      <c r="CE110" s="498"/>
      <c r="CF110" s="498"/>
      <c r="CG110" s="502"/>
      <c r="CH110" s="503"/>
      <c r="CI110" s="502"/>
      <c r="CJ110" s="502"/>
      <c r="CK110" s="502"/>
      <c r="CL110" s="500"/>
      <c r="CM110" s="500"/>
      <c r="CN110" s="500"/>
      <c r="CO110" s="500"/>
    </row>
    <row r="111">
      <c r="A111" s="496"/>
      <c r="B111" s="496"/>
      <c r="C111" s="496"/>
      <c r="D111" s="497"/>
      <c r="E111" s="498"/>
      <c r="F111" s="498"/>
      <c r="G111" s="499"/>
      <c r="H111" s="499"/>
      <c r="I111" s="498"/>
      <c r="J111" s="500"/>
      <c r="K111" s="496"/>
      <c r="L111" s="500"/>
      <c r="M111" s="496"/>
      <c r="N111" s="500"/>
      <c r="O111" s="496"/>
      <c r="P111" s="500"/>
      <c r="Q111" s="498"/>
      <c r="R111" s="500"/>
      <c r="S111" s="498"/>
      <c r="T111" s="496"/>
      <c r="U111" s="498"/>
      <c r="V111" s="496"/>
      <c r="W111" s="498"/>
      <c r="X111" s="500"/>
      <c r="Y111" s="498"/>
      <c r="Z111" s="500"/>
      <c r="AA111" s="500"/>
      <c r="AB111" s="500"/>
      <c r="AC111" s="501"/>
      <c r="AD111" s="500"/>
      <c r="AE111" s="501"/>
      <c r="AF111" s="500"/>
      <c r="AG111" s="501"/>
      <c r="AH111" s="500"/>
      <c r="AI111" s="498"/>
      <c r="AJ111" s="500"/>
      <c r="AK111" s="500"/>
      <c r="AL111" s="500"/>
      <c r="AM111" s="500"/>
      <c r="AN111" s="500"/>
      <c r="AO111" s="500"/>
      <c r="AP111" s="500"/>
      <c r="AQ111" s="500"/>
      <c r="AR111" s="500"/>
      <c r="AS111" s="500"/>
      <c r="AT111" s="500"/>
      <c r="AU111" s="498"/>
      <c r="AV111" s="500"/>
      <c r="AW111" s="500"/>
      <c r="AX111" s="500"/>
      <c r="AY111" s="500"/>
      <c r="AZ111" s="500"/>
      <c r="BA111" s="500"/>
      <c r="BB111" s="500"/>
      <c r="BC111" s="500"/>
      <c r="BD111" s="500"/>
      <c r="BE111" s="500"/>
      <c r="BF111" s="500"/>
      <c r="BG111" s="500"/>
      <c r="BH111" s="500"/>
      <c r="BI111" s="500"/>
      <c r="BJ111" s="500"/>
      <c r="BK111" s="500"/>
      <c r="BL111" s="500"/>
      <c r="BM111" s="500"/>
      <c r="BN111" s="500"/>
      <c r="BO111" s="500"/>
      <c r="BP111" s="500"/>
      <c r="BQ111" s="498"/>
      <c r="BR111" s="498"/>
      <c r="BS111" s="498"/>
      <c r="BT111" s="498"/>
      <c r="BU111" s="498"/>
      <c r="BV111" s="500"/>
      <c r="BW111" s="498"/>
      <c r="BX111" s="498"/>
      <c r="BY111" s="498"/>
      <c r="BZ111" s="498"/>
      <c r="CA111" s="498"/>
      <c r="CB111" s="498"/>
      <c r="CC111" s="498"/>
      <c r="CD111" s="498"/>
      <c r="CE111" s="498"/>
      <c r="CF111" s="498"/>
      <c r="CG111" s="502"/>
      <c r="CH111" s="503"/>
      <c r="CI111" s="502"/>
      <c r="CJ111" s="502"/>
      <c r="CK111" s="502"/>
      <c r="CL111" s="500"/>
      <c r="CM111" s="500"/>
      <c r="CN111" s="500"/>
      <c r="CO111" s="500"/>
    </row>
    <row r="112">
      <c r="A112" s="496"/>
      <c r="B112" s="496"/>
      <c r="C112" s="496"/>
      <c r="D112" s="497"/>
      <c r="E112" s="498"/>
      <c r="F112" s="498"/>
      <c r="G112" s="499"/>
      <c r="H112" s="499"/>
      <c r="I112" s="498"/>
      <c r="J112" s="500"/>
      <c r="K112" s="496"/>
      <c r="L112" s="500"/>
      <c r="M112" s="496"/>
      <c r="N112" s="500"/>
      <c r="O112" s="496"/>
      <c r="P112" s="500"/>
      <c r="Q112" s="498"/>
      <c r="R112" s="500"/>
      <c r="S112" s="498"/>
      <c r="T112" s="496"/>
      <c r="U112" s="498"/>
      <c r="V112" s="496"/>
      <c r="W112" s="498"/>
      <c r="X112" s="500"/>
      <c r="Y112" s="498"/>
      <c r="Z112" s="500"/>
      <c r="AA112" s="500"/>
      <c r="AB112" s="500"/>
      <c r="AC112" s="501"/>
      <c r="AD112" s="500"/>
      <c r="AE112" s="501"/>
      <c r="AF112" s="500"/>
      <c r="AG112" s="501"/>
      <c r="AH112" s="500"/>
      <c r="AI112" s="498"/>
      <c r="AJ112" s="500"/>
      <c r="AK112" s="500"/>
      <c r="AL112" s="500"/>
      <c r="AM112" s="500"/>
      <c r="AN112" s="500"/>
      <c r="AO112" s="500"/>
      <c r="AP112" s="500"/>
      <c r="AQ112" s="500"/>
      <c r="AR112" s="500"/>
      <c r="AS112" s="500"/>
      <c r="AT112" s="500"/>
      <c r="AU112" s="498"/>
      <c r="AV112" s="500"/>
      <c r="AW112" s="500"/>
      <c r="AX112" s="500"/>
      <c r="AY112" s="500"/>
      <c r="AZ112" s="500"/>
      <c r="BA112" s="500"/>
      <c r="BB112" s="500"/>
      <c r="BC112" s="500"/>
      <c r="BD112" s="500"/>
      <c r="BE112" s="500"/>
      <c r="BF112" s="500"/>
      <c r="BG112" s="500"/>
      <c r="BH112" s="500"/>
      <c r="BI112" s="500"/>
      <c r="BJ112" s="500"/>
      <c r="BK112" s="500"/>
      <c r="BL112" s="500"/>
      <c r="BM112" s="500"/>
      <c r="BN112" s="500"/>
      <c r="BO112" s="500"/>
      <c r="BP112" s="500"/>
      <c r="BQ112" s="498"/>
      <c r="BR112" s="498"/>
      <c r="BS112" s="498"/>
      <c r="BT112" s="498"/>
      <c r="BU112" s="498"/>
      <c r="BV112" s="500"/>
      <c r="BW112" s="498"/>
      <c r="BX112" s="498"/>
      <c r="BY112" s="498"/>
      <c r="BZ112" s="498"/>
      <c r="CA112" s="498"/>
      <c r="CB112" s="498"/>
      <c r="CC112" s="498"/>
      <c r="CD112" s="498"/>
      <c r="CE112" s="498"/>
      <c r="CF112" s="498"/>
      <c r="CG112" s="502"/>
      <c r="CH112" s="503"/>
      <c r="CI112" s="502"/>
      <c r="CJ112" s="502"/>
      <c r="CK112" s="502"/>
      <c r="CL112" s="500"/>
      <c r="CM112" s="500"/>
      <c r="CN112" s="500"/>
      <c r="CO112" s="500"/>
    </row>
    <row r="113">
      <c r="A113" s="496"/>
      <c r="B113" s="496"/>
      <c r="C113" s="496"/>
      <c r="D113" s="497"/>
      <c r="E113" s="498"/>
      <c r="F113" s="498"/>
      <c r="G113" s="499"/>
      <c r="H113" s="499"/>
      <c r="I113" s="498"/>
      <c r="J113" s="500"/>
      <c r="K113" s="496"/>
      <c r="L113" s="500"/>
      <c r="M113" s="496"/>
      <c r="N113" s="500"/>
      <c r="O113" s="496"/>
      <c r="P113" s="500"/>
      <c r="Q113" s="498"/>
      <c r="R113" s="500"/>
      <c r="S113" s="498"/>
      <c r="T113" s="496"/>
      <c r="U113" s="498"/>
      <c r="V113" s="496"/>
      <c r="W113" s="498"/>
      <c r="X113" s="500"/>
      <c r="Y113" s="498"/>
      <c r="Z113" s="500"/>
      <c r="AA113" s="500"/>
      <c r="AB113" s="500"/>
      <c r="AC113" s="501"/>
      <c r="AD113" s="500"/>
      <c r="AE113" s="501"/>
      <c r="AF113" s="500"/>
      <c r="AG113" s="501"/>
      <c r="AH113" s="500"/>
      <c r="AI113" s="498"/>
      <c r="AJ113" s="500"/>
      <c r="AK113" s="500"/>
      <c r="AL113" s="500"/>
      <c r="AM113" s="500"/>
      <c r="AN113" s="500"/>
      <c r="AO113" s="500"/>
      <c r="AP113" s="500"/>
      <c r="AQ113" s="500"/>
      <c r="AR113" s="500"/>
      <c r="AS113" s="500"/>
      <c r="AT113" s="500"/>
      <c r="AU113" s="498"/>
      <c r="AV113" s="500"/>
      <c r="AW113" s="500"/>
      <c r="AX113" s="500"/>
      <c r="AY113" s="500"/>
      <c r="AZ113" s="500"/>
      <c r="BA113" s="500"/>
      <c r="BB113" s="500"/>
      <c r="BC113" s="500"/>
      <c r="BD113" s="500"/>
      <c r="BE113" s="500"/>
      <c r="BF113" s="500"/>
      <c r="BG113" s="500"/>
      <c r="BH113" s="500"/>
      <c r="BI113" s="500"/>
      <c r="BJ113" s="500"/>
      <c r="BK113" s="500"/>
      <c r="BL113" s="500"/>
      <c r="BM113" s="500"/>
      <c r="BN113" s="500"/>
      <c r="BO113" s="500"/>
      <c r="BP113" s="500"/>
      <c r="BQ113" s="498"/>
      <c r="BR113" s="498"/>
      <c r="BS113" s="498"/>
      <c r="BT113" s="498"/>
      <c r="BU113" s="498"/>
      <c r="BV113" s="500"/>
      <c r="BW113" s="498"/>
      <c r="BX113" s="498"/>
      <c r="BY113" s="498"/>
      <c r="BZ113" s="498"/>
      <c r="CA113" s="498"/>
      <c r="CB113" s="498"/>
      <c r="CC113" s="498"/>
      <c r="CD113" s="498"/>
      <c r="CE113" s="498"/>
      <c r="CF113" s="498"/>
      <c r="CG113" s="502"/>
      <c r="CH113" s="503"/>
      <c r="CI113" s="502"/>
      <c r="CJ113" s="502"/>
      <c r="CK113" s="502"/>
      <c r="CL113" s="500"/>
      <c r="CM113" s="500"/>
      <c r="CN113" s="500"/>
      <c r="CO113" s="500"/>
    </row>
    <row r="114">
      <c r="A114" s="496"/>
      <c r="B114" s="496"/>
      <c r="C114" s="496"/>
      <c r="D114" s="497"/>
      <c r="E114" s="498"/>
      <c r="F114" s="498"/>
      <c r="G114" s="499"/>
      <c r="H114" s="499"/>
      <c r="I114" s="498"/>
      <c r="J114" s="500"/>
      <c r="K114" s="496"/>
      <c r="L114" s="500"/>
      <c r="M114" s="496"/>
      <c r="N114" s="500"/>
      <c r="O114" s="496"/>
      <c r="P114" s="500"/>
      <c r="Q114" s="498"/>
      <c r="R114" s="500"/>
      <c r="S114" s="498"/>
      <c r="T114" s="496"/>
      <c r="U114" s="498"/>
      <c r="V114" s="496"/>
      <c r="W114" s="498"/>
      <c r="X114" s="500"/>
      <c r="Y114" s="498"/>
      <c r="Z114" s="500"/>
      <c r="AA114" s="500"/>
      <c r="AB114" s="500"/>
      <c r="AC114" s="501"/>
      <c r="AD114" s="500"/>
      <c r="AE114" s="501"/>
      <c r="AF114" s="500"/>
      <c r="AG114" s="501"/>
      <c r="AH114" s="500"/>
      <c r="AI114" s="498"/>
      <c r="AJ114" s="500"/>
      <c r="AK114" s="500"/>
      <c r="AL114" s="500"/>
      <c r="AM114" s="500"/>
      <c r="AN114" s="500"/>
      <c r="AO114" s="500"/>
      <c r="AP114" s="500"/>
      <c r="AQ114" s="500"/>
      <c r="AR114" s="500"/>
      <c r="AS114" s="500"/>
      <c r="AT114" s="500"/>
      <c r="AU114" s="498"/>
      <c r="AV114" s="500"/>
      <c r="AW114" s="500"/>
      <c r="AX114" s="500"/>
      <c r="AY114" s="500"/>
      <c r="AZ114" s="500"/>
      <c r="BA114" s="500"/>
      <c r="BB114" s="500"/>
      <c r="BC114" s="500"/>
      <c r="BD114" s="500"/>
      <c r="BE114" s="500"/>
      <c r="BF114" s="500"/>
      <c r="BG114" s="500"/>
      <c r="BH114" s="500"/>
      <c r="BI114" s="500"/>
      <c r="BJ114" s="500"/>
      <c r="BK114" s="500"/>
      <c r="BL114" s="500"/>
      <c r="BM114" s="500"/>
      <c r="BN114" s="500"/>
      <c r="BO114" s="500"/>
      <c r="BP114" s="500"/>
      <c r="BQ114" s="498"/>
      <c r="BR114" s="498"/>
      <c r="BS114" s="498"/>
      <c r="BT114" s="498"/>
      <c r="BU114" s="498"/>
      <c r="BV114" s="500"/>
      <c r="BW114" s="498"/>
      <c r="BX114" s="498"/>
      <c r="BY114" s="498"/>
      <c r="BZ114" s="498"/>
      <c r="CA114" s="498"/>
      <c r="CB114" s="498"/>
      <c r="CC114" s="498"/>
      <c r="CD114" s="498"/>
      <c r="CE114" s="498"/>
      <c r="CF114" s="498"/>
      <c r="CG114" s="502"/>
      <c r="CH114" s="503"/>
      <c r="CI114" s="502"/>
      <c r="CJ114" s="502"/>
      <c r="CK114" s="502"/>
      <c r="CL114" s="500"/>
      <c r="CM114" s="500"/>
      <c r="CN114" s="500"/>
      <c r="CO114" s="500"/>
    </row>
    <row r="115">
      <c r="A115" s="496"/>
      <c r="B115" s="496"/>
      <c r="C115" s="496"/>
      <c r="D115" s="497"/>
      <c r="E115" s="498"/>
      <c r="F115" s="498"/>
      <c r="G115" s="499"/>
      <c r="H115" s="499"/>
      <c r="I115" s="498"/>
      <c r="J115" s="500"/>
      <c r="K115" s="496"/>
      <c r="L115" s="500"/>
      <c r="M115" s="496"/>
      <c r="N115" s="500"/>
      <c r="O115" s="496"/>
      <c r="P115" s="500"/>
      <c r="Q115" s="498"/>
      <c r="R115" s="500"/>
      <c r="S115" s="498"/>
      <c r="T115" s="496"/>
      <c r="U115" s="498"/>
      <c r="V115" s="496"/>
      <c r="W115" s="498"/>
      <c r="X115" s="500"/>
      <c r="Y115" s="498"/>
      <c r="Z115" s="500"/>
      <c r="AA115" s="500"/>
      <c r="AB115" s="500"/>
      <c r="AC115" s="501"/>
      <c r="AD115" s="500"/>
      <c r="AE115" s="501"/>
      <c r="AF115" s="500"/>
      <c r="AG115" s="501"/>
      <c r="AH115" s="500"/>
      <c r="AI115" s="498"/>
      <c r="AJ115" s="500"/>
      <c r="AK115" s="500"/>
      <c r="AL115" s="500"/>
      <c r="AM115" s="500"/>
      <c r="AN115" s="500"/>
      <c r="AO115" s="500"/>
      <c r="AP115" s="500"/>
      <c r="AQ115" s="500"/>
      <c r="AR115" s="500"/>
      <c r="AS115" s="500"/>
      <c r="AT115" s="500"/>
      <c r="AU115" s="498"/>
      <c r="AV115" s="500"/>
      <c r="AW115" s="500"/>
      <c r="AX115" s="500"/>
      <c r="AY115" s="500"/>
      <c r="AZ115" s="500"/>
      <c r="BA115" s="500"/>
      <c r="BB115" s="500"/>
      <c r="BC115" s="500"/>
      <c r="BD115" s="500"/>
      <c r="BE115" s="500"/>
      <c r="BF115" s="500"/>
      <c r="BG115" s="500"/>
      <c r="BH115" s="500"/>
      <c r="BI115" s="500"/>
      <c r="BJ115" s="500"/>
      <c r="BK115" s="500"/>
      <c r="BL115" s="500"/>
      <c r="BM115" s="500"/>
      <c r="BN115" s="500"/>
      <c r="BO115" s="500"/>
      <c r="BP115" s="500"/>
      <c r="BQ115" s="498"/>
      <c r="BR115" s="498"/>
      <c r="BS115" s="498"/>
      <c r="BT115" s="498"/>
      <c r="BU115" s="498"/>
      <c r="BV115" s="500"/>
      <c r="BW115" s="498"/>
      <c r="BX115" s="498"/>
      <c r="BY115" s="498"/>
      <c r="BZ115" s="498"/>
      <c r="CA115" s="498"/>
      <c r="CB115" s="498"/>
      <c r="CC115" s="498"/>
      <c r="CD115" s="498"/>
      <c r="CE115" s="498"/>
      <c r="CF115" s="498"/>
      <c r="CG115" s="502"/>
      <c r="CH115" s="503"/>
      <c r="CI115" s="502"/>
      <c r="CJ115" s="502"/>
      <c r="CK115" s="502"/>
      <c r="CL115" s="500"/>
      <c r="CM115" s="500"/>
      <c r="CN115" s="500"/>
      <c r="CO115" s="500"/>
    </row>
    <row r="116">
      <c r="A116" s="496"/>
      <c r="B116" s="496"/>
      <c r="C116" s="496"/>
      <c r="D116" s="497"/>
      <c r="E116" s="498"/>
      <c r="F116" s="498"/>
      <c r="G116" s="499"/>
      <c r="H116" s="499"/>
      <c r="I116" s="498"/>
      <c r="J116" s="500"/>
      <c r="K116" s="496"/>
      <c r="L116" s="500"/>
      <c r="M116" s="496"/>
      <c r="N116" s="500"/>
      <c r="O116" s="496"/>
      <c r="P116" s="500"/>
      <c r="Q116" s="498"/>
      <c r="R116" s="500"/>
      <c r="S116" s="498"/>
      <c r="T116" s="496"/>
      <c r="U116" s="498"/>
      <c r="V116" s="496"/>
      <c r="W116" s="498"/>
      <c r="X116" s="500"/>
      <c r="Y116" s="498"/>
      <c r="Z116" s="500"/>
      <c r="AA116" s="500"/>
      <c r="AB116" s="500"/>
      <c r="AC116" s="501"/>
      <c r="AD116" s="500"/>
      <c r="AE116" s="501"/>
      <c r="AF116" s="500"/>
      <c r="AG116" s="501"/>
      <c r="AH116" s="500"/>
      <c r="AI116" s="498"/>
      <c r="AJ116" s="500"/>
      <c r="AK116" s="500"/>
      <c r="AL116" s="500"/>
      <c r="AM116" s="500"/>
      <c r="AN116" s="500"/>
      <c r="AO116" s="500"/>
      <c r="AP116" s="500"/>
      <c r="AQ116" s="500"/>
      <c r="AR116" s="500"/>
      <c r="AS116" s="500"/>
      <c r="AT116" s="500"/>
      <c r="AU116" s="498"/>
      <c r="AV116" s="500"/>
      <c r="AW116" s="500"/>
      <c r="AX116" s="500"/>
      <c r="AY116" s="500"/>
      <c r="AZ116" s="500"/>
      <c r="BA116" s="500"/>
      <c r="BB116" s="500"/>
      <c r="BC116" s="500"/>
      <c r="BD116" s="500"/>
      <c r="BE116" s="500"/>
      <c r="BF116" s="500"/>
      <c r="BG116" s="500"/>
      <c r="BH116" s="500"/>
      <c r="BI116" s="500"/>
      <c r="BJ116" s="500"/>
      <c r="BK116" s="500"/>
      <c r="BL116" s="500"/>
      <c r="BM116" s="500"/>
      <c r="BN116" s="500"/>
      <c r="BO116" s="500"/>
      <c r="BP116" s="500"/>
      <c r="BQ116" s="498"/>
      <c r="BR116" s="498"/>
      <c r="BS116" s="498"/>
      <c r="BT116" s="498"/>
      <c r="BU116" s="498"/>
      <c r="BV116" s="500"/>
      <c r="BW116" s="498"/>
      <c r="BX116" s="498"/>
      <c r="BY116" s="498"/>
      <c r="BZ116" s="498"/>
      <c r="CA116" s="498"/>
      <c r="CB116" s="498"/>
      <c r="CC116" s="498"/>
      <c r="CD116" s="498"/>
      <c r="CE116" s="498"/>
      <c r="CF116" s="498"/>
      <c r="CG116" s="502"/>
      <c r="CH116" s="503"/>
      <c r="CI116" s="502"/>
      <c r="CJ116" s="502"/>
      <c r="CK116" s="502"/>
      <c r="CL116" s="500"/>
      <c r="CM116" s="500"/>
      <c r="CN116" s="500"/>
      <c r="CO116" s="500"/>
    </row>
    <row r="117">
      <c r="A117" s="496"/>
      <c r="B117" s="496"/>
      <c r="C117" s="496"/>
      <c r="D117" s="497"/>
      <c r="E117" s="498"/>
      <c r="F117" s="498"/>
      <c r="G117" s="499"/>
      <c r="H117" s="499"/>
      <c r="I117" s="498"/>
      <c r="J117" s="500"/>
      <c r="K117" s="496"/>
      <c r="L117" s="500"/>
      <c r="M117" s="496"/>
      <c r="N117" s="500"/>
      <c r="O117" s="496"/>
      <c r="P117" s="500"/>
      <c r="Q117" s="498"/>
      <c r="R117" s="500"/>
      <c r="S117" s="498"/>
      <c r="T117" s="496"/>
      <c r="U117" s="498"/>
      <c r="V117" s="496"/>
      <c r="W117" s="498"/>
      <c r="X117" s="500"/>
      <c r="Y117" s="498"/>
      <c r="Z117" s="500"/>
      <c r="AA117" s="500"/>
      <c r="AB117" s="500"/>
      <c r="AC117" s="501"/>
      <c r="AD117" s="500"/>
      <c r="AE117" s="501"/>
      <c r="AF117" s="500"/>
      <c r="AG117" s="501"/>
      <c r="AH117" s="500"/>
      <c r="AI117" s="498"/>
      <c r="AJ117" s="500"/>
      <c r="AK117" s="500"/>
      <c r="AL117" s="500"/>
      <c r="AM117" s="500"/>
      <c r="AN117" s="500"/>
      <c r="AO117" s="500"/>
      <c r="AP117" s="500"/>
      <c r="AQ117" s="500"/>
      <c r="AR117" s="500"/>
      <c r="AS117" s="500"/>
      <c r="AT117" s="500"/>
      <c r="AU117" s="498"/>
      <c r="AV117" s="500"/>
      <c r="AW117" s="500"/>
      <c r="AX117" s="500"/>
      <c r="AY117" s="500"/>
      <c r="AZ117" s="500"/>
      <c r="BA117" s="500"/>
      <c r="BB117" s="500"/>
      <c r="BC117" s="500"/>
      <c r="BD117" s="500"/>
      <c r="BE117" s="500"/>
      <c r="BF117" s="500"/>
      <c r="BG117" s="500"/>
      <c r="BH117" s="500"/>
      <c r="BI117" s="500"/>
      <c r="BJ117" s="500"/>
      <c r="BK117" s="500"/>
      <c r="BL117" s="500"/>
      <c r="BM117" s="500"/>
      <c r="BN117" s="500"/>
      <c r="BO117" s="500"/>
      <c r="BP117" s="500"/>
      <c r="BQ117" s="498"/>
      <c r="BR117" s="498"/>
      <c r="BS117" s="498"/>
      <c r="BT117" s="498"/>
      <c r="BU117" s="498"/>
      <c r="BV117" s="500"/>
      <c r="BW117" s="498"/>
      <c r="BX117" s="498"/>
      <c r="BY117" s="498"/>
      <c r="BZ117" s="498"/>
      <c r="CA117" s="498"/>
      <c r="CB117" s="498"/>
      <c r="CC117" s="498"/>
      <c r="CD117" s="498"/>
      <c r="CE117" s="498"/>
      <c r="CF117" s="498"/>
      <c r="CG117" s="502"/>
      <c r="CH117" s="503"/>
      <c r="CI117" s="502"/>
      <c r="CJ117" s="502"/>
      <c r="CK117" s="502"/>
      <c r="CL117" s="500"/>
      <c r="CM117" s="500"/>
      <c r="CN117" s="500"/>
      <c r="CO117" s="500"/>
    </row>
    <row r="118">
      <c r="A118" s="496"/>
      <c r="B118" s="496"/>
      <c r="C118" s="496"/>
      <c r="D118" s="497"/>
      <c r="E118" s="498"/>
      <c r="F118" s="498"/>
      <c r="G118" s="499"/>
      <c r="H118" s="499"/>
      <c r="I118" s="498"/>
      <c r="J118" s="500"/>
      <c r="K118" s="496"/>
      <c r="L118" s="500"/>
      <c r="M118" s="496"/>
      <c r="N118" s="500"/>
      <c r="O118" s="496"/>
      <c r="P118" s="500"/>
      <c r="Q118" s="498"/>
      <c r="R118" s="500"/>
      <c r="S118" s="498"/>
      <c r="T118" s="496"/>
      <c r="U118" s="498"/>
      <c r="V118" s="496"/>
      <c r="W118" s="498"/>
      <c r="X118" s="500"/>
      <c r="Y118" s="498"/>
      <c r="Z118" s="500"/>
      <c r="AA118" s="500"/>
      <c r="AB118" s="500"/>
      <c r="AC118" s="501"/>
      <c r="AD118" s="500"/>
      <c r="AE118" s="501"/>
      <c r="AF118" s="500"/>
      <c r="AG118" s="501"/>
      <c r="AH118" s="500"/>
      <c r="AI118" s="498"/>
      <c r="AJ118" s="500"/>
      <c r="AK118" s="500"/>
      <c r="AL118" s="500"/>
      <c r="AM118" s="500"/>
      <c r="AN118" s="500"/>
      <c r="AO118" s="500"/>
      <c r="AP118" s="500"/>
      <c r="AQ118" s="500"/>
      <c r="AR118" s="500"/>
      <c r="AS118" s="500"/>
      <c r="AT118" s="500"/>
      <c r="AU118" s="498"/>
      <c r="AV118" s="500"/>
      <c r="AW118" s="500"/>
      <c r="AX118" s="500"/>
      <c r="AY118" s="500"/>
      <c r="AZ118" s="500"/>
      <c r="BA118" s="500"/>
      <c r="BB118" s="500"/>
      <c r="BC118" s="500"/>
      <c r="BD118" s="500"/>
      <c r="BE118" s="500"/>
      <c r="BF118" s="500"/>
      <c r="BG118" s="500"/>
      <c r="BH118" s="500"/>
      <c r="BI118" s="500"/>
      <c r="BJ118" s="500"/>
      <c r="BK118" s="500"/>
      <c r="BL118" s="500"/>
      <c r="BM118" s="500"/>
      <c r="BN118" s="500"/>
      <c r="BO118" s="500"/>
      <c r="BP118" s="500"/>
      <c r="BQ118" s="498"/>
      <c r="BR118" s="498"/>
      <c r="BS118" s="498"/>
      <c r="BT118" s="498"/>
      <c r="BU118" s="498"/>
      <c r="BV118" s="500"/>
      <c r="BW118" s="498"/>
      <c r="BX118" s="498"/>
      <c r="BY118" s="498"/>
      <c r="BZ118" s="498"/>
      <c r="CA118" s="498"/>
      <c r="CB118" s="498"/>
      <c r="CC118" s="498"/>
      <c r="CD118" s="498"/>
      <c r="CE118" s="498"/>
      <c r="CF118" s="498"/>
      <c r="CG118" s="502"/>
      <c r="CH118" s="503"/>
      <c r="CI118" s="502"/>
      <c r="CJ118" s="502"/>
      <c r="CK118" s="502"/>
      <c r="CL118" s="500"/>
      <c r="CM118" s="500"/>
      <c r="CN118" s="500"/>
      <c r="CO118" s="500"/>
    </row>
    <row r="119">
      <c r="A119" s="496"/>
      <c r="B119" s="496"/>
      <c r="C119" s="496"/>
      <c r="D119" s="497"/>
      <c r="E119" s="498"/>
      <c r="F119" s="498"/>
      <c r="G119" s="499"/>
      <c r="H119" s="499"/>
      <c r="I119" s="498"/>
      <c r="J119" s="500"/>
      <c r="K119" s="496"/>
      <c r="L119" s="500"/>
      <c r="M119" s="496"/>
      <c r="N119" s="500"/>
      <c r="O119" s="496"/>
      <c r="P119" s="500"/>
      <c r="Q119" s="498"/>
      <c r="R119" s="500"/>
      <c r="S119" s="498"/>
      <c r="T119" s="496"/>
      <c r="U119" s="498"/>
      <c r="V119" s="496"/>
      <c r="W119" s="498"/>
      <c r="X119" s="500"/>
      <c r="Y119" s="498"/>
      <c r="Z119" s="500"/>
      <c r="AA119" s="500"/>
      <c r="AB119" s="500"/>
      <c r="AC119" s="501"/>
      <c r="AD119" s="500"/>
      <c r="AE119" s="501"/>
      <c r="AF119" s="500"/>
      <c r="AG119" s="501"/>
      <c r="AH119" s="500"/>
      <c r="AI119" s="498"/>
      <c r="AJ119" s="500"/>
      <c r="AK119" s="500"/>
      <c r="AL119" s="500"/>
      <c r="AM119" s="500"/>
      <c r="AN119" s="500"/>
      <c r="AO119" s="500"/>
      <c r="AP119" s="500"/>
      <c r="AQ119" s="500"/>
      <c r="AR119" s="500"/>
      <c r="AS119" s="500"/>
      <c r="AT119" s="500"/>
      <c r="AU119" s="498"/>
      <c r="AV119" s="500"/>
      <c r="AW119" s="500"/>
      <c r="AX119" s="500"/>
      <c r="AY119" s="500"/>
      <c r="AZ119" s="500"/>
      <c r="BA119" s="500"/>
      <c r="BB119" s="500"/>
      <c r="BC119" s="500"/>
      <c r="BD119" s="500"/>
      <c r="BE119" s="500"/>
      <c r="BF119" s="500"/>
      <c r="BG119" s="500"/>
      <c r="BH119" s="500"/>
      <c r="BI119" s="500"/>
      <c r="BJ119" s="500"/>
      <c r="BK119" s="500"/>
      <c r="BL119" s="500"/>
      <c r="BM119" s="500"/>
      <c r="BN119" s="500"/>
      <c r="BO119" s="500"/>
      <c r="BP119" s="500"/>
      <c r="BQ119" s="498"/>
      <c r="BR119" s="498"/>
      <c r="BS119" s="498"/>
      <c r="BT119" s="498"/>
      <c r="BU119" s="498"/>
      <c r="BV119" s="500"/>
      <c r="BW119" s="498"/>
      <c r="BX119" s="498"/>
      <c r="BY119" s="498"/>
      <c r="BZ119" s="498"/>
      <c r="CA119" s="498"/>
      <c r="CB119" s="498"/>
      <c r="CC119" s="498"/>
      <c r="CD119" s="498"/>
      <c r="CE119" s="498"/>
      <c r="CF119" s="498"/>
      <c r="CG119" s="502"/>
      <c r="CH119" s="503"/>
      <c r="CI119" s="502"/>
      <c r="CJ119" s="502"/>
      <c r="CK119" s="502"/>
      <c r="CL119" s="500"/>
      <c r="CM119" s="500"/>
      <c r="CN119" s="500"/>
      <c r="CO119" s="500"/>
    </row>
    <row r="120">
      <c r="A120" s="496"/>
      <c r="B120" s="496"/>
      <c r="C120" s="496"/>
      <c r="D120" s="497"/>
      <c r="E120" s="498"/>
      <c r="F120" s="498"/>
      <c r="G120" s="499"/>
      <c r="H120" s="499"/>
      <c r="I120" s="498"/>
      <c r="J120" s="500"/>
      <c r="K120" s="496"/>
      <c r="L120" s="500"/>
      <c r="M120" s="496"/>
      <c r="N120" s="500"/>
      <c r="O120" s="496"/>
      <c r="P120" s="500"/>
      <c r="Q120" s="498"/>
      <c r="R120" s="500"/>
      <c r="S120" s="498"/>
      <c r="T120" s="496"/>
      <c r="U120" s="498"/>
      <c r="V120" s="496"/>
      <c r="W120" s="498"/>
      <c r="X120" s="500"/>
      <c r="Y120" s="498"/>
      <c r="Z120" s="500"/>
      <c r="AA120" s="500"/>
      <c r="AB120" s="500"/>
      <c r="AC120" s="501"/>
      <c r="AD120" s="500"/>
      <c r="AE120" s="501"/>
      <c r="AF120" s="500"/>
      <c r="AG120" s="501"/>
      <c r="AH120" s="500"/>
      <c r="AI120" s="498"/>
      <c r="AJ120" s="500"/>
      <c r="AK120" s="500"/>
      <c r="AL120" s="500"/>
      <c r="AM120" s="500"/>
      <c r="AN120" s="500"/>
      <c r="AO120" s="500"/>
      <c r="AP120" s="500"/>
      <c r="AQ120" s="500"/>
      <c r="AR120" s="500"/>
      <c r="AS120" s="500"/>
      <c r="AT120" s="500"/>
      <c r="AU120" s="498"/>
      <c r="AV120" s="500"/>
      <c r="AW120" s="500"/>
      <c r="AX120" s="500"/>
      <c r="AY120" s="500"/>
      <c r="AZ120" s="500"/>
      <c r="BA120" s="500"/>
      <c r="BB120" s="500"/>
      <c r="BC120" s="500"/>
      <c r="BD120" s="500"/>
      <c r="BE120" s="500"/>
      <c r="BF120" s="500"/>
      <c r="BG120" s="500"/>
      <c r="BH120" s="500"/>
      <c r="BI120" s="500"/>
      <c r="BJ120" s="500"/>
      <c r="BK120" s="500"/>
      <c r="BL120" s="500"/>
      <c r="BM120" s="500"/>
      <c r="BN120" s="500"/>
      <c r="BO120" s="500"/>
      <c r="BP120" s="500"/>
      <c r="BQ120" s="498"/>
      <c r="BR120" s="498"/>
      <c r="BS120" s="498"/>
      <c r="BT120" s="498"/>
      <c r="BU120" s="498"/>
      <c r="BV120" s="500"/>
      <c r="BW120" s="498"/>
      <c r="BX120" s="498"/>
      <c r="BY120" s="498"/>
      <c r="BZ120" s="498"/>
      <c r="CA120" s="498"/>
      <c r="CB120" s="498"/>
      <c r="CC120" s="498"/>
      <c r="CD120" s="498"/>
      <c r="CE120" s="498"/>
      <c r="CF120" s="498"/>
      <c r="CG120" s="502"/>
      <c r="CH120" s="503"/>
      <c r="CI120" s="502"/>
      <c r="CJ120" s="502"/>
      <c r="CK120" s="502"/>
      <c r="CL120" s="500"/>
      <c r="CM120" s="500"/>
      <c r="CN120" s="500"/>
      <c r="CO120" s="500"/>
    </row>
    <row r="121">
      <c r="A121" s="496"/>
      <c r="B121" s="496"/>
      <c r="C121" s="496"/>
      <c r="D121" s="497"/>
      <c r="E121" s="498"/>
      <c r="F121" s="498"/>
      <c r="G121" s="499"/>
      <c r="H121" s="499"/>
      <c r="I121" s="498"/>
      <c r="J121" s="500"/>
      <c r="K121" s="496"/>
      <c r="L121" s="500"/>
      <c r="M121" s="496"/>
      <c r="N121" s="500"/>
      <c r="O121" s="496"/>
      <c r="P121" s="500"/>
      <c r="Q121" s="498"/>
      <c r="R121" s="500"/>
      <c r="S121" s="498"/>
      <c r="T121" s="496"/>
      <c r="U121" s="498"/>
      <c r="V121" s="496"/>
      <c r="W121" s="498"/>
      <c r="X121" s="500"/>
      <c r="Y121" s="498"/>
      <c r="Z121" s="500"/>
      <c r="AA121" s="500"/>
      <c r="AB121" s="500"/>
      <c r="AC121" s="501"/>
      <c r="AD121" s="500"/>
      <c r="AE121" s="501"/>
      <c r="AF121" s="500"/>
      <c r="AG121" s="501"/>
      <c r="AH121" s="500"/>
      <c r="AI121" s="498"/>
      <c r="AJ121" s="500"/>
      <c r="AK121" s="500"/>
      <c r="AL121" s="500"/>
      <c r="AM121" s="500"/>
      <c r="AN121" s="500"/>
      <c r="AO121" s="500"/>
      <c r="AP121" s="500"/>
      <c r="AQ121" s="500"/>
      <c r="AR121" s="500"/>
      <c r="AS121" s="500"/>
      <c r="AT121" s="500"/>
      <c r="AU121" s="498"/>
      <c r="AV121" s="500"/>
      <c r="AW121" s="500"/>
      <c r="AX121" s="500"/>
      <c r="AY121" s="500"/>
      <c r="AZ121" s="500"/>
      <c r="BA121" s="500"/>
      <c r="BB121" s="500"/>
      <c r="BC121" s="500"/>
      <c r="BD121" s="500"/>
      <c r="BE121" s="500"/>
      <c r="BF121" s="500"/>
      <c r="BG121" s="500"/>
      <c r="BH121" s="500"/>
      <c r="BI121" s="500"/>
      <c r="BJ121" s="500"/>
      <c r="BK121" s="500"/>
      <c r="BL121" s="500"/>
      <c r="BM121" s="500"/>
      <c r="BN121" s="500"/>
      <c r="BO121" s="500"/>
      <c r="BP121" s="500"/>
      <c r="BQ121" s="498"/>
      <c r="BR121" s="498"/>
      <c r="BS121" s="498"/>
      <c r="BT121" s="498"/>
      <c r="BU121" s="498"/>
      <c r="BV121" s="500"/>
      <c r="BW121" s="498"/>
      <c r="BX121" s="498"/>
      <c r="BY121" s="498"/>
      <c r="BZ121" s="498"/>
      <c r="CA121" s="498"/>
      <c r="CB121" s="498"/>
      <c r="CC121" s="498"/>
      <c r="CD121" s="498"/>
      <c r="CE121" s="498"/>
      <c r="CF121" s="498"/>
      <c r="CG121" s="502"/>
      <c r="CH121" s="503"/>
      <c r="CI121" s="502"/>
      <c r="CJ121" s="502"/>
      <c r="CK121" s="502"/>
      <c r="CL121" s="500"/>
      <c r="CM121" s="500"/>
      <c r="CN121" s="500"/>
      <c r="CO121" s="500"/>
    </row>
    <row r="122">
      <c r="A122" s="496"/>
      <c r="B122" s="496"/>
      <c r="C122" s="496"/>
      <c r="D122" s="497"/>
      <c r="E122" s="498"/>
      <c r="F122" s="498"/>
      <c r="G122" s="499"/>
      <c r="H122" s="499"/>
      <c r="I122" s="498"/>
      <c r="J122" s="500"/>
      <c r="K122" s="496"/>
      <c r="L122" s="500"/>
      <c r="M122" s="496"/>
      <c r="N122" s="500"/>
      <c r="O122" s="496"/>
      <c r="P122" s="500"/>
      <c r="Q122" s="498"/>
      <c r="R122" s="500"/>
      <c r="S122" s="498"/>
      <c r="T122" s="496"/>
      <c r="U122" s="498"/>
      <c r="V122" s="496"/>
      <c r="W122" s="498"/>
      <c r="X122" s="500"/>
      <c r="Y122" s="498"/>
      <c r="Z122" s="500"/>
      <c r="AA122" s="500"/>
      <c r="AB122" s="500"/>
      <c r="AC122" s="501"/>
      <c r="AD122" s="500"/>
      <c r="AE122" s="501"/>
      <c r="AF122" s="500"/>
      <c r="AG122" s="501"/>
      <c r="AH122" s="500"/>
      <c r="AI122" s="498"/>
      <c r="AJ122" s="500"/>
      <c r="AK122" s="500"/>
      <c r="AL122" s="500"/>
      <c r="AM122" s="500"/>
      <c r="AN122" s="500"/>
      <c r="AO122" s="500"/>
      <c r="AP122" s="500"/>
      <c r="AQ122" s="500"/>
      <c r="AR122" s="500"/>
      <c r="AS122" s="500"/>
      <c r="AT122" s="500"/>
      <c r="AU122" s="498"/>
      <c r="AV122" s="500"/>
      <c r="AW122" s="500"/>
      <c r="AX122" s="500"/>
      <c r="AY122" s="500"/>
      <c r="AZ122" s="500"/>
      <c r="BA122" s="500"/>
      <c r="BB122" s="500"/>
      <c r="BC122" s="500"/>
      <c r="BD122" s="500"/>
      <c r="BE122" s="500"/>
      <c r="BF122" s="500"/>
      <c r="BG122" s="500"/>
      <c r="BH122" s="500"/>
      <c r="BI122" s="500"/>
      <c r="BJ122" s="500"/>
      <c r="BK122" s="500"/>
      <c r="BL122" s="500"/>
      <c r="BM122" s="500"/>
      <c r="BN122" s="500"/>
      <c r="BO122" s="500"/>
      <c r="BP122" s="500"/>
      <c r="BQ122" s="498"/>
      <c r="BR122" s="498"/>
      <c r="BS122" s="498"/>
      <c r="BT122" s="498"/>
      <c r="BU122" s="498"/>
      <c r="BV122" s="500"/>
      <c r="BW122" s="498"/>
      <c r="BX122" s="498"/>
      <c r="BY122" s="498"/>
      <c r="BZ122" s="498"/>
      <c r="CA122" s="498"/>
      <c r="CB122" s="498"/>
      <c r="CC122" s="498"/>
      <c r="CD122" s="498"/>
      <c r="CE122" s="498"/>
      <c r="CF122" s="498"/>
      <c r="CG122" s="502"/>
      <c r="CH122" s="503"/>
      <c r="CI122" s="502"/>
      <c r="CJ122" s="502"/>
      <c r="CK122" s="502"/>
      <c r="CL122" s="500"/>
      <c r="CM122" s="500"/>
      <c r="CN122" s="500"/>
      <c r="CO122" s="500"/>
    </row>
    <row r="123">
      <c r="A123" s="496"/>
      <c r="B123" s="496"/>
      <c r="C123" s="496"/>
      <c r="D123" s="497"/>
      <c r="E123" s="498"/>
      <c r="F123" s="498"/>
      <c r="G123" s="499"/>
      <c r="H123" s="499"/>
      <c r="I123" s="498"/>
      <c r="J123" s="500"/>
      <c r="K123" s="496"/>
      <c r="L123" s="500"/>
      <c r="M123" s="496"/>
      <c r="N123" s="500"/>
      <c r="O123" s="496"/>
      <c r="P123" s="500"/>
      <c r="Q123" s="498"/>
      <c r="R123" s="500"/>
      <c r="S123" s="498"/>
      <c r="T123" s="496"/>
      <c r="U123" s="498"/>
      <c r="V123" s="496"/>
      <c r="W123" s="498"/>
      <c r="X123" s="500"/>
      <c r="Y123" s="498"/>
      <c r="Z123" s="500"/>
      <c r="AA123" s="500"/>
      <c r="AB123" s="500"/>
      <c r="AC123" s="501"/>
      <c r="AD123" s="500"/>
      <c r="AE123" s="501"/>
      <c r="AF123" s="500"/>
      <c r="AG123" s="501"/>
      <c r="AH123" s="500"/>
      <c r="AI123" s="498"/>
      <c r="AJ123" s="500"/>
      <c r="AK123" s="500"/>
      <c r="AL123" s="500"/>
      <c r="AM123" s="500"/>
      <c r="AN123" s="500"/>
      <c r="AO123" s="500"/>
      <c r="AP123" s="500"/>
      <c r="AQ123" s="500"/>
      <c r="AR123" s="500"/>
      <c r="AS123" s="500"/>
      <c r="AT123" s="500"/>
      <c r="AU123" s="498"/>
      <c r="AV123" s="500"/>
      <c r="AW123" s="500"/>
      <c r="AX123" s="500"/>
      <c r="AY123" s="500"/>
      <c r="AZ123" s="500"/>
      <c r="BA123" s="500"/>
      <c r="BB123" s="500"/>
      <c r="BC123" s="500"/>
      <c r="BD123" s="500"/>
      <c r="BE123" s="500"/>
      <c r="BF123" s="500"/>
      <c r="BG123" s="500"/>
      <c r="BH123" s="500"/>
      <c r="BI123" s="500"/>
      <c r="BJ123" s="500"/>
      <c r="BK123" s="500"/>
      <c r="BL123" s="500"/>
      <c r="BM123" s="500"/>
      <c r="BN123" s="500"/>
      <c r="BO123" s="500"/>
      <c r="BP123" s="500"/>
      <c r="BQ123" s="498"/>
      <c r="BR123" s="498"/>
      <c r="BS123" s="498"/>
      <c r="BT123" s="498"/>
      <c r="BU123" s="498"/>
      <c r="BV123" s="500"/>
      <c r="BW123" s="498"/>
      <c r="BX123" s="498"/>
      <c r="BY123" s="498"/>
      <c r="BZ123" s="498"/>
      <c r="CA123" s="498"/>
      <c r="CB123" s="498"/>
      <c r="CC123" s="498"/>
      <c r="CD123" s="498"/>
      <c r="CE123" s="498"/>
      <c r="CF123" s="498"/>
      <c r="CG123" s="502"/>
      <c r="CH123" s="503"/>
      <c r="CI123" s="502"/>
      <c r="CJ123" s="502"/>
      <c r="CK123" s="502"/>
      <c r="CL123" s="500"/>
      <c r="CM123" s="500"/>
      <c r="CN123" s="500"/>
      <c r="CO123" s="500"/>
    </row>
    <row r="124">
      <c r="A124" s="496"/>
      <c r="B124" s="496"/>
      <c r="C124" s="496"/>
      <c r="D124" s="497"/>
      <c r="E124" s="498"/>
      <c r="F124" s="498"/>
      <c r="G124" s="499"/>
      <c r="H124" s="499"/>
      <c r="I124" s="498"/>
      <c r="J124" s="500"/>
      <c r="K124" s="496"/>
      <c r="L124" s="500"/>
      <c r="M124" s="496"/>
      <c r="N124" s="500"/>
      <c r="O124" s="496"/>
      <c r="P124" s="500"/>
      <c r="Q124" s="498"/>
      <c r="R124" s="500"/>
      <c r="S124" s="498"/>
      <c r="T124" s="496"/>
      <c r="U124" s="498"/>
      <c r="V124" s="496"/>
      <c r="W124" s="498"/>
      <c r="X124" s="500"/>
      <c r="Y124" s="498"/>
      <c r="Z124" s="500"/>
      <c r="AA124" s="500"/>
      <c r="AB124" s="500"/>
      <c r="AC124" s="501"/>
      <c r="AD124" s="500"/>
      <c r="AE124" s="501"/>
      <c r="AF124" s="500"/>
      <c r="AG124" s="501"/>
      <c r="AH124" s="500"/>
      <c r="AI124" s="498"/>
      <c r="AJ124" s="500"/>
      <c r="AK124" s="500"/>
      <c r="AL124" s="500"/>
      <c r="AM124" s="500"/>
      <c r="AN124" s="500"/>
      <c r="AO124" s="500"/>
      <c r="AP124" s="500"/>
      <c r="AQ124" s="500"/>
      <c r="AR124" s="500"/>
      <c r="AS124" s="500"/>
      <c r="AT124" s="500"/>
      <c r="AU124" s="498"/>
      <c r="AV124" s="500"/>
      <c r="AW124" s="500"/>
      <c r="AX124" s="500"/>
      <c r="AY124" s="500"/>
      <c r="AZ124" s="500"/>
      <c r="BA124" s="500"/>
      <c r="BB124" s="500"/>
      <c r="BC124" s="500"/>
      <c r="BD124" s="500"/>
      <c r="BE124" s="500"/>
      <c r="BF124" s="500"/>
      <c r="BG124" s="500"/>
      <c r="BH124" s="500"/>
      <c r="BI124" s="500"/>
      <c r="BJ124" s="500"/>
      <c r="BK124" s="500"/>
      <c r="BL124" s="500"/>
      <c r="BM124" s="500"/>
      <c r="BN124" s="500"/>
      <c r="BO124" s="500"/>
      <c r="BP124" s="500"/>
      <c r="BQ124" s="498"/>
      <c r="BR124" s="498"/>
      <c r="BS124" s="498"/>
      <c r="BT124" s="498"/>
      <c r="BU124" s="498"/>
      <c r="BV124" s="500"/>
      <c r="BW124" s="498"/>
      <c r="BX124" s="498"/>
      <c r="BY124" s="498"/>
      <c r="BZ124" s="498"/>
      <c r="CA124" s="498"/>
      <c r="CB124" s="498"/>
      <c r="CC124" s="498"/>
      <c r="CD124" s="498"/>
      <c r="CE124" s="498"/>
      <c r="CF124" s="498"/>
      <c r="CG124" s="502"/>
      <c r="CH124" s="503"/>
      <c r="CI124" s="502"/>
      <c r="CJ124" s="502"/>
      <c r="CK124" s="502"/>
      <c r="CL124" s="500"/>
      <c r="CM124" s="500"/>
      <c r="CN124" s="500"/>
      <c r="CO124" s="500"/>
    </row>
    <row r="125">
      <c r="A125" s="496"/>
      <c r="B125" s="496"/>
      <c r="C125" s="496"/>
      <c r="D125" s="497"/>
      <c r="E125" s="498"/>
      <c r="F125" s="498"/>
      <c r="G125" s="499"/>
      <c r="H125" s="499"/>
      <c r="I125" s="498"/>
      <c r="J125" s="500"/>
      <c r="K125" s="496"/>
      <c r="L125" s="500"/>
      <c r="M125" s="496"/>
      <c r="N125" s="500"/>
      <c r="O125" s="496"/>
      <c r="P125" s="500"/>
      <c r="Q125" s="498"/>
      <c r="R125" s="500"/>
      <c r="S125" s="498"/>
      <c r="T125" s="496"/>
      <c r="U125" s="498"/>
      <c r="V125" s="496"/>
      <c r="W125" s="498"/>
      <c r="X125" s="500"/>
      <c r="Y125" s="498"/>
      <c r="Z125" s="500"/>
      <c r="AA125" s="500"/>
      <c r="AB125" s="500"/>
      <c r="AC125" s="501"/>
      <c r="AD125" s="500"/>
      <c r="AE125" s="501"/>
      <c r="AF125" s="500"/>
      <c r="AG125" s="501"/>
      <c r="AH125" s="500"/>
      <c r="AI125" s="498"/>
      <c r="AJ125" s="500"/>
      <c r="AK125" s="500"/>
      <c r="AL125" s="500"/>
      <c r="AM125" s="500"/>
      <c r="AN125" s="500"/>
      <c r="AO125" s="500"/>
      <c r="AP125" s="500"/>
      <c r="AQ125" s="500"/>
      <c r="AR125" s="500"/>
      <c r="AS125" s="500"/>
      <c r="AT125" s="500"/>
      <c r="AU125" s="498"/>
      <c r="AV125" s="500"/>
      <c r="AW125" s="500"/>
      <c r="AX125" s="500"/>
      <c r="AY125" s="500"/>
      <c r="AZ125" s="500"/>
      <c r="BA125" s="500"/>
      <c r="BB125" s="500"/>
      <c r="BC125" s="500"/>
      <c r="BD125" s="500"/>
      <c r="BE125" s="500"/>
      <c r="BF125" s="500"/>
      <c r="BG125" s="500"/>
      <c r="BH125" s="500"/>
      <c r="BI125" s="500"/>
      <c r="BJ125" s="500"/>
      <c r="BK125" s="500"/>
      <c r="BL125" s="500"/>
      <c r="BM125" s="500"/>
      <c r="BN125" s="500"/>
      <c r="BO125" s="500"/>
      <c r="BP125" s="500"/>
      <c r="BQ125" s="498"/>
      <c r="BR125" s="498"/>
      <c r="BS125" s="498"/>
      <c r="BT125" s="498"/>
      <c r="BU125" s="498"/>
      <c r="BV125" s="500"/>
      <c r="BW125" s="498"/>
      <c r="BX125" s="498"/>
      <c r="BY125" s="498"/>
      <c r="BZ125" s="498"/>
      <c r="CA125" s="498"/>
      <c r="CB125" s="498"/>
      <c r="CC125" s="498"/>
      <c r="CD125" s="498"/>
      <c r="CE125" s="498"/>
      <c r="CF125" s="498"/>
      <c r="CG125" s="502"/>
      <c r="CH125" s="503"/>
      <c r="CI125" s="502"/>
      <c r="CJ125" s="502"/>
      <c r="CK125" s="502"/>
      <c r="CL125" s="500"/>
      <c r="CM125" s="500"/>
      <c r="CN125" s="500"/>
      <c r="CO125" s="500"/>
    </row>
    <row r="126">
      <c r="A126" s="496"/>
      <c r="B126" s="496"/>
      <c r="C126" s="496"/>
      <c r="D126" s="497"/>
      <c r="E126" s="498"/>
      <c r="F126" s="498"/>
      <c r="G126" s="499"/>
      <c r="H126" s="499"/>
      <c r="I126" s="498"/>
      <c r="J126" s="500"/>
      <c r="K126" s="496"/>
      <c r="L126" s="500"/>
      <c r="M126" s="496"/>
      <c r="N126" s="500"/>
      <c r="O126" s="496"/>
      <c r="P126" s="500"/>
      <c r="Q126" s="498"/>
      <c r="R126" s="500"/>
      <c r="S126" s="498"/>
      <c r="T126" s="496"/>
      <c r="U126" s="498"/>
      <c r="V126" s="496"/>
      <c r="W126" s="498"/>
      <c r="X126" s="500"/>
      <c r="Y126" s="498"/>
      <c r="Z126" s="500"/>
      <c r="AA126" s="500"/>
      <c r="AB126" s="500"/>
      <c r="AC126" s="501"/>
      <c r="AD126" s="500"/>
      <c r="AE126" s="501"/>
      <c r="AF126" s="500"/>
      <c r="AG126" s="501"/>
      <c r="AH126" s="500"/>
      <c r="AI126" s="498"/>
      <c r="AJ126" s="500"/>
      <c r="AK126" s="500"/>
      <c r="AL126" s="500"/>
      <c r="AM126" s="500"/>
      <c r="AN126" s="500"/>
      <c r="AO126" s="500"/>
      <c r="AP126" s="500"/>
      <c r="AQ126" s="500"/>
      <c r="AR126" s="500"/>
      <c r="AS126" s="500"/>
      <c r="AT126" s="500"/>
      <c r="AU126" s="498"/>
      <c r="AV126" s="500"/>
      <c r="AW126" s="500"/>
      <c r="AX126" s="500"/>
      <c r="AY126" s="500"/>
      <c r="AZ126" s="500"/>
      <c r="BA126" s="500"/>
      <c r="BB126" s="500"/>
      <c r="BC126" s="500"/>
      <c r="BD126" s="500"/>
      <c r="BE126" s="500"/>
      <c r="BF126" s="500"/>
      <c r="BG126" s="500"/>
      <c r="BH126" s="500"/>
      <c r="BI126" s="500"/>
      <c r="BJ126" s="500"/>
      <c r="BK126" s="500"/>
      <c r="BL126" s="500"/>
      <c r="BM126" s="500"/>
      <c r="BN126" s="500"/>
      <c r="BO126" s="500"/>
      <c r="BP126" s="500"/>
      <c r="BQ126" s="498"/>
      <c r="BR126" s="498"/>
      <c r="BS126" s="498"/>
      <c r="BT126" s="498"/>
      <c r="BU126" s="498"/>
      <c r="BV126" s="500"/>
      <c r="BW126" s="498"/>
      <c r="BX126" s="498"/>
      <c r="BY126" s="498"/>
      <c r="BZ126" s="498"/>
      <c r="CA126" s="498"/>
      <c r="CB126" s="498"/>
      <c r="CC126" s="498"/>
      <c r="CD126" s="498"/>
      <c r="CE126" s="498"/>
      <c r="CF126" s="498"/>
      <c r="CG126" s="502"/>
      <c r="CH126" s="503"/>
      <c r="CI126" s="502"/>
      <c r="CJ126" s="502"/>
      <c r="CK126" s="502"/>
      <c r="CL126" s="500"/>
      <c r="CM126" s="500"/>
      <c r="CN126" s="500"/>
      <c r="CO126" s="500"/>
    </row>
    <row r="127">
      <c r="A127" s="496"/>
      <c r="B127" s="496"/>
      <c r="C127" s="496"/>
      <c r="D127" s="497"/>
      <c r="E127" s="498"/>
      <c r="F127" s="498"/>
      <c r="G127" s="499"/>
      <c r="H127" s="499"/>
      <c r="I127" s="498"/>
      <c r="J127" s="500"/>
      <c r="K127" s="496"/>
      <c r="L127" s="500"/>
      <c r="M127" s="496"/>
      <c r="N127" s="500"/>
      <c r="O127" s="496"/>
      <c r="P127" s="500"/>
      <c r="Q127" s="498"/>
      <c r="R127" s="500"/>
      <c r="S127" s="498"/>
      <c r="T127" s="496"/>
      <c r="U127" s="498"/>
      <c r="V127" s="496"/>
      <c r="W127" s="498"/>
      <c r="X127" s="500"/>
      <c r="Y127" s="498"/>
      <c r="Z127" s="500"/>
      <c r="AA127" s="500"/>
      <c r="AB127" s="500"/>
      <c r="AC127" s="501"/>
      <c r="AD127" s="500"/>
      <c r="AE127" s="501"/>
      <c r="AF127" s="500"/>
      <c r="AG127" s="501"/>
      <c r="AH127" s="500"/>
      <c r="AI127" s="498"/>
      <c r="AJ127" s="500"/>
      <c r="AK127" s="500"/>
      <c r="AL127" s="500"/>
      <c r="AM127" s="500"/>
      <c r="AN127" s="500"/>
      <c r="AO127" s="500"/>
      <c r="AP127" s="500"/>
      <c r="AQ127" s="500"/>
      <c r="AR127" s="500"/>
      <c r="AS127" s="500"/>
      <c r="AT127" s="500"/>
      <c r="AU127" s="498"/>
      <c r="AV127" s="500"/>
      <c r="AW127" s="500"/>
      <c r="AX127" s="500"/>
      <c r="AY127" s="500"/>
      <c r="AZ127" s="500"/>
      <c r="BA127" s="500"/>
      <c r="BB127" s="500"/>
      <c r="BC127" s="500"/>
      <c r="BD127" s="500"/>
      <c r="BE127" s="500"/>
      <c r="BF127" s="500"/>
      <c r="BG127" s="500"/>
      <c r="BH127" s="500"/>
      <c r="BI127" s="500"/>
      <c r="BJ127" s="500"/>
      <c r="BK127" s="500"/>
      <c r="BL127" s="500"/>
      <c r="BM127" s="500"/>
      <c r="BN127" s="500"/>
      <c r="BO127" s="500"/>
      <c r="BP127" s="500"/>
      <c r="BQ127" s="498"/>
      <c r="BR127" s="498"/>
      <c r="BS127" s="498"/>
      <c r="BT127" s="498"/>
      <c r="BU127" s="498"/>
      <c r="BV127" s="500"/>
      <c r="BW127" s="498"/>
      <c r="BX127" s="498"/>
      <c r="BY127" s="498"/>
      <c r="BZ127" s="498"/>
      <c r="CA127" s="498"/>
      <c r="CB127" s="498"/>
      <c r="CC127" s="498"/>
      <c r="CD127" s="498"/>
      <c r="CE127" s="498"/>
      <c r="CF127" s="498"/>
      <c r="CG127" s="502"/>
      <c r="CH127" s="503"/>
      <c r="CI127" s="502"/>
      <c r="CJ127" s="502"/>
      <c r="CK127" s="502"/>
      <c r="CL127" s="500"/>
      <c r="CM127" s="500"/>
      <c r="CN127" s="500"/>
      <c r="CO127" s="500"/>
    </row>
    <row r="128">
      <c r="A128" s="496"/>
      <c r="B128" s="496"/>
      <c r="C128" s="496"/>
      <c r="D128" s="497"/>
      <c r="E128" s="498"/>
      <c r="F128" s="498"/>
      <c r="G128" s="499"/>
      <c r="H128" s="499"/>
      <c r="I128" s="498"/>
      <c r="J128" s="500"/>
      <c r="K128" s="496"/>
      <c r="L128" s="500"/>
      <c r="M128" s="496"/>
      <c r="N128" s="500"/>
      <c r="O128" s="496"/>
      <c r="P128" s="500"/>
      <c r="Q128" s="498"/>
      <c r="R128" s="500"/>
      <c r="S128" s="498"/>
      <c r="T128" s="496"/>
      <c r="U128" s="498"/>
      <c r="V128" s="496"/>
      <c r="W128" s="498"/>
      <c r="X128" s="500"/>
      <c r="Y128" s="498"/>
      <c r="Z128" s="500"/>
      <c r="AA128" s="500"/>
      <c r="AB128" s="500"/>
      <c r="AC128" s="501"/>
      <c r="AD128" s="500"/>
      <c r="AE128" s="501"/>
      <c r="AF128" s="500"/>
      <c r="AG128" s="501"/>
      <c r="AH128" s="500"/>
      <c r="AI128" s="498"/>
      <c r="AJ128" s="500"/>
      <c r="AK128" s="500"/>
      <c r="AL128" s="500"/>
      <c r="AM128" s="500"/>
      <c r="AN128" s="500"/>
      <c r="AO128" s="500"/>
      <c r="AP128" s="500"/>
      <c r="AQ128" s="500"/>
      <c r="AR128" s="500"/>
      <c r="AS128" s="500"/>
      <c r="AT128" s="500"/>
      <c r="AU128" s="498"/>
      <c r="AV128" s="500"/>
      <c r="AW128" s="500"/>
      <c r="AX128" s="500"/>
      <c r="AY128" s="500"/>
      <c r="AZ128" s="500"/>
      <c r="BA128" s="500"/>
      <c r="BB128" s="500"/>
      <c r="BC128" s="500"/>
      <c r="BD128" s="500"/>
      <c r="BE128" s="500"/>
      <c r="BF128" s="500"/>
      <c r="BG128" s="500"/>
      <c r="BH128" s="500"/>
      <c r="BI128" s="500"/>
      <c r="BJ128" s="500"/>
      <c r="BK128" s="500"/>
      <c r="BL128" s="500"/>
      <c r="BM128" s="500"/>
      <c r="BN128" s="500"/>
      <c r="BO128" s="500"/>
      <c r="BP128" s="500"/>
      <c r="BQ128" s="498"/>
      <c r="BR128" s="498"/>
      <c r="BS128" s="498"/>
      <c r="BT128" s="498"/>
      <c r="BU128" s="498"/>
      <c r="BV128" s="500"/>
      <c r="BW128" s="498"/>
      <c r="BX128" s="498"/>
      <c r="BY128" s="498"/>
      <c r="BZ128" s="498"/>
      <c r="CA128" s="498"/>
      <c r="CB128" s="498"/>
      <c r="CC128" s="498"/>
      <c r="CD128" s="498"/>
      <c r="CE128" s="498"/>
      <c r="CF128" s="498"/>
      <c r="CG128" s="502"/>
      <c r="CH128" s="503"/>
      <c r="CI128" s="502"/>
      <c r="CJ128" s="502"/>
      <c r="CK128" s="502"/>
      <c r="CL128" s="500"/>
      <c r="CM128" s="500"/>
      <c r="CN128" s="500"/>
      <c r="CO128" s="500"/>
    </row>
    <row r="129">
      <c r="A129" s="496"/>
      <c r="B129" s="496"/>
      <c r="C129" s="496"/>
      <c r="D129" s="497"/>
      <c r="E129" s="498"/>
      <c r="F129" s="498"/>
      <c r="G129" s="499"/>
      <c r="H129" s="499"/>
      <c r="I129" s="498"/>
      <c r="J129" s="500"/>
      <c r="K129" s="496"/>
      <c r="L129" s="500"/>
      <c r="M129" s="496"/>
      <c r="N129" s="500"/>
      <c r="O129" s="496"/>
      <c r="P129" s="500"/>
      <c r="Q129" s="498"/>
      <c r="R129" s="500"/>
      <c r="S129" s="498"/>
      <c r="T129" s="496"/>
      <c r="U129" s="498"/>
      <c r="V129" s="496"/>
      <c r="W129" s="498"/>
      <c r="X129" s="500"/>
      <c r="Y129" s="498"/>
      <c r="Z129" s="500"/>
      <c r="AA129" s="500"/>
      <c r="AB129" s="500"/>
      <c r="AC129" s="501"/>
      <c r="AD129" s="500"/>
      <c r="AE129" s="501"/>
      <c r="AF129" s="500"/>
      <c r="AG129" s="501"/>
      <c r="AH129" s="500"/>
      <c r="AI129" s="498"/>
      <c r="AJ129" s="500"/>
      <c r="AK129" s="500"/>
      <c r="AL129" s="500"/>
      <c r="AM129" s="500"/>
      <c r="AN129" s="500"/>
      <c r="AO129" s="500"/>
      <c r="AP129" s="500"/>
      <c r="AQ129" s="500"/>
      <c r="AR129" s="500"/>
      <c r="AS129" s="500"/>
      <c r="AT129" s="500"/>
      <c r="AU129" s="498"/>
      <c r="AV129" s="500"/>
      <c r="AW129" s="500"/>
      <c r="AX129" s="500"/>
      <c r="AY129" s="500"/>
      <c r="AZ129" s="500"/>
      <c r="BA129" s="500"/>
      <c r="BB129" s="500"/>
      <c r="BC129" s="500"/>
      <c r="BD129" s="500"/>
      <c r="BE129" s="500"/>
      <c r="BF129" s="500"/>
      <c r="BG129" s="500"/>
      <c r="BH129" s="500"/>
      <c r="BI129" s="500"/>
      <c r="BJ129" s="500"/>
      <c r="BK129" s="500"/>
      <c r="BL129" s="500"/>
      <c r="BM129" s="500"/>
      <c r="BN129" s="500"/>
      <c r="BO129" s="500"/>
      <c r="BP129" s="500"/>
      <c r="BQ129" s="498"/>
      <c r="BR129" s="498"/>
      <c r="BS129" s="498"/>
      <c r="BT129" s="498"/>
      <c r="BU129" s="498"/>
      <c r="BV129" s="500"/>
      <c r="BW129" s="498"/>
      <c r="BX129" s="498"/>
      <c r="BY129" s="498"/>
      <c r="BZ129" s="498"/>
      <c r="CA129" s="498"/>
      <c r="CB129" s="498"/>
      <c r="CC129" s="498"/>
      <c r="CD129" s="498"/>
      <c r="CE129" s="498"/>
      <c r="CF129" s="498"/>
      <c r="CG129" s="502"/>
      <c r="CH129" s="503"/>
      <c r="CI129" s="502"/>
      <c r="CJ129" s="502"/>
      <c r="CK129" s="502"/>
      <c r="CL129" s="500"/>
      <c r="CM129" s="500"/>
      <c r="CN129" s="500"/>
      <c r="CO129" s="500"/>
    </row>
    <row r="130">
      <c r="A130" s="496"/>
      <c r="B130" s="496"/>
      <c r="C130" s="496"/>
      <c r="D130" s="497"/>
      <c r="E130" s="498"/>
      <c r="F130" s="498"/>
      <c r="G130" s="499"/>
      <c r="H130" s="499"/>
      <c r="I130" s="498"/>
      <c r="J130" s="500"/>
      <c r="K130" s="496"/>
      <c r="L130" s="500"/>
      <c r="M130" s="496"/>
      <c r="N130" s="500"/>
      <c r="O130" s="496"/>
      <c r="P130" s="500"/>
      <c r="Q130" s="498"/>
      <c r="R130" s="500"/>
      <c r="S130" s="498"/>
      <c r="T130" s="496"/>
      <c r="U130" s="498"/>
      <c r="V130" s="496"/>
      <c r="W130" s="498"/>
      <c r="X130" s="500"/>
      <c r="Y130" s="498"/>
      <c r="Z130" s="500"/>
      <c r="AA130" s="500"/>
      <c r="AB130" s="500"/>
      <c r="AC130" s="501"/>
      <c r="AD130" s="500"/>
      <c r="AE130" s="501"/>
      <c r="AF130" s="500"/>
      <c r="AG130" s="501"/>
      <c r="AH130" s="500"/>
      <c r="AI130" s="498"/>
      <c r="AJ130" s="500"/>
      <c r="AK130" s="500"/>
      <c r="AL130" s="500"/>
      <c r="AM130" s="500"/>
      <c r="AN130" s="500"/>
      <c r="AO130" s="500"/>
      <c r="AP130" s="500"/>
      <c r="AQ130" s="500"/>
      <c r="AR130" s="500"/>
      <c r="AS130" s="500"/>
      <c r="AT130" s="500"/>
      <c r="AU130" s="498"/>
      <c r="AV130" s="500"/>
      <c r="AW130" s="500"/>
      <c r="AX130" s="500"/>
      <c r="AY130" s="500"/>
      <c r="AZ130" s="500"/>
      <c r="BA130" s="500"/>
      <c r="BB130" s="500"/>
      <c r="BC130" s="500"/>
      <c r="BD130" s="500"/>
      <c r="BE130" s="500"/>
      <c r="BF130" s="500"/>
      <c r="BG130" s="500"/>
      <c r="BH130" s="500"/>
      <c r="BI130" s="500"/>
      <c r="BJ130" s="500"/>
      <c r="BK130" s="500"/>
      <c r="BL130" s="500"/>
      <c r="BM130" s="500"/>
      <c r="BN130" s="500"/>
      <c r="BO130" s="500"/>
      <c r="BP130" s="500"/>
      <c r="BQ130" s="498"/>
      <c r="BR130" s="498"/>
      <c r="BS130" s="498"/>
      <c r="BT130" s="498"/>
      <c r="BU130" s="498"/>
      <c r="BV130" s="500"/>
      <c r="BW130" s="498"/>
      <c r="BX130" s="498"/>
      <c r="BY130" s="498"/>
      <c r="BZ130" s="498"/>
      <c r="CA130" s="498"/>
      <c r="CB130" s="498"/>
      <c r="CC130" s="498"/>
      <c r="CD130" s="498"/>
      <c r="CE130" s="498"/>
      <c r="CF130" s="498"/>
      <c r="CG130" s="502"/>
      <c r="CH130" s="503"/>
      <c r="CI130" s="502"/>
      <c r="CJ130" s="502"/>
      <c r="CK130" s="502"/>
      <c r="CL130" s="500"/>
      <c r="CM130" s="500"/>
      <c r="CN130" s="500"/>
      <c r="CO130" s="500"/>
    </row>
    <row r="131">
      <c r="A131" s="496"/>
      <c r="B131" s="496"/>
      <c r="C131" s="496"/>
      <c r="D131" s="497"/>
      <c r="E131" s="498"/>
      <c r="F131" s="498"/>
      <c r="G131" s="499"/>
      <c r="H131" s="499"/>
      <c r="I131" s="498"/>
      <c r="J131" s="500"/>
      <c r="K131" s="496"/>
      <c r="L131" s="500"/>
      <c r="M131" s="496"/>
      <c r="N131" s="500"/>
      <c r="O131" s="496"/>
      <c r="P131" s="500"/>
      <c r="Q131" s="498"/>
      <c r="R131" s="500"/>
      <c r="S131" s="498"/>
      <c r="T131" s="496"/>
      <c r="U131" s="498"/>
      <c r="V131" s="496"/>
      <c r="W131" s="498"/>
      <c r="X131" s="500"/>
      <c r="Y131" s="498"/>
      <c r="Z131" s="500"/>
      <c r="AA131" s="500"/>
      <c r="AB131" s="500"/>
      <c r="AC131" s="501"/>
      <c r="AD131" s="500"/>
      <c r="AE131" s="501"/>
      <c r="AF131" s="500"/>
      <c r="AG131" s="501"/>
      <c r="AH131" s="500"/>
      <c r="AI131" s="498"/>
      <c r="AJ131" s="500"/>
      <c r="AK131" s="500"/>
      <c r="AL131" s="500"/>
      <c r="AM131" s="500"/>
      <c r="AN131" s="500"/>
      <c r="AO131" s="500"/>
      <c r="AP131" s="500"/>
      <c r="AQ131" s="500"/>
      <c r="AR131" s="500"/>
      <c r="AS131" s="500"/>
      <c r="AT131" s="500"/>
      <c r="AU131" s="498"/>
      <c r="AV131" s="500"/>
      <c r="AW131" s="500"/>
      <c r="AX131" s="500"/>
      <c r="AY131" s="500"/>
      <c r="AZ131" s="500"/>
      <c r="BA131" s="500"/>
      <c r="BB131" s="500"/>
      <c r="BC131" s="500"/>
      <c r="BD131" s="500"/>
      <c r="BE131" s="500"/>
      <c r="BF131" s="500"/>
      <c r="BG131" s="500"/>
      <c r="BH131" s="500"/>
      <c r="BI131" s="500"/>
      <c r="BJ131" s="500"/>
      <c r="BK131" s="500"/>
      <c r="BL131" s="500"/>
      <c r="BM131" s="500"/>
      <c r="BN131" s="500"/>
      <c r="BO131" s="500"/>
      <c r="BP131" s="500"/>
      <c r="BQ131" s="498"/>
      <c r="BR131" s="498"/>
      <c r="BS131" s="498"/>
      <c r="BT131" s="498"/>
      <c r="BU131" s="498"/>
      <c r="BV131" s="500"/>
      <c r="BW131" s="498"/>
      <c r="BX131" s="498"/>
      <c r="BY131" s="498"/>
      <c r="BZ131" s="498"/>
      <c r="CA131" s="498"/>
      <c r="CB131" s="498"/>
      <c r="CC131" s="498"/>
      <c r="CD131" s="498"/>
      <c r="CE131" s="498"/>
      <c r="CF131" s="498"/>
      <c r="CG131" s="502"/>
      <c r="CH131" s="503"/>
      <c r="CI131" s="502"/>
      <c r="CJ131" s="502"/>
      <c r="CK131" s="502"/>
      <c r="CL131" s="500"/>
      <c r="CM131" s="500"/>
      <c r="CN131" s="500"/>
      <c r="CO131" s="500"/>
    </row>
    <row r="132">
      <c r="A132" s="496"/>
      <c r="B132" s="496"/>
      <c r="C132" s="496"/>
      <c r="D132" s="497"/>
      <c r="E132" s="498"/>
      <c r="F132" s="498"/>
      <c r="G132" s="499"/>
      <c r="H132" s="499"/>
      <c r="I132" s="498"/>
      <c r="J132" s="500"/>
      <c r="K132" s="496"/>
      <c r="L132" s="500"/>
      <c r="M132" s="496"/>
      <c r="N132" s="500"/>
      <c r="O132" s="496"/>
      <c r="P132" s="500"/>
      <c r="Q132" s="498"/>
      <c r="R132" s="500"/>
      <c r="S132" s="498"/>
      <c r="T132" s="496"/>
      <c r="U132" s="498"/>
      <c r="V132" s="496"/>
      <c r="W132" s="498"/>
      <c r="X132" s="500"/>
      <c r="Y132" s="498"/>
      <c r="Z132" s="500"/>
      <c r="AA132" s="500"/>
      <c r="AB132" s="500"/>
      <c r="AC132" s="501"/>
      <c r="AD132" s="500"/>
      <c r="AE132" s="501"/>
      <c r="AF132" s="500"/>
      <c r="AG132" s="501"/>
      <c r="AH132" s="500"/>
      <c r="AI132" s="498"/>
      <c r="AJ132" s="500"/>
      <c r="AK132" s="500"/>
      <c r="AL132" s="500"/>
      <c r="AM132" s="500"/>
      <c r="AN132" s="500"/>
      <c r="AO132" s="500"/>
      <c r="AP132" s="500"/>
      <c r="AQ132" s="500"/>
      <c r="AR132" s="500"/>
      <c r="AS132" s="500"/>
      <c r="AT132" s="500"/>
      <c r="AU132" s="498"/>
      <c r="AV132" s="500"/>
      <c r="AW132" s="500"/>
      <c r="AX132" s="500"/>
      <c r="AY132" s="500"/>
      <c r="AZ132" s="500"/>
      <c r="BA132" s="500"/>
      <c r="BB132" s="500"/>
      <c r="BC132" s="500"/>
      <c r="BD132" s="500"/>
      <c r="BE132" s="500"/>
      <c r="BF132" s="500"/>
      <c r="BG132" s="500"/>
      <c r="BH132" s="500"/>
      <c r="BI132" s="500"/>
      <c r="BJ132" s="500"/>
      <c r="BK132" s="500"/>
      <c r="BL132" s="500"/>
      <c r="BM132" s="500"/>
      <c r="BN132" s="500"/>
      <c r="BO132" s="500"/>
      <c r="BP132" s="500"/>
      <c r="BQ132" s="498"/>
      <c r="BR132" s="498"/>
      <c r="BS132" s="498"/>
      <c r="BT132" s="498"/>
      <c r="BU132" s="498"/>
      <c r="BV132" s="500"/>
      <c r="BW132" s="498"/>
      <c r="BX132" s="498"/>
      <c r="BY132" s="498"/>
      <c r="BZ132" s="498"/>
      <c r="CA132" s="498"/>
      <c r="CB132" s="498"/>
      <c r="CC132" s="498"/>
      <c r="CD132" s="498"/>
      <c r="CE132" s="498"/>
      <c r="CF132" s="498"/>
      <c r="CG132" s="502"/>
      <c r="CH132" s="503"/>
      <c r="CI132" s="502"/>
      <c r="CJ132" s="502"/>
      <c r="CK132" s="502"/>
      <c r="CL132" s="500"/>
      <c r="CM132" s="500"/>
      <c r="CN132" s="500"/>
      <c r="CO132" s="500"/>
    </row>
    <row r="133">
      <c r="A133" s="496"/>
      <c r="B133" s="496"/>
      <c r="C133" s="496"/>
      <c r="D133" s="497"/>
      <c r="E133" s="498"/>
      <c r="F133" s="498"/>
      <c r="G133" s="499"/>
      <c r="H133" s="499"/>
      <c r="I133" s="498"/>
      <c r="J133" s="500"/>
      <c r="K133" s="496"/>
      <c r="L133" s="500"/>
      <c r="M133" s="496"/>
      <c r="N133" s="500"/>
      <c r="O133" s="496"/>
      <c r="P133" s="500"/>
      <c r="Q133" s="498"/>
      <c r="R133" s="500"/>
      <c r="S133" s="498"/>
      <c r="T133" s="496"/>
      <c r="U133" s="498"/>
      <c r="V133" s="496"/>
      <c r="W133" s="498"/>
      <c r="X133" s="500"/>
      <c r="Y133" s="498"/>
      <c r="Z133" s="500"/>
      <c r="AA133" s="500"/>
      <c r="AB133" s="500"/>
      <c r="AC133" s="501"/>
      <c r="AD133" s="500"/>
      <c r="AE133" s="501"/>
      <c r="AF133" s="500"/>
      <c r="AG133" s="501"/>
      <c r="AH133" s="500"/>
      <c r="AI133" s="498"/>
      <c r="AJ133" s="500"/>
      <c r="AK133" s="500"/>
      <c r="AL133" s="500"/>
      <c r="AM133" s="500"/>
      <c r="AN133" s="500"/>
      <c r="AO133" s="500"/>
      <c r="AP133" s="500"/>
      <c r="AQ133" s="500"/>
      <c r="AR133" s="500"/>
      <c r="AS133" s="500"/>
      <c r="AT133" s="500"/>
      <c r="AU133" s="498"/>
      <c r="AV133" s="500"/>
      <c r="AW133" s="500"/>
      <c r="AX133" s="500"/>
      <c r="AY133" s="500"/>
      <c r="AZ133" s="500"/>
      <c r="BA133" s="500"/>
      <c r="BB133" s="500"/>
      <c r="BC133" s="500"/>
      <c r="BD133" s="500"/>
      <c r="BE133" s="500"/>
      <c r="BF133" s="500"/>
      <c r="BG133" s="500"/>
      <c r="BH133" s="500"/>
      <c r="BI133" s="500"/>
      <c r="BJ133" s="500"/>
      <c r="BK133" s="500"/>
      <c r="BL133" s="500"/>
      <c r="BM133" s="500"/>
      <c r="BN133" s="500"/>
      <c r="BO133" s="500"/>
      <c r="BP133" s="500"/>
      <c r="BQ133" s="498"/>
      <c r="BR133" s="498"/>
      <c r="BS133" s="498"/>
      <c r="BT133" s="498"/>
      <c r="BU133" s="498"/>
      <c r="BV133" s="500"/>
      <c r="BW133" s="498"/>
      <c r="BX133" s="498"/>
      <c r="BY133" s="498"/>
      <c r="BZ133" s="498"/>
      <c r="CA133" s="498"/>
      <c r="CB133" s="498"/>
      <c r="CC133" s="498"/>
      <c r="CD133" s="498"/>
      <c r="CE133" s="498"/>
      <c r="CF133" s="498"/>
      <c r="CG133" s="502"/>
      <c r="CH133" s="503"/>
      <c r="CI133" s="502"/>
      <c r="CJ133" s="502"/>
      <c r="CK133" s="502"/>
      <c r="CL133" s="500"/>
      <c r="CM133" s="500"/>
      <c r="CN133" s="500"/>
      <c r="CO133" s="500"/>
    </row>
    <row r="134">
      <c r="A134" s="496"/>
      <c r="B134" s="496"/>
      <c r="C134" s="496"/>
      <c r="D134" s="497"/>
      <c r="E134" s="498"/>
      <c r="F134" s="498"/>
      <c r="G134" s="499"/>
      <c r="H134" s="499"/>
      <c r="I134" s="498"/>
      <c r="J134" s="500"/>
      <c r="K134" s="496"/>
      <c r="L134" s="500"/>
      <c r="M134" s="496"/>
      <c r="N134" s="500"/>
      <c r="O134" s="496"/>
      <c r="P134" s="500"/>
      <c r="Q134" s="498"/>
      <c r="R134" s="500"/>
      <c r="S134" s="498"/>
      <c r="T134" s="496"/>
      <c r="U134" s="498"/>
      <c r="V134" s="496"/>
      <c r="W134" s="498"/>
      <c r="X134" s="500"/>
      <c r="Y134" s="498"/>
      <c r="Z134" s="500"/>
      <c r="AA134" s="500"/>
      <c r="AB134" s="500"/>
      <c r="AC134" s="501"/>
      <c r="AD134" s="500"/>
      <c r="AE134" s="501"/>
      <c r="AF134" s="500"/>
      <c r="AG134" s="501"/>
      <c r="AH134" s="500"/>
      <c r="AI134" s="498"/>
      <c r="AJ134" s="500"/>
      <c r="AK134" s="500"/>
      <c r="AL134" s="500"/>
      <c r="AM134" s="500"/>
      <c r="AN134" s="500"/>
      <c r="AO134" s="500"/>
      <c r="AP134" s="500"/>
      <c r="AQ134" s="500"/>
      <c r="AR134" s="500"/>
      <c r="AS134" s="500"/>
      <c r="AT134" s="500"/>
      <c r="AU134" s="498"/>
      <c r="AV134" s="500"/>
      <c r="AW134" s="500"/>
      <c r="AX134" s="500"/>
      <c r="AY134" s="500"/>
      <c r="AZ134" s="500"/>
      <c r="BA134" s="500"/>
      <c r="BB134" s="500"/>
      <c r="BC134" s="500"/>
      <c r="BD134" s="500"/>
      <c r="BE134" s="500"/>
      <c r="BF134" s="500"/>
      <c r="BG134" s="500"/>
      <c r="BH134" s="500"/>
      <c r="BI134" s="500"/>
      <c r="BJ134" s="500"/>
      <c r="BK134" s="500"/>
      <c r="BL134" s="500"/>
      <c r="BM134" s="500"/>
      <c r="BN134" s="500"/>
      <c r="BO134" s="500"/>
      <c r="BP134" s="500"/>
      <c r="BQ134" s="498"/>
      <c r="BR134" s="498"/>
      <c r="BS134" s="498"/>
      <c r="BT134" s="498"/>
      <c r="BU134" s="498"/>
      <c r="BV134" s="500"/>
      <c r="BW134" s="498"/>
      <c r="BX134" s="498"/>
      <c r="BY134" s="498"/>
      <c r="BZ134" s="498"/>
      <c r="CA134" s="498"/>
      <c r="CB134" s="498"/>
      <c r="CC134" s="498"/>
      <c r="CD134" s="498"/>
      <c r="CE134" s="498"/>
      <c r="CF134" s="498"/>
      <c r="CG134" s="502"/>
      <c r="CH134" s="503"/>
      <c r="CI134" s="502"/>
      <c r="CJ134" s="502"/>
      <c r="CK134" s="502"/>
      <c r="CL134" s="500"/>
      <c r="CM134" s="500"/>
      <c r="CN134" s="500"/>
      <c r="CO134" s="500"/>
    </row>
    <row r="135">
      <c r="A135" s="496"/>
      <c r="B135" s="496"/>
      <c r="C135" s="496"/>
      <c r="D135" s="497"/>
      <c r="E135" s="498"/>
      <c r="F135" s="498"/>
      <c r="G135" s="499"/>
      <c r="H135" s="499"/>
      <c r="I135" s="498"/>
      <c r="J135" s="500"/>
      <c r="K135" s="496"/>
      <c r="L135" s="500"/>
      <c r="M135" s="496"/>
      <c r="N135" s="500"/>
      <c r="O135" s="496"/>
      <c r="P135" s="500"/>
      <c r="Q135" s="498"/>
      <c r="R135" s="500"/>
      <c r="S135" s="498"/>
      <c r="T135" s="496"/>
      <c r="U135" s="498"/>
      <c r="V135" s="496"/>
      <c r="W135" s="498"/>
      <c r="X135" s="500"/>
      <c r="Y135" s="498"/>
      <c r="Z135" s="500"/>
      <c r="AA135" s="500"/>
      <c r="AB135" s="500"/>
      <c r="AC135" s="501"/>
      <c r="AD135" s="500"/>
      <c r="AE135" s="501"/>
      <c r="AF135" s="500"/>
      <c r="AG135" s="501"/>
      <c r="AH135" s="500"/>
      <c r="AI135" s="498"/>
      <c r="AJ135" s="500"/>
      <c r="AK135" s="500"/>
      <c r="AL135" s="500"/>
      <c r="AM135" s="500"/>
      <c r="AN135" s="500"/>
      <c r="AO135" s="500"/>
      <c r="AP135" s="500"/>
      <c r="AQ135" s="500"/>
      <c r="AR135" s="500"/>
      <c r="AS135" s="500"/>
      <c r="AT135" s="500"/>
      <c r="AU135" s="498"/>
      <c r="AV135" s="500"/>
      <c r="AW135" s="500"/>
      <c r="AX135" s="500"/>
      <c r="AY135" s="500"/>
      <c r="AZ135" s="500"/>
      <c r="BA135" s="500"/>
      <c r="BB135" s="500"/>
      <c r="BC135" s="500"/>
      <c r="BD135" s="500"/>
      <c r="BE135" s="500"/>
      <c r="BF135" s="500"/>
      <c r="BG135" s="500"/>
      <c r="BH135" s="500"/>
      <c r="BI135" s="500"/>
      <c r="BJ135" s="500"/>
      <c r="BK135" s="500"/>
      <c r="BL135" s="500"/>
      <c r="BM135" s="500"/>
      <c r="BN135" s="500"/>
      <c r="BO135" s="500"/>
      <c r="BP135" s="500"/>
      <c r="BQ135" s="498"/>
      <c r="BR135" s="498"/>
      <c r="BS135" s="498"/>
      <c r="BT135" s="498"/>
      <c r="BU135" s="498"/>
      <c r="BV135" s="500"/>
      <c r="BW135" s="498"/>
      <c r="BX135" s="498"/>
      <c r="BY135" s="498"/>
      <c r="BZ135" s="498"/>
      <c r="CA135" s="498"/>
      <c r="CB135" s="498"/>
      <c r="CC135" s="498"/>
      <c r="CD135" s="498"/>
      <c r="CE135" s="498"/>
      <c r="CF135" s="498"/>
      <c r="CG135" s="502"/>
      <c r="CH135" s="503"/>
      <c r="CI135" s="502"/>
      <c r="CJ135" s="502"/>
      <c r="CK135" s="502"/>
      <c r="CL135" s="500"/>
      <c r="CM135" s="500"/>
      <c r="CN135" s="500"/>
      <c r="CO135" s="500"/>
    </row>
    <row r="136">
      <c r="A136" s="496"/>
      <c r="B136" s="496"/>
      <c r="C136" s="496"/>
      <c r="D136" s="497"/>
      <c r="E136" s="498"/>
      <c r="F136" s="498"/>
      <c r="G136" s="499"/>
      <c r="H136" s="499"/>
      <c r="I136" s="498"/>
      <c r="J136" s="500"/>
      <c r="K136" s="496"/>
      <c r="L136" s="500"/>
      <c r="M136" s="496"/>
      <c r="N136" s="500"/>
      <c r="O136" s="496"/>
      <c r="P136" s="500"/>
      <c r="Q136" s="498"/>
      <c r="R136" s="500"/>
      <c r="S136" s="498"/>
      <c r="T136" s="496"/>
      <c r="U136" s="498"/>
      <c r="V136" s="496"/>
      <c r="W136" s="498"/>
      <c r="X136" s="500"/>
      <c r="Y136" s="498"/>
      <c r="Z136" s="500"/>
      <c r="AA136" s="500"/>
      <c r="AB136" s="500"/>
      <c r="AC136" s="501"/>
      <c r="AD136" s="500"/>
      <c r="AE136" s="501"/>
      <c r="AF136" s="500"/>
      <c r="AG136" s="501"/>
      <c r="AH136" s="500"/>
      <c r="AI136" s="498"/>
      <c r="AJ136" s="500"/>
      <c r="AK136" s="500"/>
      <c r="AL136" s="500"/>
      <c r="AM136" s="500"/>
      <c r="AN136" s="500"/>
      <c r="AO136" s="500"/>
      <c r="AP136" s="500"/>
      <c r="AQ136" s="500"/>
      <c r="AR136" s="500"/>
      <c r="AS136" s="500"/>
      <c r="AT136" s="500"/>
      <c r="AU136" s="498"/>
      <c r="AV136" s="500"/>
      <c r="AW136" s="500"/>
      <c r="AX136" s="500"/>
      <c r="AY136" s="500"/>
      <c r="AZ136" s="500"/>
      <c r="BA136" s="500"/>
      <c r="BB136" s="500"/>
      <c r="BC136" s="500"/>
      <c r="BD136" s="500"/>
      <c r="BE136" s="500"/>
      <c r="BF136" s="500"/>
      <c r="BG136" s="500"/>
      <c r="BH136" s="500"/>
      <c r="BI136" s="500"/>
      <c r="BJ136" s="500"/>
      <c r="BK136" s="500"/>
      <c r="BL136" s="500"/>
      <c r="BM136" s="500"/>
      <c r="BN136" s="500"/>
      <c r="BO136" s="500"/>
      <c r="BP136" s="500"/>
      <c r="BQ136" s="498"/>
      <c r="BR136" s="498"/>
      <c r="BS136" s="498"/>
      <c r="BT136" s="498"/>
      <c r="BU136" s="498"/>
      <c r="BV136" s="500"/>
      <c r="BW136" s="498"/>
      <c r="BX136" s="498"/>
      <c r="BY136" s="498"/>
      <c r="BZ136" s="498"/>
      <c r="CA136" s="498"/>
      <c r="CB136" s="498"/>
      <c r="CC136" s="498"/>
      <c r="CD136" s="498"/>
      <c r="CE136" s="498"/>
      <c r="CF136" s="498"/>
      <c r="CG136" s="502"/>
      <c r="CH136" s="503"/>
      <c r="CI136" s="502"/>
      <c r="CJ136" s="502"/>
      <c r="CK136" s="502"/>
      <c r="CL136" s="500"/>
      <c r="CM136" s="500"/>
      <c r="CN136" s="500"/>
      <c r="CO136" s="500"/>
    </row>
    <row r="137">
      <c r="A137" s="496"/>
      <c r="B137" s="496"/>
      <c r="C137" s="496"/>
      <c r="D137" s="497"/>
      <c r="E137" s="498"/>
      <c r="F137" s="498"/>
      <c r="G137" s="499"/>
      <c r="H137" s="499"/>
      <c r="I137" s="498"/>
      <c r="J137" s="500"/>
      <c r="K137" s="496"/>
      <c r="L137" s="500"/>
      <c r="M137" s="496"/>
      <c r="N137" s="500"/>
      <c r="O137" s="496"/>
      <c r="P137" s="500"/>
      <c r="Q137" s="498"/>
      <c r="R137" s="500"/>
      <c r="S137" s="498"/>
      <c r="T137" s="496"/>
      <c r="U137" s="498"/>
      <c r="V137" s="496"/>
      <c r="W137" s="498"/>
      <c r="X137" s="500"/>
      <c r="Y137" s="498"/>
      <c r="Z137" s="500"/>
      <c r="AA137" s="500"/>
      <c r="AB137" s="500"/>
      <c r="AC137" s="501"/>
      <c r="AD137" s="500"/>
      <c r="AE137" s="501"/>
      <c r="AF137" s="500"/>
      <c r="AG137" s="501"/>
      <c r="AH137" s="500"/>
      <c r="AI137" s="498"/>
      <c r="AJ137" s="500"/>
      <c r="AK137" s="500"/>
      <c r="AL137" s="500"/>
      <c r="AM137" s="500"/>
      <c r="AN137" s="500"/>
      <c r="AO137" s="500"/>
      <c r="AP137" s="500"/>
      <c r="AQ137" s="500"/>
      <c r="AR137" s="500"/>
      <c r="AS137" s="500"/>
      <c r="AT137" s="500"/>
      <c r="AU137" s="498"/>
      <c r="AV137" s="500"/>
      <c r="AW137" s="500"/>
      <c r="AX137" s="500"/>
      <c r="AY137" s="500"/>
      <c r="AZ137" s="500"/>
      <c r="BA137" s="500"/>
      <c r="BB137" s="500"/>
      <c r="BC137" s="500"/>
      <c r="BD137" s="500"/>
      <c r="BE137" s="500"/>
      <c r="BF137" s="500"/>
      <c r="BG137" s="500"/>
      <c r="BH137" s="500"/>
      <c r="BI137" s="500"/>
      <c r="BJ137" s="500"/>
      <c r="BK137" s="500"/>
      <c r="BL137" s="500"/>
      <c r="BM137" s="500"/>
      <c r="BN137" s="500"/>
      <c r="BO137" s="500"/>
      <c r="BP137" s="500"/>
      <c r="BQ137" s="498"/>
      <c r="BR137" s="498"/>
      <c r="BS137" s="498"/>
      <c r="BT137" s="498"/>
      <c r="BU137" s="498"/>
      <c r="BV137" s="500"/>
      <c r="BW137" s="498"/>
      <c r="BX137" s="498"/>
      <c r="BY137" s="498"/>
      <c r="BZ137" s="498"/>
      <c r="CA137" s="498"/>
      <c r="CB137" s="498"/>
      <c r="CC137" s="498"/>
      <c r="CD137" s="498"/>
      <c r="CE137" s="498"/>
      <c r="CF137" s="498"/>
      <c r="CG137" s="502"/>
      <c r="CH137" s="503"/>
      <c r="CI137" s="502"/>
      <c r="CJ137" s="502"/>
      <c r="CK137" s="502"/>
      <c r="CL137" s="500"/>
      <c r="CM137" s="500"/>
      <c r="CN137" s="500"/>
      <c r="CO137" s="500"/>
    </row>
    <row r="138">
      <c r="A138" s="496"/>
      <c r="B138" s="496"/>
      <c r="C138" s="496"/>
      <c r="D138" s="497"/>
      <c r="E138" s="498"/>
      <c r="F138" s="498"/>
      <c r="G138" s="499"/>
      <c r="H138" s="499"/>
      <c r="I138" s="498"/>
      <c r="J138" s="500"/>
      <c r="K138" s="496"/>
      <c r="L138" s="500"/>
      <c r="M138" s="496"/>
      <c r="N138" s="500"/>
      <c r="O138" s="496"/>
      <c r="P138" s="500"/>
      <c r="Q138" s="498"/>
      <c r="R138" s="500"/>
      <c r="S138" s="498"/>
      <c r="T138" s="496"/>
      <c r="U138" s="498"/>
      <c r="V138" s="496"/>
      <c r="W138" s="498"/>
      <c r="X138" s="500"/>
      <c r="Y138" s="498"/>
      <c r="Z138" s="500"/>
      <c r="AA138" s="500"/>
      <c r="AB138" s="500"/>
      <c r="AC138" s="501"/>
      <c r="AD138" s="500"/>
      <c r="AE138" s="501"/>
      <c r="AF138" s="500"/>
      <c r="AG138" s="501"/>
      <c r="AH138" s="500"/>
      <c r="AI138" s="498"/>
      <c r="AJ138" s="500"/>
      <c r="AK138" s="500"/>
      <c r="AL138" s="500"/>
      <c r="AM138" s="500"/>
      <c r="AN138" s="500"/>
      <c r="AO138" s="500"/>
      <c r="AP138" s="500"/>
      <c r="AQ138" s="500"/>
      <c r="AR138" s="500"/>
      <c r="AS138" s="500"/>
      <c r="AT138" s="500"/>
      <c r="AU138" s="498"/>
      <c r="AV138" s="500"/>
      <c r="AW138" s="500"/>
      <c r="AX138" s="500"/>
      <c r="AY138" s="500"/>
      <c r="AZ138" s="500"/>
      <c r="BA138" s="500"/>
      <c r="BB138" s="500"/>
      <c r="BC138" s="500"/>
      <c r="BD138" s="500"/>
      <c r="BE138" s="500"/>
      <c r="BF138" s="500"/>
      <c r="BG138" s="500"/>
      <c r="BH138" s="500"/>
      <c r="BI138" s="500"/>
      <c r="BJ138" s="500"/>
      <c r="BK138" s="500"/>
      <c r="BL138" s="500"/>
      <c r="BM138" s="500"/>
      <c r="BN138" s="500"/>
      <c r="BO138" s="500"/>
      <c r="BP138" s="500"/>
      <c r="BQ138" s="498"/>
      <c r="BR138" s="498"/>
      <c r="BS138" s="498"/>
      <c r="BT138" s="498"/>
      <c r="BU138" s="498"/>
      <c r="BV138" s="500"/>
      <c r="BW138" s="498"/>
      <c r="BX138" s="498"/>
      <c r="BY138" s="498"/>
      <c r="BZ138" s="498"/>
      <c r="CA138" s="498"/>
      <c r="CB138" s="498"/>
      <c r="CC138" s="498"/>
      <c r="CD138" s="498"/>
      <c r="CE138" s="498"/>
      <c r="CF138" s="498"/>
      <c r="CG138" s="502"/>
      <c r="CH138" s="503"/>
      <c r="CI138" s="502"/>
      <c r="CJ138" s="502"/>
      <c r="CK138" s="502"/>
      <c r="CL138" s="500"/>
      <c r="CM138" s="500"/>
      <c r="CN138" s="500"/>
      <c r="CO138" s="500"/>
    </row>
    <row r="139">
      <c r="A139" s="496"/>
      <c r="B139" s="496"/>
      <c r="C139" s="496"/>
      <c r="D139" s="497"/>
      <c r="E139" s="498"/>
      <c r="F139" s="498"/>
      <c r="G139" s="499"/>
      <c r="H139" s="499"/>
      <c r="I139" s="498"/>
      <c r="J139" s="500"/>
      <c r="K139" s="496"/>
      <c r="L139" s="500"/>
      <c r="M139" s="496"/>
      <c r="N139" s="500"/>
      <c r="O139" s="496"/>
      <c r="P139" s="500"/>
      <c r="Q139" s="498"/>
      <c r="R139" s="500"/>
      <c r="S139" s="498"/>
      <c r="T139" s="496"/>
      <c r="U139" s="498"/>
      <c r="V139" s="496"/>
      <c r="W139" s="498"/>
      <c r="X139" s="500"/>
      <c r="Y139" s="498"/>
      <c r="Z139" s="500"/>
      <c r="AA139" s="500"/>
      <c r="AB139" s="500"/>
      <c r="AC139" s="501"/>
      <c r="AD139" s="500"/>
      <c r="AE139" s="501"/>
      <c r="AF139" s="500"/>
      <c r="AG139" s="501"/>
      <c r="AH139" s="500"/>
      <c r="AI139" s="498"/>
      <c r="AJ139" s="500"/>
      <c r="AK139" s="500"/>
      <c r="AL139" s="500"/>
      <c r="AM139" s="500"/>
      <c r="AN139" s="500"/>
      <c r="AO139" s="500"/>
      <c r="AP139" s="500"/>
      <c r="AQ139" s="500"/>
      <c r="AR139" s="500"/>
      <c r="AS139" s="500"/>
      <c r="AT139" s="500"/>
      <c r="AU139" s="498"/>
      <c r="AV139" s="500"/>
      <c r="AW139" s="500"/>
      <c r="AX139" s="500"/>
      <c r="AY139" s="500"/>
      <c r="AZ139" s="500"/>
      <c r="BA139" s="500"/>
      <c r="BB139" s="500"/>
      <c r="BC139" s="500"/>
      <c r="BD139" s="500"/>
      <c r="BE139" s="500"/>
      <c r="BF139" s="500"/>
      <c r="BG139" s="500"/>
      <c r="BH139" s="500"/>
      <c r="BI139" s="500"/>
      <c r="BJ139" s="500"/>
      <c r="BK139" s="500"/>
      <c r="BL139" s="500"/>
      <c r="BM139" s="500"/>
      <c r="BN139" s="500"/>
      <c r="BO139" s="500"/>
      <c r="BP139" s="500"/>
      <c r="BQ139" s="498"/>
      <c r="BR139" s="498"/>
      <c r="BS139" s="498"/>
      <c r="BT139" s="498"/>
      <c r="BU139" s="498"/>
      <c r="BV139" s="500"/>
      <c r="BW139" s="498"/>
      <c r="BX139" s="498"/>
      <c r="BY139" s="498"/>
      <c r="BZ139" s="498"/>
      <c r="CA139" s="498"/>
      <c r="CB139" s="498"/>
      <c r="CC139" s="498"/>
      <c r="CD139" s="498"/>
      <c r="CE139" s="498"/>
      <c r="CF139" s="498"/>
      <c r="CG139" s="502"/>
      <c r="CH139" s="503"/>
      <c r="CI139" s="502"/>
      <c r="CJ139" s="502"/>
      <c r="CK139" s="502"/>
      <c r="CL139" s="500"/>
      <c r="CM139" s="500"/>
      <c r="CN139" s="500"/>
      <c r="CO139" s="500"/>
    </row>
    <row r="140">
      <c r="A140" s="496"/>
      <c r="B140" s="496"/>
      <c r="C140" s="496"/>
      <c r="D140" s="497"/>
      <c r="E140" s="498"/>
      <c r="F140" s="498"/>
      <c r="G140" s="499"/>
      <c r="H140" s="499"/>
      <c r="I140" s="498"/>
      <c r="J140" s="500"/>
      <c r="K140" s="496"/>
      <c r="L140" s="500"/>
      <c r="M140" s="496"/>
      <c r="N140" s="500"/>
      <c r="O140" s="496"/>
      <c r="P140" s="500"/>
      <c r="Q140" s="498"/>
      <c r="R140" s="500"/>
      <c r="S140" s="498"/>
      <c r="T140" s="496"/>
      <c r="U140" s="498"/>
      <c r="V140" s="496"/>
      <c r="W140" s="498"/>
      <c r="X140" s="500"/>
      <c r="Y140" s="498"/>
      <c r="Z140" s="500"/>
      <c r="AA140" s="500"/>
      <c r="AB140" s="500"/>
      <c r="AC140" s="501"/>
      <c r="AD140" s="500"/>
      <c r="AE140" s="501"/>
      <c r="AF140" s="500"/>
      <c r="AG140" s="501"/>
      <c r="AH140" s="500"/>
      <c r="AI140" s="498"/>
      <c r="AJ140" s="500"/>
      <c r="AK140" s="500"/>
      <c r="AL140" s="500"/>
      <c r="AM140" s="500"/>
      <c r="AN140" s="500"/>
      <c r="AO140" s="500"/>
      <c r="AP140" s="500"/>
      <c r="AQ140" s="500"/>
      <c r="AR140" s="500"/>
      <c r="AS140" s="500"/>
      <c r="AT140" s="500"/>
      <c r="AU140" s="498"/>
      <c r="AV140" s="500"/>
      <c r="AW140" s="500"/>
      <c r="AX140" s="500"/>
      <c r="AY140" s="500"/>
      <c r="AZ140" s="500"/>
      <c r="BA140" s="500"/>
      <c r="BB140" s="500"/>
      <c r="BC140" s="500"/>
      <c r="BD140" s="500"/>
      <c r="BE140" s="500"/>
      <c r="BF140" s="500"/>
      <c r="BG140" s="500"/>
      <c r="BH140" s="500"/>
      <c r="BI140" s="500"/>
      <c r="BJ140" s="500"/>
      <c r="BK140" s="500"/>
      <c r="BL140" s="500"/>
      <c r="BM140" s="500"/>
      <c r="BN140" s="500"/>
      <c r="BO140" s="500"/>
      <c r="BP140" s="500"/>
      <c r="BQ140" s="498"/>
      <c r="BR140" s="498"/>
      <c r="BS140" s="498"/>
      <c r="BT140" s="498"/>
      <c r="BU140" s="498"/>
      <c r="BV140" s="500"/>
      <c r="BW140" s="498"/>
      <c r="BX140" s="498"/>
      <c r="BY140" s="498"/>
      <c r="BZ140" s="498"/>
      <c r="CA140" s="498"/>
      <c r="CB140" s="498"/>
      <c r="CC140" s="498"/>
      <c r="CD140" s="498"/>
      <c r="CE140" s="498"/>
      <c r="CF140" s="498"/>
      <c r="CG140" s="502"/>
      <c r="CH140" s="503"/>
      <c r="CI140" s="502"/>
      <c r="CJ140" s="502"/>
      <c r="CK140" s="502"/>
      <c r="CL140" s="500"/>
      <c r="CM140" s="500"/>
      <c r="CN140" s="500"/>
      <c r="CO140" s="500"/>
    </row>
    <row r="141">
      <c r="A141" s="496"/>
      <c r="B141" s="496"/>
      <c r="C141" s="496"/>
      <c r="D141" s="497"/>
      <c r="E141" s="498"/>
      <c r="F141" s="498"/>
      <c r="G141" s="499"/>
      <c r="H141" s="499"/>
      <c r="I141" s="498"/>
      <c r="J141" s="500"/>
      <c r="K141" s="496"/>
      <c r="L141" s="500"/>
      <c r="M141" s="496"/>
      <c r="N141" s="500"/>
      <c r="O141" s="496"/>
      <c r="P141" s="500"/>
      <c r="Q141" s="498"/>
      <c r="R141" s="500"/>
      <c r="S141" s="498"/>
      <c r="T141" s="496"/>
      <c r="U141" s="498"/>
      <c r="V141" s="496"/>
      <c r="W141" s="498"/>
      <c r="X141" s="500"/>
      <c r="Y141" s="498"/>
      <c r="Z141" s="500"/>
      <c r="AA141" s="500"/>
      <c r="AB141" s="500"/>
      <c r="AC141" s="501"/>
      <c r="AD141" s="500"/>
      <c r="AE141" s="501"/>
      <c r="AF141" s="500"/>
      <c r="AG141" s="501"/>
      <c r="AH141" s="500"/>
      <c r="AI141" s="498"/>
      <c r="AJ141" s="500"/>
      <c r="AK141" s="500"/>
      <c r="AL141" s="500"/>
      <c r="AM141" s="500"/>
      <c r="AN141" s="500"/>
      <c r="AO141" s="500"/>
      <c r="AP141" s="500"/>
      <c r="AQ141" s="500"/>
      <c r="AR141" s="500"/>
      <c r="AS141" s="500"/>
      <c r="AT141" s="500"/>
      <c r="AU141" s="498"/>
      <c r="AV141" s="500"/>
      <c r="AW141" s="500"/>
      <c r="AX141" s="500"/>
      <c r="AY141" s="500"/>
      <c r="AZ141" s="500"/>
      <c r="BA141" s="500"/>
      <c r="BB141" s="500"/>
      <c r="BC141" s="500"/>
      <c r="BD141" s="500"/>
      <c r="BE141" s="500"/>
      <c r="BF141" s="500"/>
      <c r="BG141" s="500"/>
      <c r="BH141" s="500"/>
      <c r="BI141" s="500"/>
      <c r="BJ141" s="500"/>
      <c r="BK141" s="500"/>
      <c r="BL141" s="500"/>
      <c r="BM141" s="500"/>
      <c r="BN141" s="500"/>
      <c r="BO141" s="500"/>
      <c r="BP141" s="500"/>
      <c r="BQ141" s="498"/>
      <c r="BR141" s="498"/>
      <c r="BS141" s="498"/>
      <c r="BT141" s="498"/>
      <c r="BU141" s="498"/>
      <c r="BV141" s="500"/>
      <c r="BW141" s="498"/>
      <c r="BX141" s="498"/>
      <c r="BY141" s="498"/>
      <c r="BZ141" s="498"/>
      <c r="CA141" s="498"/>
      <c r="CB141" s="498"/>
      <c r="CC141" s="498"/>
      <c r="CD141" s="498"/>
      <c r="CE141" s="498"/>
      <c r="CF141" s="498"/>
      <c r="CG141" s="502"/>
      <c r="CH141" s="503"/>
      <c r="CI141" s="502"/>
      <c r="CJ141" s="502"/>
      <c r="CK141" s="502"/>
      <c r="CL141" s="500"/>
      <c r="CM141" s="500"/>
      <c r="CN141" s="500"/>
      <c r="CO141" s="500"/>
    </row>
    <row r="142">
      <c r="A142" s="496"/>
      <c r="B142" s="496"/>
      <c r="C142" s="496"/>
      <c r="D142" s="497"/>
      <c r="E142" s="498"/>
      <c r="F142" s="498"/>
      <c r="G142" s="499"/>
      <c r="H142" s="499"/>
      <c r="I142" s="498"/>
      <c r="J142" s="500"/>
      <c r="K142" s="496"/>
      <c r="L142" s="500"/>
      <c r="M142" s="496"/>
      <c r="N142" s="500"/>
      <c r="O142" s="496"/>
      <c r="P142" s="500"/>
      <c r="Q142" s="498"/>
      <c r="R142" s="500"/>
      <c r="S142" s="498"/>
      <c r="T142" s="496"/>
      <c r="U142" s="498"/>
      <c r="V142" s="496"/>
      <c r="W142" s="498"/>
      <c r="X142" s="500"/>
      <c r="Y142" s="498"/>
      <c r="Z142" s="500"/>
      <c r="AA142" s="500"/>
      <c r="AB142" s="500"/>
      <c r="AC142" s="501"/>
      <c r="AD142" s="500"/>
      <c r="AE142" s="501"/>
      <c r="AF142" s="500"/>
      <c r="AG142" s="501"/>
      <c r="AH142" s="500"/>
      <c r="AI142" s="498"/>
      <c r="AJ142" s="500"/>
      <c r="AK142" s="500"/>
      <c r="AL142" s="500"/>
      <c r="AM142" s="500"/>
      <c r="AN142" s="500"/>
      <c r="AO142" s="500"/>
      <c r="AP142" s="500"/>
      <c r="AQ142" s="500"/>
      <c r="AR142" s="500"/>
      <c r="AS142" s="500"/>
      <c r="AT142" s="500"/>
      <c r="AU142" s="498"/>
      <c r="AV142" s="500"/>
      <c r="AW142" s="500"/>
      <c r="AX142" s="500"/>
      <c r="AY142" s="500"/>
      <c r="AZ142" s="500"/>
      <c r="BA142" s="500"/>
      <c r="BB142" s="500"/>
      <c r="BC142" s="500"/>
      <c r="BD142" s="500"/>
      <c r="BE142" s="500"/>
      <c r="BF142" s="500"/>
      <c r="BG142" s="500"/>
      <c r="BH142" s="500"/>
      <c r="BI142" s="500"/>
      <c r="BJ142" s="500"/>
      <c r="BK142" s="500"/>
      <c r="BL142" s="500"/>
      <c r="BM142" s="500"/>
      <c r="BN142" s="500"/>
      <c r="BO142" s="500"/>
      <c r="BP142" s="500"/>
      <c r="BQ142" s="498"/>
      <c r="BR142" s="498"/>
      <c r="BS142" s="498"/>
      <c r="BT142" s="498"/>
      <c r="BU142" s="498"/>
      <c r="BV142" s="500"/>
      <c r="BW142" s="498"/>
      <c r="BX142" s="498"/>
      <c r="BY142" s="498"/>
      <c r="BZ142" s="498"/>
      <c r="CA142" s="498"/>
      <c r="CB142" s="498"/>
      <c r="CC142" s="498"/>
      <c r="CD142" s="498"/>
      <c r="CE142" s="498"/>
      <c r="CF142" s="498"/>
      <c r="CG142" s="502"/>
      <c r="CH142" s="503"/>
      <c r="CI142" s="502"/>
      <c r="CJ142" s="502"/>
      <c r="CK142" s="502"/>
      <c r="CL142" s="500"/>
      <c r="CM142" s="500"/>
      <c r="CN142" s="500"/>
      <c r="CO142" s="500"/>
    </row>
    <row r="143">
      <c r="A143" s="496"/>
      <c r="B143" s="496"/>
      <c r="C143" s="496"/>
      <c r="D143" s="497"/>
      <c r="E143" s="498"/>
      <c r="F143" s="498"/>
      <c r="G143" s="499"/>
      <c r="H143" s="499"/>
      <c r="I143" s="498"/>
      <c r="J143" s="500"/>
      <c r="K143" s="496"/>
      <c r="L143" s="500"/>
      <c r="M143" s="496"/>
      <c r="N143" s="500"/>
      <c r="O143" s="496"/>
      <c r="P143" s="500"/>
      <c r="Q143" s="498"/>
      <c r="R143" s="500"/>
      <c r="S143" s="498"/>
      <c r="T143" s="496"/>
      <c r="U143" s="498"/>
      <c r="V143" s="496"/>
      <c r="W143" s="498"/>
      <c r="X143" s="500"/>
      <c r="Y143" s="498"/>
      <c r="Z143" s="500"/>
      <c r="AA143" s="500"/>
      <c r="AB143" s="500"/>
      <c r="AC143" s="501"/>
      <c r="AD143" s="500"/>
      <c r="AE143" s="501"/>
      <c r="AF143" s="500"/>
      <c r="AG143" s="501"/>
      <c r="AH143" s="500"/>
      <c r="AI143" s="498"/>
      <c r="AJ143" s="500"/>
      <c r="AK143" s="500"/>
      <c r="AL143" s="500"/>
      <c r="AM143" s="500"/>
      <c r="AN143" s="500"/>
      <c r="AO143" s="500"/>
      <c r="AP143" s="500"/>
      <c r="AQ143" s="500"/>
      <c r="AR143" s="500"/>
      <c r="AS143" s="500"/>
      <c r="AT143" s="500"/>
      <c r="AU143" s="498"/>
      <c r="AV143" s="500"/>
      <c r="AW143" s="500"/>
      <c r="AX143" s="500"/>
      <c r="AY143" s="500"/>
      <c r="AZ143" s="500"/>
      <c r="BA143" s="500"/>
      <c r="BB143" s="500"/>
      <c r="BC143" s="500"/>
      <c r="BD143" s="500"/>
      <c r="BE143" s="500"/>
      <c r="BF143" s="500"/>
      <c r="BG143" s="500"/>
      <c r="BH143" s="500"/>
      <c r="BI143" s="500"/>
      <c r="BJ143" s="500"/>
      <c r="BK143" s="500"/>
      <c r="BL143" s="500"/>
      <c r="BM143" s="500"/>
      <c r="BN143" s="500"/>
      <c r="BO143" s="500"/>
      <c r="BP143" s="500"/>
      <c r="BQ143" s="498"/>
      <c r="BR143" s="498"/>
      <c r="BS143" s="498"/>
      <c r="BT143" s="498"/>
      <c r="BU143" s="498"/>
      <c r="BV143" s="500"/>
      <c r="BW143" s="498"/>
      <c r="BX143" s="498"/>
      <c r="BY143" s="498"/>
      <c r="BZ143" s="498"/>
      <c r="CA143" s="498"/>
      <c r="CB143" s="498"/>
      <c r="CC143" s="498"/>
      <c r="CD143" s="498"/>
      <c r="CE143" s="498"/>
      <c r="CF143" s="498"/>
      <c r="CG143" s="502"/>
      <c r="CH143" s="503"/>
      <c r="CI143" s="502"/>
      <c r="CJ143" s="502"/>
      <c r="CK143" s="502"/>
      <c r="CL143" s="500"/>
      <c r="CM143" s="500"/>
      <c r="CN143" s="500"/>
      <c r="CO143" s="500"/>
    </row>
    <row r="144">
      <c r="A144" s="496"/>
      <c r="B144" s="496"/>
      <c r="C144" s="496"/>
      <c r="D144" s="497"/>
      <c r="E144" s="498"/>
      <c r="F144" s="498"/>
      <c r="G144" s="499"/>
      <c r="H144" s="499"/>
      <c r="I144" s="498"/>
      <c r="J144" s="500"/>
      <c r="K144" s="496"/>
      <c r="L144" s="500"/>
      <c r="M144" s="496"/>
      <c r="N144" s="500"/>
      <c r="O144" s="496"/>
      <c r="P144" s="500"/>
      <c r="Q144" s="498"/>
      <c r="R144" s="500"/>
      <c r="S144" s="498"/>
      <c r="T144" s="496"/>
      <c r="U144" s="498"/>
      <c r="V144" s="496"/>
      <c r="W144" s="498"/>
      <c r="X144" s="500"/>
      <c r="Y144" s="498"/>
      <c r="Z144" s="500"/>
      <c r="AA144" s="500"/>
      <c r="AB144" s="500"/>
      <c r="AC144" s="501"/>
      <c r="AD144" s="500"/>
      <c r="AE144" s="501"/>
      <c r="AF144" s="500"/>
      <c r="AG144" s="501"/>
      <c r="AH144" s="500"/>
      <c r="AI144" s="498"/>
      <c r="AJ144" s="500"/>
      <c r="AK144" s="500"/>
      <c r="AL144" s="500"/>
      <c r="AM144" s="500"/>
      <c r="AN144" s="500"/>
      <c r="AO144" s="500"/>
      <c r="AP144" s="500"/>
      <c r="AQ144" s="500"/>
      <c r="AR144" s="500"/>
      <c r="AS144" s="500"/>
      <c r="AT144" s="500"/>
      <c r="AU144" s="498"/>
      <c r="AV144" s="500"/>
      <c r="AW144" s="500"/>
      <c r="AX144" s="500"/>
      <c r="AY144" s="500"/>
      <c r="AZ144" s="500"/>
      <c r="BA144" s="500"/>
      <c r="BB144" s="500"/>
      <c r="BC144" s="500"/>
      <c r="BD144" s="500"/>
      <c r="BE144" s="500"/>
      <c r="BF144" s="500"/>
      <c r="BG144" s="500"/>
      <c r="BH144" s="500"/>
      <c r="BI144" s="500"/>
      <c r="BJ144" s="500"/>
      <c r="BK144" s="500"/>
      <c r="BL144" s="500"/>
      <c r="BM144" s="500"/>
      <c r="BN144" s="500"/>
      <c r="BO144" s="500"/>
      <c r="BP144" s="500"/>
      <c r="BQ144" s="498"/>
      <c r="BR144" s="498"/>
      <c r="BS144" s="498"/>
      <c r="BT144" s="498"/>
      <c r="BU144" s="498"/>
      <c r="BV144" s="500"/>
      <c r="BW144" s="498"/>
      <c r="BX144" s="498"/>
      <c r="BY144" s="498"/>
      <c r="BZ144" s="498"/>
      <c r="CA144" s="498"/>
      <c r="CB144" s="498"/>
      <c r="CC144" s="498"/>
      <c r="CD144" s="498"/>
      <c r="CE144" s="498"/>
      <c r="CF144" s="498"/>
      <c r="CG144" s="502"/>
      <c r="CH144" s="503"/>
      <c r="CI144" s="502"/>
      <c r="CJ144" s="502"/>
      <c r="CK144" s="502"/>
      <c r="CL144" s="500"/>
      <c r="CM144" s="500"/>
      <c r="CN144" s="500"/>
      <c r="CO144" s="500"/>
    </row>
    <row r="145">
      <c r="A145" s="496"/>
      <c r="B145" s="496"/>
      <c r="C145" s="496"/>
      <c r="D145" s="497"/>
      <c r="E145" s="498"/>
      <c r="F145" s="498"/>
      <c r="G145" s="499"/>
      <c r="H145" s="499"/>
      <c r="I145" s="498"/>
      <c r="J145" s="500"/>
      <c r="K145" s="496"/>
      <c r="L145" s="500"/>
      <c r="M145" s="496"/>
      <c r="N145" s="500"/>
      <c r="O145" s="496"/>
      <c r="P145" s="500"/>
      <c r="Q145" s="498"/>
      <c r="R145" s="500"/>
      <c r="S145" s="498"/>
      <c r="T145" s="496"/>
      <c r="U145" s="498"/>
      <c r="V145" s="496"/>
      <c r="W145" s="498"/>
      <c r="X145" s="500"/>
      <c r="Y145" s="498"/>
      <c r="Z145" s="500"/>
      <c r="AA145" s="500"/>
      <c r="AB145" s="500"/>
      <c r="AC145" s="501"/>
      <c r="AD145" s="500"/>
      <c r="AE145" s="501"/>
      <c r="AF145" s="500"/>
      <c r="AG145" s="501"/>
      <c r="AH145" s="500"/>
      <c r="AI145" s="498"/>
      <c r="AJ145" s="500"/>
      <c r="AK145" s="500"/>
      <c r="AL145" s="500"/>
      <c r="AM145" s="500"/>
      <c r="AN145" s="500"/>
      <c r="AO145" s="500"/>
      <c r="AP145" s="500"/>
      <c r="AQ145" s="500"/>
      <c r="AR145" s="500"/>
      <c r="AS145" s="500"/>
      <c r="AT145" s="500"/>
      <c r="AU145" s="498"/>
      <c r="AV145" s="500"/>
      <c r="AW145" s="500"/>
      <c r="AX145" s="500"/>
      <c r="AY145" s="500"/>
      <c r="AZ145" s="500"/>
      <c r="BA145" s="500"/>
      <c r="BB145" s="500"/>
      <c r="BC145" s="500"/>
      <c r="BD145" s="500"/>
      <c r="BE145" s="500"/>
      <c r="BF145" s="500"/>
      <c r="BG145" s="500"/>
      <c r="BH145" s="500"/>
      <c r="BI145" s="500"/>
      <c r="BJ145" s="500"/>
      <c r="BK145" s="500"/>
      <c r="BL145" s="500"/>
      <c r="BM145" s="500"/>
      <c r="BN145" s="500"/>
      <c r="BO145" s="500"/>
      <c r="BP145" s="500"/>
      <c r="BQ145" s="498"/>
      <c r="BR145" s="498"/>
      <c r="BS145" s="498"/>
      <c r="BT145" s="498"/>
      <c r="BU145" s="498"/>
      <c r="BV145" s="500"/>
      <c r="BW145" s="498"/>
      <c r="BX145" s="498"/>
      <c r="BY145" s="498"/>
      <c r="BZ145" s="498"/>
      <c r="CA145" s="498"/>
      <c r="CB145" s="498"/>
      <c r="CC145" s="498"/>
      <c r="CD145" s="498"/>
      <c r="CE145" s="498"/>
      <c r="CF145" s="498"/>
      <c r="CG145" s="502"/>
      <c r="CH145" s="503"/>
      <c r="CI145" s="502"/>
      <c r="CJ145" s="502"/>
      <c r="CK145" s="502"/>
      <c r="CL145" s="500"/>
      <c r="CM145" s="500"/>
      <c r="CN145" s="500"/>
      <c r="CO145" s="500"/>
    </row>
    <row r="146">
      <c r="A146" s="496"/>
      <c r="B146" s="496"/>
      <c r="C146" s="496"/>
      <c r="D146" s="497"/>
      <c r="E146" s="498"/>
      <c r="F146" s="498"/>
      <c r="G146" s="499"/>
      <c r="H146" s="499"/>
      <c r="I146" s="498"/>
      <c r="J146" s="500"/>
      <c r="K146" s="496"/>
      <c r="L146" s="500"/>
      <c r="M146" s="496"/>
      <c r="N146" s="500"/>
      <c r="O146" s="496"/>
      <c r="P146" s="500"/>
      <c r="Q146" s="498"/>
      <c r="R146" s="500"/>
      <c r="S146" s="498"/>
      <c r="T146" s="496"/>
      <c r="U146" s="498"/>
      <c r="V146" s="496"/>
      <c r="W146" s="498"/>
      <c r="X146" s="500"/>
      <c r="Y146" s="498"/>
      <c r="Z146" s="500"/>
      <c r="AA146" s="500"/>
      <c r="AB146" s="500"/>
      <c r="AC146" s="501"/>
      <c r="AD146" s="500"/>
      <c r="AE146" s="501"/>
      <c r="AF146" s="500"/>
      <c r="AG146" s="501"/>
      <c r="AH146" s="500"/>
      <c r="AI146" s="498"/>
      <c r="AJ146" s="500"/>
      <c r="AK146" s="500"/>
      <c r="AL146" s="500"/>
      <c r="AM146" s="500"/>
      <c r="AN146" s="500"/>
      <c r="AO146" s="500"/>
      <c r="AP146" s="500"/>
      <c r="AQ146" s="500"/>
      <c r="AR146" s="500"/>
      <c r="AS146" s="500"/>
      <c r="AT146" s="500"/>
      <c r="AU146" s="498"/>
      <c r="AV146" s="500"/>
      <c r="AW146" s="500"/>
      <c r="AX146" s="500"/>
      <c r="AY146" s="500"/>
      <c r="AZ146" s="500"/>
      <c r="BA146" s="500"/>
      <c r="BB146" s="500"/>
      <c r="BC146" s="500"/>
      <c r="BD146" s="500"/>
      <c r="BE146" s="500"/>
      <c r="BF146" s="500"/>
      <c r="BG146" s="500"/>
      <c r="BH146" s="500"/>
      <c r="BI146" s="500"/>
      <c r="BJ146" s="500"/>
      <c r="BK146" s="500"/>
      <c r="BL146" s="500"/>
      <c r="BM146" s="500"/>
      <c r="BN146" s="500"/>
      <c r="BO146" s="500"/>
      <c r="BP146" s="500"/>
      <c r="BQ146" s="498"/>
      <c r="BR146" s="498"/>
      <c r="BS146" s="498"/>
      <c r="BT146" s="498"/>
      <c r="BU146" s="498"/>
      <c r="BV146" s="500"/>
      <c r="BW146" s="498"/>
      <c r="BX146" s="498"/>
      <c r="BY146" s="498"/>
      <c r="BZ146" s="498"/>
      <c r="CA146" s="498"/>
      <c r="CB146" s="498"/>
      <c r="CC146" s="498"/>
      <c r="CD146" s="498"/>
      <c r="CE146" s="498"/>
      <c r="CF146" s="498"/>
      <c r="CG146" s="502"/>
      <c r="CH146" s="503"/>
      <c r="CI146" s="502"/>
      <c r="CJ146" s="502"/>
      <c r="CK146" s="502"/>
      <c r="CL146" s="500"/>
      <c r="CM146" s="500"/>
      <c r="CN146" s="500"/>
      <c r="CO146" s="500"/>
    </row>
    <row r="147">
      <c r="A147" s="496"/>
      <c r="B147" s="496"/>
      <c r="C147" s="496"/>
      <c r="D147" s="497"/>
      <c r="E147" s="498"/>
      <c r="F147" s="498"/>
      <c r="G147" s="499"/>
      <c r="H147" s="499"/>
      <c r="I147" s="498"/>
      <c r="J147" s="500"/>
      <c r="K147" s="496"/>
      <c r="L147" s="500"/>
      <c r="M147" s="496"/>
      <c r="N147" s="500"/>
      <c r="O147" s="496"/>
      <c r="P147" s="500"/>
      <c r="Q147" s="498"/>
      <c r="R147" s="500"/>
      <c r="S147" s="498"/>
      <c r="T147" s="496"/>
      <c r="U147" s="498"/>
      <c r="V147" s="496"/>
      <c r="W147" s="498"/>
      <c r="X147" s="500"/>
      <c r="Y147" s="498"/>
      <c r="Z147" s="500"/>
      <c r="AA147" s="500"/>
      <c r="AB147" s="500"/>
      <c r="AC147" s="501"/>
      <c r="AD147" s="500"/>
      <c r="AE147" s="501"/>
      <c r="AF147" s="500"/>
      <c r="AG147" s="501"/>
      <c r="AH147" s="500"/>
      <c r="AI147" s="498"/>
      <c r="AJ147" s="500"/>
      <c r="AK147" s="500"/>
      <c r="AL147" s="500"/>
      <c r="AM147" s="500"/>
      <c r="AN147" s="500"/>
      <c r="AO147" s="500"/>
      <c r="AP147" s="500"/>
      <c r="AQ147" s="500"/>
      <c r="AR147" s="500"/>
      <c r="AS147" s="500"/>
      <c r="AT147" s="500"/>
      <c r="AU147" s="498"/>
      <c r="AV147" s="500"/>
      <c r="AW147" s="500"/>
      <c r="AX147" s="500"/>
      <c r="AY147" s="500"/>
      <c r="AZ147" s="500"/>
      <c r="BA147" s="500"/>
      <c r="BB147" s="500"/>
      <c r="BC147" s="500"/>
      <c r="BD147" s="500"/>
      <c r="BE147" s="500"/>
      <c r="BF147" s="500"/>
      <c r="BG147" s="500"/>
      <c r="BH147" s="500"/>
      <c r="BI147" s="500"/>
      <c r="BJ147" s="500"/>
      <c r="BK147" s="500"/>
      <c r="BL147" s="500"/>
      <c r="BM147" s="500"/>
      <c r="BN147" s="500"/>
      <c r="BO147" s="500"/>
      <c r="BP147" s="500"/>
      <c r="BQ147" s="498"/>
      <c r="BR147" s="498"/>
      <c r="BS147" s="498"/>
      <c r="BT147" s="498"/>
      <c r="BU147" s="498"/>
      <c r="BV147" s="500"/>
      <c r="BW147" s="498"/>
      <c r="BX147" s="498"/>
      <c r="BY147" s="498"/>
      <c r="BZ147" s="498"/>
      <c r="CA147" s="498"/>
      <c r="CB147" s="498"/>
      <c r="CC147" s="498"/>
      <c r="CD147" s="498"/>
      <c r="CE147" s="498"/>
      <c r="CF147" s="498"/>
      <c r="CG147" s="502"/>
      <c r="CH147" s="503"/>
      <c r="CI147" s="502"/>
      <c r="CJ147" s="502"/>
      <c r="CK147" s="502"/>
      <c r="CL147" s="500"/>
      <c r="CM147" s="500"/>
      <c r="CN147" s="500"/>
      <c r="CO147" s="500"/>
    </row>
    <row r="148">
      <c r="A148" s="496"/>
      <c r="B148" s="496"/>
      <c r="C148" s="496"/>
      <c r="D148" s="497"/>
      <c r="E148" s="498"/>
      <c r="F148" s="498"/>
      <c r="G148" s="499"/>
      <c r="H148" s="499"/>
      <c r="I148" s="498"/>
      <c r="J148" s="500"/>
      <c r="K148" s="496"/>
      <c r="L148" s="500"/>
      <c r="M148" s="496"/>
      <c r="N148" s="500"/>
      <c r="O148" s="496"/>
      <c r="P148" s="500"/>
      <c r="Q148" s="498"/>
      <c r="R148" s="500"/>
      <c r="S148" s="498"/>
      <c r="T148" s="496"/>
      <c r="U148" s="498"/>
      <c r="V148" s="496"/>
      <c r="W148" s="498"/>
      <c r="X148" s="500"/>
      <c r="Y148" s="498"/>
      <c r="Z148" s="500"/>
      <c r="AA148" s="500"/>
      <c r="AB148" s="500"/>
      <c r="AC148" s="501"/>
      <c r="AD148" s="500"/>
      <c r="AE148" s="501"/>
      <c r="AF148" s="500"/>
      <c r="AG148" s="501"/>
      <c r="AH148" s="500"/>
      <c r="AI148" s="498"/>
      <c r="AJ148" s="500"/>
      <c r="AK148" s="500"/>
      <c r="AL148" s="500"/>
      <c r="AM148" s="500"/>
      <c r="AN148" s="500"/>
      <c r="AO148" s="500"/>
      <c r="AP148" s="500"/>
      <c r="AQ148" s="500"/>
      <c r="AR148" s="500"/>
      <c r="AS148" s="500"/>
      <c r="AT148" s="500"/>
      <c r="AU148" s="498"/>
      <c r="AV148" s="500"/>
      <c r="AW148" s="500"/>
      <c r="AX148" s="500"/>
      <c r="AY148" s="500"/>
      <c r="AZ148" s="500"/>
      <c r="BA148" s="500"/>
      <c r="BB148" s="500"/>
      <c r="BC148" s="500"/>
      <c r="BD148" s="500"/>
      <c r="BE148" s="500"/>
      <c r="BF148" s="500"/>
      <c r="BG148" s="500"/>
      <c r="BH148" s="500"/>
      <c r="BI148" s="500"/>
      <c r="BJ148" s="500"/>
      <c r="BK148" s="500"/>
      <c r="BL148" s="500"/>
      <c r="BM148" s="500"/>
      <c r="BN148" s="500"/>
      <c r="BO148" s="500"/>
      <c r="BP148" s="500"/>
      <c r="BQ148" s="498"/>
      <c r="BR148" s="498"/>
      <c r="BS148" s="498"/>
      <c r="BT148" s="498"/>
      <c r="BU148" s="498"/>
      <c r="BV148" s="500"/>
      <c r="BW148" s="498"/>
      <c r="BX148" s="498"/>
      <c r="BY148" s="498"/>
      <c r="BZ148" s="498"/>
      <c r="CA148" s="498"/>
      <c r="CB148" s="498"/>
      <c r="CC148" s="498"/>
      <c r="CD148" s="498"/>
      <c r="CE148" s="498"/>
      <c r="CF148" s="498"/>
      <c r="CG148" s="502"/>
      <c r="CH148" s="503"/>
      <c r="CI148" s="502"/>
      <c r="CJ148" s="502"/>
      <c r="CK148" s="502"/>
      <c r="CL148" s="500"/>
      <c r="CM148" s="500"/>
      <c r="CN148" s="500"/>
      <c r="CO148" s="500"/>
    </row>
    <row r="149">
      <c r="A149" s="496"/>
      <c r="B149" s="496"/>
      <c r="C149" s="496"/>
      <c r="D149" s="497"/>
      <c r="E149" s="498"/>
      <c r="F149" s="498"/>
      <c r="G149" s="499"/>
      <c r="H149" s="499"/>
      <c r="I149" s="498"/>
      <c r="J149" s="500"/>
      <c r="K149" s="496"/>
      <c r="L149" s="500"/>
      <c r="M149" s="496"/>
      <c r="N149" s="500"/>
      <c r="O149" s="496"/>
      <c r="P149" s="500"/>
      <c r="Q149" s="498"/>
      <c r="R149" s="500"/>
      <c r="S149" s="498"/>
      <c r="T149" s="496"/>
      <c r="U149" s="498"/>
      <c r="V149" s="496"/>
      <c r="W149" s="498"/>
      <c r="X149" s="500"/>
      <c r="Y149" s="498"/>
      <c r="Z149" s="500"/>
      <c r="AA149" s="500"/>
      <c r="AB149" s="500"/>
      <c r="AC149" s="501"/>
      <c r="AD149" s="500"/>
      <c r="AE149" s="501"/>
      <c r="AF149" s="500"/>
      <c r="AG149" s="501"/>
      <c r="AH149" s="500"/>
      <c r="AI149" s="498"/>
      <c r="AJ149" s="500"/>
      <c r="AK149" s="500"/>
      <c r="AL149" s="500"/>
      <c r="AM149" s="500"/>
      <c r="AN149" s="500"/>
      <c r="AO149" s="500"/>
      <c r="AP149" s="500"/>
      <c r="AQ149" s="500"/>
      <c r="AR149" s="500"/>
      <c r="AS149" s="500"/>
      <c r="AT149" s="500"/>
      <c r="AU149" s="498"/>
      <c r="AV149" s="500"/>
      <c r="AW149" s="500"/>
      <c r="AX149" s="500"/>
      <c r="AY149" s="500"/>
      <c r="AZ149" s="500"/>
      <c r="BA149" s="500"/>
      <c r="BB149" s="500"/>
      <c r="BC149" s="500"/>
      <c r="BD149" s="500"/>
      <c r="BE149" s="500"/>
      <c r="BF149" s="500"/>
      <c r="BG149" s="500"/>
      <c r="BH149" s="500"/>
      <c r="BI149" s="500"/>
      <c r="BJ149" s="500"/>
      <c r="BK149" s="500"/>
      <c r="BL149" s="500"/>
      <c r="BM149" s="500"/>
      <c r="BN149" s="500"/>
      <c r="BO149" s="500"/>
      <c r="BP149" s="500"/>
      <c r="BQ149" s="498"/>
      <c r="BR149" s="498"/>
      <c r="BS149" s="498"/>
      <c r="BT149" s="498"/>
      <c r="BU149" s="498"/>
      <c r="BV149" s="500"/>
      <c r="BW149" s="498"/>
      <c r="BX149" s="498"/>
      <c r="BY149" s="498"/>
      <c r="BZ149" s="498"/>
      <c r="CA149" s="498"/>
      <c r="CB149" s="498"/>
      <c r="CC149" s="498"/>
      <c r="CD149" s="498"/>
      <c r="CE149" s="498"/>
      <c r="CF149" s="498"/>
      <c r="CG149" s="502"/>
      <c r="CH149" s="503"/>
      <c r="CI149" s="502"/>
      <c r="CJ149" s="502"/>
      <c r="CK149" s="502"/>
      <c r="CL149" s="500"/>
      <c r="CM149" s="500"/>
      <c r="CN149" s="500"/>
      <c r="CO149" s="500"/>
    </row>
    <row r="150">
      <c r="A150" s="496"/>
      <c r="B150" s="496"/>
      <c r="C150" s="496"/>
      <c r="D150" s="497"/>
      <c r="E150" s="498"/>
      <c r="F150" s="498"/>
      <c r="G150" s="499"/>
      <c r="H150" s="499"/>
      <c r="I150" s="498"/>
      <c r="J150" s="500"/>
      <c r="K150" s="496"/>
      <c r="L150" s="500"/>
      <c r="M150" s="496"/>
      <c r="N150" s="500"/>
      <c r="O150" s="496"/>
      <c r="P150" s="500"/>
      <c r="Q150" s="498"/>
      <c r="R150" s="500"/>
      <c r="S150" s="498"/>
      <c r="T150" s="496"/>
      <c r="U150" s="498"/>
      <c r="V150" s="496"/>
      <c r="W150" s="498"/>
      <c r="X150" s="500"/>
      <c r="Y150" s="498"/>
      <c r="Z150" s="500"/>
      <c r="AA150" s="500"/>
      <c r="AB150" s="500"/>
      <c r="AC150" s="501"/>
      <c r="AD150" s="500"/>
      <c r="AE150" s="501"/>
      <c r="AF150" s="500"/>
      <c r="AG150" s="501"/>
      <c r="AH150" s="500"/>
      <c r="AI150" s="498"/>
      <c r="AJ150" s="500"/>
      <c r="AK150" s="500"/>
      <c r="AL150" s="500"/>
      <c r="AM150" s="500"/>
      <c r="AN150" s="500"/>
      <c r="AO150" s="500"/>
      <c r="AP150" s="500"/>
      <c r="AQ150" s="500"/>
      <c r="AR150" s="500"/>
      <c r="AS150" s="500"/>
      <c r="AT150" s="500"/>
      <c r="AU150" s="498"/>
      <c r="AV150" s="500"/>
      <c r="AW150" s="500"/>
      <c r="AX150" s="500"/>
      <c r="AY150" s="500"/>
      <c r="AZ150" s="500"/>
      <c r="BA150" s="500"/>
      <c r="BB150" s="500"/>
      <c r="BC150" s="500"/>
      <c r="BD150" s="500"/>
      <c r="BE150" s="500"/>
      <c r="BF150" s="500"/>
      <c r="BG150" s="500"/>
      <c r="BH150" s="500"/>
      <c r="BI150" s="500"/>
      <c r="BJ150" s="500"/>
      <c r="BK150" s="500"/>
      <c r="BL150" s="500"/>
      <c r="BM150" s="500"/>
      <c r="BN150" s="500"/>
      <c r="BO150" s="500"/>
      <c r="BP150" s="500"/>
      <c r="BQ150" s="498"/>
      <c r="BR150" s="498"/>
      <c r="BS150" s="498"/>
      <c r="BT150" s="498"/>
      <c r="BU150" s="498"/>
      <c r="BV150" s="500"/>
      <c r="BW150" s="498"/>
      <c r="BX150" s="498"/>
      <c r="BY150" s="498"/>
      <c r="BZ150" s="498"/>
      <c r="CA150" s="498"/>
      <c r="CB150" s="498"/>
      <c r="CC150" s="498"/>
      <c r="CD150" s="498"/>
      <c r="CE150" s="498"/>
      <c r="CF150" s="498"/>
      <c r="CG150" s="502"/>
      <c r="CH150" s="503"/>
      <c r="CI150" s="502"/>
      <c r="CJ150" s="502"/>
      <c r="CK150" s="502"/>
      <c r="CL150" s="500"/>
      <c r="CM150" s="500"/>
      <c r="CN150" s="500"/>
      <c r="CO150" s="500"/>
    </row>
    <row r="151">
      <c r="A151" s="496"/>
      <c r="B151" s="496"/>
      <c r="C151" s="496"/>
      <c r="D151" s="497"/>
      <c r="E151" s="498"/>
      <c r="F151" s="498"/>
      <c r="G151" s="499"/>
      <c r="H151" s="499"/>
      <c r="I151" s="498"/>
      <c r="J151" s="500"/>
      <c r="K151" s="496"/>
      <c r="L151" s="500"/>
      <c r="M151" s="496"/>
      <c r="N151" s="500"/>
      <c r="O151" s="496"/>
      <c r="P151" s="500"/>
      <c r="Q151" s="498"/>
      <c r="R151" s="500"/>
      <c r="S151" s="498"/>
      <c r="T151" s="496"/>
      <c r="U151" s="498"/>
      <c r="V151" s="496"/>
      <c r="W151" s="498"/>
      <c r="X151" s="500"/>
      <c r="Y151" s="498"/>
      <c r="Z151" s="500"/>
      <c r="AA151" s="500"/>
      <c r="AB151" s="500"/>
      <c r="AC151" s="501"/>
      <c r="AD151" s="500"/>
      <c r="AE151" s="501"/>
      <c r="AF151" s="500"/>
      <c r="AG151" s="501"/>
      <c r="AH151" s="500"/>
      <c r="AI151" s="498"/>
      <c r="AJ151" s="500"/>
      <c r="AK151" s="500"/>
      <c r="AL151" s="500"/>
      <c r="AM151" s="500"/>
      <c r="AN151" s="500"/>
      <c r="AO151" s="500"/>
      <c r="AP151" s="500"/>
      <c r="AQ151" s="500"/>
      <c r="AR151" s="500"/>
      <c r="AS151" s="500"/>
      <c r="AT151" s="500"/>
      <c r="AU151" s="498"/>
      <c r="AV151" s="500"/>
      <c r="AW151" s="500"/>
      <c r="AX151" s="500"/>
      <c r="AY151" s="500"/>
      <c r="AZ151" s="500"/>
      <c r="BA151" s="500"/>
      <c r="BB151" s="500"/>
      <c r="BC151" s="500"/>
      <c r="BD151" s="500"/>
      <c r="BE151" s="500"/>
      <c r="BF151" s="500"/>
      <c r="BG151" s="500"/>
      <c r="BH151" s="500"/>
      <c r="BI151" s="500"/>
      <c r="BJ151" s="500"/>
      <c r="BK151" s="500"/>
      <c r="BL151" s="500"/>
      <c r="BM151" s="500"/>
      <c r="BN151" s="500"/>
      <c r="BO151" s="500"/>
      <c r="BP151" s="500"/>
      <c r="BQ151" s="498"/>
      <c r="BR151" s="498"/>
      <c r="BS151" s="498"/>
      <c r="BT151" s="498"/>
      <c r="BU151" s="498"/>
      <c r="BV151" s="500"/>
      <c r="BW151" s="498"/>
      <c r="BX151" s="498"/>
      <c r="BY151" s="498"/>
      <c r="BZ151" s="498"/>
      <c r="CA151" s="498"/>
      <c r="CB151" s="498"/>
      <c r="CC151" s="498"/>
      <c r="CD151" s="498"/>
      <c r="CE151" s="498"/>
      <c r="CF151" s="498"/>
      <c r="CG151" s="502"/>
      <c r="CH151" s="503"/>
      <c r="CI151" s="502"/>
      <c r="CJ151" s="502"/>
      <c r="CK151" s="502"/>
      <c r="CL151" s="500"/>
      <c r="CM151" s="500"/>
      <c r="CN151" s="500"/>
      <c r="CO151" s="500"/>
    </row>
    <row r="152">
      <c r="A152" s="496"/>
      <c r="B152" s="496"/>
      <c r="C152" s="496"/>
      <c r="D152" s="497"/>
      <c r="E152" s="498"/>
      <c r="F152" s="498"/>
      <c r="G152" s="499"/>
      <c r="H152" s="499"/>
      <c r="I152" s="498"/>
      <c r="J152" s="500"/>
      <c r="K152" s="496"/>
      <c r="L152" s="500"/>
      <c r="M152" s="496"/>
      <c r="N152" s="500"/>
      <c r="O152" s="496"/>
      <c r="P152" s="500"/>
      <c r="Q152" s="498"/>
      <c r="R152" s="500"/>
      <c r="S152" s="498"/>
      <c r="T152" s="496"/>
      <c r="U152" s="498"/>
      <c r="V152" s="496"/>
      <c r="W152" s="498"/>
      <c r="X152" s="500"/>
      <c r="Y152" s="498"/>
      <c r="Z152" s="500"/>
      <c r="AA152" s="500"/>
      <c r="AB152" s="500"/>
      <c r="AC152" s="501"/>
      <c r="AD152" s="500"/>
      <c r="AE152" s="501"/>
      <c r="AF152" s="500"/>
      <c r="AG152" s="501"/>
      <c r="AH152" s="500"/>
      <c r="AI152" s="498"/>
      <c r="AJ152" s="500"/>
      <c r="AK152" s="500"/>
      <c r="AL152" s="500"/>
      <c r="AM152" s="500"/>
      <c r="AN152" s="500"/>
      <c r="AO152" s="500"/>
      <c r="AP152" s="500"/>
      <c r="AQ152" s="500"/>
      <c r="AR152" s="500"/>
      <c r="AS152" s="500"/>
      <c r="AT152" s="500"/>
      <c r="AU152" s="498"/>
      <c r="AV152" s="500"/>
      <c r="AW152" s="500"/>
      <c r="AX152" s="500"/>
      <c r="AY152" s="500"/>
      <c r="AZ152" s="500"/>
      <c r="BA152" s="500"/>
      <c r="BB152" s="500"/>
      <c r="BC152" s="500"/>
      <c r="BD152" s="500"/>
      <c r="BE152" s="500"/>
      <c r="BF152" s="500"/>
      <c r="BG152" s="500"/>
      <c r="BH152" s="500"/>
      <c r="BI152" s="500"/>
      <c r="BJ152" s="500"/>
      <c r="BK152" s="500"/>
      <c r="BL152" s="500"/>
      <c r="BM152" s="500"/>
      <c r="BN152" s="500"/>
      <c r="BO152" s="500"/>
      <c r="BP152" s="500"/>
      <c r="BQ152" s="498"/>
      <c r="BR152" s="498"/>
      <c r="BS152" s="498"/>
      <c r="BT152" s="498"/>
      <c r="BU152" s="498"/>
      <c r="BV152" s="500"/>
      <c r="BW152" s="498"/>
      <c r="BX152" s="498"/>
      <c r="BY152" s="498"/>
      <c r="BZ152" s="498"/>
      <c r="CA152" s="498"/>
      <c r="CB152" s="498"/>
      <c r="CC152" s="498"/>
      <c r="CD152" s="498"/>
      <c r="CE152" s="498"/>
      <c r="CF152" s="498"/>
      <c r="CG152" s="502"/>
      <c r="CH152" s="503"/>
      <c r="CI152" s="502"/>
      <c r="CJ152" s="502"/>
      <c r="CK152" s="502"/>
      <c r="CL152" s="500"/>
      <c r="CM152" s="500"/>
      <c r="CN152" s="500"/>
      <c r="CO152" s="500"/>
    </row>
    <row r="153">
      <c r="A153" s="496"/>
      <c r="B153" s="496"/>
      <c r="C153" s="496"/>
      <c r="D153" s="497"/>
      <c r="E153" s="498"/>
      <c r="F153" s="498"/>
      <c r="G153" s="499"/>
      <c r="H153" s="499"/>
      <c r="I153" s="498"/>
      <c r="J153" s="500"/>
      <c r="K153" s="496"/>
      <c r="L153" s="500"/>
      <c r="M153" s="496"/>
      <c r="N153" s="500"/>
      <c r="O153" s="496"/>
      <c r="P153" s="500"/>
      <c r="Q153" s="498"/>
      <c r="R153" s="500"/>
      <c r="S153" s="498"/>
      <c r="T153" s="496"/>
      <c r="U153" s="498"/>
      <c r="V153" s="496"/>
      <c r="W153" s="498"/>
      <c r="X153" s="500"/>
      <c r="Y153" s="498"/>
      <c r="Z153" s="500"/>
      <c r="AA153" s="500"/>
      <c r="AB153" s="500"/>
      <c r="AC153" s="501"/>
      <c r="AD153" s="500"/>
      <c r="AE153" s="501"/>
      <c r="AF153" s="500"/>
      <c r="AG153" s="501"/>
      <c r="AH153" s="500"/>
      <c r="AI153" s="498"/>
      <c r="AJ153" s="500"/>
      <c r="AK153" s="500"/>
      <c r="AL153" s="500"/>
      <c r="AM153" s="500"/>
      <c r="AN153" s="500"/>
      <c r="AO153" s="500"/>
      <c r="AP153" s="500"/>
      <c r="AQ153" s="500"/>
      <c r="AR153" s="500"/>
      <c r="AS153" s="500"/>
      <c r="AT153" s="500"/>
      <c r="AU153" s="498"/>
      <c r="AV153" s="500"/>
      <c r="AW153" s="500"/>
      <c r="AX153" s="500"/>
      <c r="AY153" s="500"/>
      <c r="AZ153" s="500"/>
      <c r="BA153" s="500"/>
      <c r="BB153" s="500"/>
      <c r="BC153" s="500"/>
      <c r="BD153" s="500"/>
      <c r="BE153" s="500"/>
      <c r="BF153" s="500"/>
      <c r="BG153" s="500"/>
      <c r="BH153" s="500"/>
      <c r="BI153" s="500"/>
      <c r="BJ153" s="500"/>
      <c r="BK153" s="500"/>
      <c r="BL153" s="500"/>
      <c r="BM153" s="500"/>
      <c r="BN153" s="500"/>
      <c r="BO153" s="500"/>
      <c r="BP153" s="500"/>
      <c r="BQ153" s="498"/>
      <c r="BR153" s="498"/>
      <c r="BS153" s="498"/>
      <c r="BT153" s="498"/>
      <c r="BU153" s="498"/>
      <c r="BV153" s="500"/>
      <c r="BW153" s="498"/>
      <c r="BX153" s="498"/>
      <c r="BY153" s="498"/>
      <c r="BZ153" s="498"/>
      <c r="CA153" s="498"/>
      <c r="CB153" s="498"/>
      <c r="CC153" s="498"/>
      <c r="CD153" s="498"/>
      <c r="CE153" s="498"/>
      <c r="CF153" s="498"/>
      <c r="CG153" s="502"/>
      <c r="CH153" s="503"/>
      <c r="CI153" s="502"/>
      <c r="CJ153" s="502"/>
      <c r="CK153" s="502"/>
      <c r="CL153" s="500"/>
      <c r="CM153" s="500"/>
      <c r="CN153" s="500"/>
      <c r="CO153" s="500"/>
    </row>
    <row r="154">
      <c r="A154" s="496"/>
      <c r="B154" s="496"/>
      <c r="C154" s="496"/>
      <c r="D154" s="497"/>
      <c r="E154" s="498"/>
      <c r="F154" s="498"/>
      <c r="G154" s="499"/>
      <c r="H154" s="499"/>
      <c r="I154" s="498"/>
      <c r="J154" s="500"/>
      <c r="K154" s="496"/>
      <c r="L154" s="500"/>
      <c r="M154" s="496"/>
      <c r="N154" s="500"/>
      <c r="O154" s="496"/>
      <c r="P154" s="500"/>
      <c r="Q154" s="498"/>
      <c r="R154" s="500"/>
      <c r="S154" s="498"/>
      <c r="T154" s="496"/>
      <c r="U154" s="498"/>
      <c r="V154" s="496"/>
      <c r="W154" s="498"/>
      <c r="X154" s="500"/>
      <c r="Y154" s="498"/>
      <c r="Z154" s="500"/>
      <c r="AA154" s="500"/>
      <c r="AB154" s="500"/>
      <c r="AC154" s="501"/>
      <c r="AD154" s="500"/>
      <c r="AE154" s="501"/>
      <c r="AF154" s="500"/>
      <c r="AG154" s="501"/>
      <c r="AH154" s="500"/>
      <c r="AI154" s="498"/>
      <c r="AJ154" s="500"/>
      <c r="AK154" s="500"/>
      <c r="AL154" s="500"/>
      <c r="AM154" s="500"/>
      <c r="AN154" s="500"/>
      <c r="AO154" s="500"/>
      <c r="AP154" s="500"/>
      <c r="AQ154" s="500"/>
      <c r="AR154" s="500"/>
      <c r="AS154" s="500"/>
      <c r="AT154" s="500"/>
      <c r="AU154" s="498"/>
      <c r="AV154" s="500"/>
      <c r="AW154" s="500"/>
      <c r="AX154" s="500"/>
      <c r="AY154" s="500"/>
      <c r="AZ154" s="500"/>
      <c r="BA154" s="500"/>
      <c r="BB154" s="500"/>
      <c r="BC154" s="500"/>
      <c r="BD154" s="500"/>
      <c r="BE154" s="500"/>
      <c r="BF154" s="500"/>
      <c r="BG154" s="500"/>
      <c r="BH154" s="500"/>
      <c r="BI154" s="500"/>
      <c r="BJ154" s="500"/>
      <c r="BK154" s="500"/>
      <c r="BL154" s="500"/>
      <c r="BM154" s="500"/>
      <c r="BN154" s="500"/>
      <c r="BO154" s="500"/>
      <c r="BP154" s="500"/>
      <c r="BQ154" s="498"/>
      <c r="BR154" s="498"/>
      <c r="BS154" s="498"/>
      <c r="BT154" s="498"/>
      <c r="BU154" s="498"/>
      <c r="BV154" s="500"/>
      <c r="BW154" s="498"/>
      <c r="BX154" s="498"/>
      <c r="BY154" s="498"/>
      <c r="BZ154" s="498"/>
      <c r="CA154" s="498"/>
      <c r="CB154" s="498"/>
      <c r="CC154" s="498"/>
      <c r="CD154" s="498"/>
      <c r="CE154" s="498"/>
      <c r="CF154" s="498"/>
      <c r="CG154" s="502"/>
      <c r="CH154" s="503"/>
      <c r="CI154" s="502"/>
      <c r="CJ154" s="502"/>
      <c r="CK154" s="502"/>
      <c r="CL154" s="500"/>
      <c r="CM154" s="500"/>
      <c r="CN154" s="500"/>
      <c r="CO154" s="500"/>
    </row>
    <row r="155">
      <c r="A155" s="496"/>
      <c r="B155" s="496"/>
      <c r="C155" s="496"/>
      <c r="D155" s="497"/>
      <c r="E155" s="498"/>
      <c r="F155" s="498"/>
      <c r="G155" s="499"/>
      <c r="H155" s="499"/>
      <c r="I155" s="498"/>
      <c r="J155" s="500"/>
      <c r="K155" s="496"/>
      <c r="L155" s="500"/>
      <c r="M155" s="496"/>
      <c r="N155" s="500"/>
      <c r="O155" s="496"/>
      <c r="P155" s="500"/>
      <c r="Q155" s="498"/>
      <c r="R155" s="500"/>
      <c r="S155" s="498"/>
      <c r="T155" s="496"/>
      <c r="U155" s="498"/>
      <c r="V155" s="496"/>
      <c r="W155" s="498"/>
      <c r="X155" s="500"/>
      <c r="Y155" s="498"/>
      <c r="Z155" s="500"/>
      <c r="AA155" s="500"/>
      <c r="AB155" s="500"/>
      <c r="AC155" s="501"/>
      <c r="AD155" s="500"/>
      <c r="AE155" s="501"/>
      <c r="AF155" s="500"/>
      <c r="AG155" s="501"/>
      <c r="AH155" s="500"/>
      <c r="AI155" s="498"/>
      <c r="AJ155" s="500"/>
      <c r="AK155" s="500"/>
      <c r="AL155" s="500"/>
      <c r="AM155" s="500"/>
      <c r="AN155" s="500"/>
      <c r="AO155" s="500"/>
      <c r="AP155" s="500"/>
      <c r="AQ155" s="500"/>
      <c r="AR155" s="500"/>
      <c r="AS155" s="500"/>
      <c r="AT155" s="500"/>
      <c r="AU155" s="498"/>
      <c r="AV155" s="500"/>
      <c r="AW155" s="500"/>
      <c r="AX155" s="500"/>
      <c r="AY155" s="500"/>
      <c r="AZ155" s="500"/>
      <c r="BA155" s="500"/>
      <c r="BB155" s="500"/>
      <c r="BC155" s="500"/>
      <c r="BD155" s="500"/>
      <c r="BE155" s="500"/>
      <c r="BF155" s="500"/>
      <c r="BG155" s="500"/>
      <c r="BH155" s="500"/>
      <c r="BI155" s="500"/>
      <c r="BJ155" s="500"/>
      <c r="BK155" s="500"/>
      <c r="BL155" s="500"/>
      <c r="BM155" s="500"/>
      <c r="BN155" s="500"/>
      <c r="BO155" s="500"/>
      <c r="BP155" s="500"/>
      <c r="BQ155" s="498"/>
      <c r="BR155" s="498"/>
      <c r="BS155" s="498"/>
      <c r="BT155" s="498"/>
      <c r="BU155" s="498"/>
      <c r="BV155" s="500"/>
      <c r="BW155" s="498"/>
      <c r="BX155" s="498"/>
      <c r="BY155" s="498"/>
      <c r="BZ155" s="498"/>
      <c r="CA155" s="498"/>
      <c r="CB155" s="498"/>
      <c r="CC155" s="498"/>
      <c r="CD155" s="498"/>
      <c r="CE155" s="498"/>
      <c r="CF155" s="498"/>
      <c r="CG155" s="502"/>
      <c r="CH155" s="503"/>
      <c r="CI155" s="502"/>
      <c r="CJ155" s="502"/>
      <c r="CK155" s="502"/>
      <c r="CL155" s="500"/>
      <c r="CM155" s="500"/>
      <c r="CN155" s="500"/>
      <c r="CO155" s="500"/>
    </row>
    <row r="156">
      <c r="A156" s="496"/>
      <c r="B156" s="496"/>
      <c r="C156" s="496"/>
      <c r="D156" s="497"/>
      <c r="E156" s="498"/>
      <c r="F156" s="498"/>
      <c r="G156" s="499"/>
      <c r="H156" s="499"/>
      <c r="I156" s="498"/>
      <c r="J156" s="500"/>
      <c r="K156" s="496"/>
      <c r="L156" s="500"/>
      <c r="M156" s="496"/>
      <c r="N156" s="500"/>
      <c r="O156" s="496"/>
      <c r="P156" s="500"/>
      <c r="Q156" s="498"/>
      <c r="R156" s="500"/>
      <c r="S156" s="498"/>
      <c r="T156" s="496"/>
      <c r="U156" s="498"/>
      <c r="V156" s="496"/>
      <c r="W156" s="498"/>
      <c r="X156" s="500"/>
      <c r="Y156" s="498"/>
      <c r="Z156" s="500"/>
      <c r="AA156" s="500"/>
      <c r="AB156" s="500"/>
      <c r="AC156" s="501"/>
      <c r="AD156" s="500"/>
      <c r="AE156" s="501"/>
      <c r="AF156" s="500"/>
      <c r="AG156" s="501"/>
      <c r="AH156" s="500"/>
      <c r="AI156" s="498"/>
      <c r="AJ156" s="500"/>
      <c r="AK156" s="500"/>
      <c r="AL156" s="500"/>
      <c r="AM156" s="500"/>
      <c r="AN156" s="500"/>
      <c r="AO156" s="500"/>
      <c r="AP156" s="500"/>
      <c r="AQ156" s="500"/>
      <c r="AR156" s="500"/>
      <c r="AS156" s="500"/>
      <c r="AT156" s="500"/>
      <c r="AU156" s="498"/>
      <c r="AV156" s="500"/>
      <c r="AW156" s="500"/>
      <c r="AX156" s="500"/>
      <c r="AY156" s="500"/>
      <c r="AZ156" s="500"/>
      <c r="BA156" s="500"/>
      <c r="BB156" s="500"/>
      <c r="BC156" s="500"/>
      <c r="BD156" s="500"/>
      <c r="BE156" s="500"/>
      <c r="BF156" s="500"/>
      <c r="BG156" s="500"/>
      <c r="BH156" s="500"/>
      <c r="BI156" s="500"/>
      <c r="BJ156" s="500"/>
      <c r="BK156" s="500"/>
      <c r="BL156" s="500"/>
      <c r="BM156" s="500"/>
      <c r="BN156" s="500"/>
      <c r="BO156" s="500"/>
      <c r="BP156" s="500"/>
      <c r="BQ156" s="498"/>
      <c r="BR156" s="498"/>
      <c r="BS156" s="498"/>
      <c r="BT156" s="498"/>
      <c r="BU156" s="498"/>
      <c r="BV156" s="500"/>
      <c r="BW156" s="498"/>
      <c r="BX156" s="498"/>
      <c r="BY156" s="498"/>
      <c r="BZ156" s="498"/>
      <c r="CA156" s="498"/>
      <c r="CB156" s="498"/>
      <c r="CC156" s="498"/>
      <c r="CD156" s="498"/>
      <c r="CE156" s="498"/>
      <c r="CF156" s="498"/>
      <c r="CG156" s="502"/>
      <c r="CH156" s="503"/>
      <c r="CI156" s="502"/>
      <c r="CJ156" s="502"/>
      <c r="CK156" s="502"/>
      <c r="CL156" s="500"/>
      <c r="CM156" s="500"/>
      <c r="CN156" s="500"/>
      <c r="CO156" s="500"/>
    </row>
    <row r="157">
      <c r="A157" s="496"/>
      <c r="B157" s="496"/>
      <c r="C157" s="496"/>
      <c r="D157" s="497"/>
      <c r="E157" s="498"/>
      <c r="F157" s="498"/>
      <c r="G157" s="499"/>
      <c r="H157" s="499"/>
      <c r="I157" s="498"/>
      <c r="J157" s="500"/>
      <c r="K157" s="496"/>
      <c r="L157" s="500"/>
      <c r="M157" s="496"/>
      <c r="N157" s="500"/>
      <c r="O157" s="496"/>
      <c r="P157" s="500"/>
      <c r="Q157" s="498"/>
      <c r="R157" s="500"/>
      <c r="S157" s="498"/>
      <c r="T157" s="496"/>
      <c r="U157" s="498"/>
      <c r="V157" s="496"/>
      <c r="W157" s="498"/>
      <c r="X157" s="500"/>
      <c r="Y157" s="498"/>
      <c r="Z157" s="500"/>
      <c r="AA157" s="500"/>
      <c r="AB157" s="500"/>
      <c r="AC157" s="501"/>
      <c r="AD157" s="500"/>
      <c r="AE157" s="501"/>
      <c r="AF157" s="500"/>
      <c r="AG157" s="501"/>
      <c r="AH157" s="500"/>
      <c r="AI157" s="498"/>
      <c r="AJ157" s="500"/>
      <c r="AK157" s="500"/>
      <c r="AL157" s="500"/>
      <c r="AM157" s="500"/>
      <c r="AN157" s="500"/>
      <c r="AO157" s="500"/>
      <c r="AP157" s="500"/>
      <c r="AQ157" s="500"/>
      <c r="AR157" s="500"/>
      <c r="AS157" s="500"/>
      <c r="AT157" s="500"/>
      <c r="AU157" s="498"/>
      <c r="AV157" s="500"/>
      <c r="AW157" s="500"/>
      <c r="AX157" s="500"/>
      <c r="AY157" s="500"/>
      <c r="AZ157" s="500"/>
      <c r="BA157" s="500"/>
      <c r="BB157" s="500"/>
      <c r="BC157" s="500"/>
      <c r="BD157" s="500"/>
      <c r="BE157" s="500"/>
      <c r="BF157" s="500"/>
      <c r="BG157" s="500"/>
      <c r="BH157" s="500"/>
      <c r="BI157" s="500"/>
      <c r="BJ157" s="500"/>
      <c r="BK157" s="500"/>
      <c r="BL157" s="500"/>
      <c r="BM157" s="500"/>
      <c r="BN157" s="500"/>
      <c r="BO157" s="500"/>
      <c r="BP157" s="500"/>
      <c r="BQ157" s="498"/>
      <c r="BR157" s="498"/>
      <c r="BS157" s="498"/>
      <c r="BT157" s="498"/>
      <c r="BU157" s="498"/>
      <c r="BV157" s="500"/>
      <c r="BW157" s="498"/>
      <c r="BX157" s="498"/>
      <c r="BY157" s="498"/>
      <c r="BZ157" s="498"/>
      <c r="CA157" s="498"/>
      <c r="CB157" s="498"/>
      <c r="CC157" s="498"/>
      <c r="CD157" s="498"/>
      <c r="CE157" s="498"/>
      <c r="CF157" s="498"/>
      <c r="CG157" s="502"/>
      <c r="CH157" s="503"/>
      <c r="CI157" s="502"/>
      <c r="CJ157" s="502"/>
      <c r="CK157" s="502"/>
      <c r="CL157" s="500"/>
      <c r="CM157" s="500"/>
      <c r="CN157" s="500"/>
      <c r="CO157" s="500"/>
    </row>
    <row r="158">
      <c r="A158" s="496"/>
      <c r="B158" s="496"/>
      <c r="C158" s="496"/>
      <c r="D158" s="497"/>
      <c r="E158" s="498"/>
      <c r="F158" s="498"/>
      <c r="G158" s="499"/>
      <c r="H158" s="499"/>
      <c r="I158" s="498"/>
      <c r="J158" s="500"/>
      <c r="K158" s="496"/>
      <c r="L158" s="500"/>
      <c r="M158" s="496"/>
      <c r="N158" s="500"/>
      <c r="O158" s="496"/>
      <c r="P158" s="500"/>
      <c r="Q158" s="498"/>
      <c r="R158" s="500"/>
      <c r="S158" s="498"/>
      <c r="T158" s="496"/>
      <c r="U158" s="498"/>
      <c r="V158" s="496"/>
      <c r="W158" s="498"/>
      <c r="X158" s="500"/>
      <c r="Y158" s="498"/>
      <c r="Z158" s="500"/>
      <c r="AA158" s="500"/>
      <c r="AB158" s="500"/>
      <c r="AC158" s="501"/>
      <c r="AD158" s="500"/>
      <c r="AE158" s="501"/>
      <c r="AF158" s="500"/>
      <c r="AG158" s="501"/>
      <c r="AH158" s="500"/>
      <c r="AI158" s="498"/>
      <c r="AJ158" s="500"/>
      <c r="AK158" s="500"/>
      <c r="AL158" s="500"/>
      <c r="AM158" s="500"/>
      <c r="AN158" s="500"/>
      <c r="AO158" s="500"/>
      <c r="AP158" s="500"/>
      <c r="AQ158" s="500"/>
      <c r="AR158" s="500"/>
      <c r="AS158" s="500"/>
      <c r="AT158" s="500"/>
      <c r="AU158" s="498"/>
      <c r="AV158" s="500"/>
      <c r="AW158" s="500"/>
      <c r="AX158" s="500"/>
      <c r="AY158" s="500"/>
      <c r="AZ158" s="500"/>
      <c r="BA158" s="500"/>
      <c r="BB158" s="500"/>
      <c r="BC158" s="500"/>
      <c r="BD158" s="500"/>
      <c r="BE158" s="500"/>
      <c r="BF158" s="500"/>
      <c r="BG158" s="500"/>
      <c r="BH158" s="500"/>
      <c r="BI158" s="500"/>
      <c r="BJ158" s="500"/>
      <c r="BK158" s="500"/>
      <c r="BL158" s="500"/>
      <c r="BM158" s="500"/>
      <c r="BN158" s="500"/>
      <c r="BO158" s="500"/>
      <c r="BP158" s="500"/>
      <c r="BQ158" s="498"/>
      <c r="BR158" s="498"/>
      <c r="BS158" s="498"/>
      <c r="BT158" s="498"/>
      <c r="BU158" s="498"/>
      <c r="BV158" s="500"/>
      <c r="BW158" s="498"/>
      <c r="BX158" s="498"/>
      <c r="BY158" s="498"/>
      <c r="BZ158" s="498"/>
      <c r="CA158" s="498"/>
      <c r="CB158" s="498"/>
      <c r="CC158" s="498"/>
      <c r="CD158" s="498"/>
      <c r="CE158" s="498"/>
      <c r="CF158" s="498"/>
      <c r="CG158" s="502"/>
      <c r="CH158" s="503"/>
      <c r="CI158" s="502"/>
      <c r="CJ158" s="502"/>
      <c r="CK158" s="502"/>
      <c r="CL158" s="500"/>
      <c r="CM158" s="500"/>
      <c r="CN158" s="500"/>
      <c r="CO158" s="500"/>
    </row>
    <row r="159">
      <c r="A159" s="496"/>
      <c r="B159" s="496"/>
      <c r="C159" s="496"/>
      <c r="D159" s="497"/>
      <c r="E159" s="498"/>
      <c r="F159" s="498"/>
      <c r="G159" s="499"/>
      <c r="H159" s="499"/>
      <c r="I159" s="498"/>
      <c r="J159" s="500"/>
      <c r="K159" s="496"/>
      <c r="L159" s="500"/>
      <c r="M159" s="496"/>
      <c r="N159" s="500"/>
      <c r="O159" s="496"/>
      <c r="P159" s="500"/>
      <c r="Q159" s="498"/>
      <c r="R159" s="500"/>
      <c r="S159" s="498"/>
      <c r="T159" s="496"/>
      <c r="U159" s="498"/>
      <c r="V159" s="496"/>
      <c r="W159" s="498"/>
      <c r="X159" s="500"/>
      <c r="Y159" s="498"/>
      <c r="Z159" s="500"/>
      <c r="AA159" s="500"/>
      <c r="AB159" s="500"/>
      <c r="AC159" s="501"/>
      <c r="AD159" s="500"/>
      <c r="AE159" s="501"/>
      <c r="AF159" s="500"/>
      <c r="AG159" s="501"/>
      <c r="AH159" s="500"/>
      <c r="AI159" s="498"/>
      <c r="AJ159" s="500"/>
      <c r="AK159" s="500"/>
      <c r="AL159" s="500"/>
      <c r="AM159" s="500"/>
      <c r="AN159" s="500"/>
      <c r="AO159" s="500"/>
      <c r="AP159" s="500"/>
      <c r="AQ159" s="500"/>
      <c r="AR159" s="500"/>
      <c r="AS159" s="500"/>
      <c r="AT159" s="500"/>
      <c r="AU159" s="498"/>
      <c r="AV159" s="500"/>
      <c r="AW159" s="500"/>
      <c r="AX159" s="500"/>
      <c r="AY159" s="500"/>
      <c r="AZ159" s="500"/>
      <c r="BA159" s="500"/>
      <c r="BB159" s="500"/>
      <c r="BC159" s="500"/>
      <c r="BD159" s="500"/>
      <c r="BE159" s="500"/>
      <c r="BF159" s="500"/>
      <c r="BG159" s="500"/>
      <c r="BH159" s="500"/>
      <c r="BI159" s="500"/>
      <c r="BJ159" s="500"/>
      <c r="BK159" s="500"/>
      <c r="BL159" s="500"/>
      <c r="BM159" s="500"/>
      <c r="BN159" s="500"/>
      <c r="BO159" s="500"/>
      <c r="BP159" s="500"/>
      <c r="BQ159" s="498"/>
      <c r="BR159" s="498"/>
      <c r="BS159" s="498"/>
      <c r="BT159" s="498"/>
      <c r="BU159" s="498"/>
      <c r="BV159" s="500"/>
      <c r="BW159" s="498"/>
      <c r="BX159" s="498"/>
      <c r="BY159" s="498"/>
      <c r="BZ159" s="498"/>
      <c r="CA159" s="498"/>
      <c r="CB159" s="498"/>
      <c r="CC159" s="498"/>
      <c r="CD159" s="498"/>
      <c r="CE159" s="498"/>
      <c r="CF159" s="498"/>
      <c r="CG159" s="502"/>
      <c r="CH159" s="503"/>
      <c r="CI159" s="502"/>
      <c r="CJ159" s="502"/>
      <c r="CK159" s="502"/>
      <c r="CL159" s="500"/>
      <c r="CM159" s="500"/>
      <c r="CN159" s="500"/>
      <c r="CO159" s="500"/>
    </row>
    <row r="160">
      <c r="A160" s="496"/>
      <c r="B160" s="496"/>
      <c r="C160" s="496"/>
      <c r="D160" s="497"/>
      <c r="E160" s="498"/>
      <c r="F160" s="498"/>
      <c r="G160" s="499"/>
      <c r="H160" s="499"/>
      <c r="I160" s="498"/>
      <c r="J160" s="500"/>
      <c r="K160" s="496"/>
      <c r="L160" s="500"/>
      <c r="M160" s="496"/>
      <c r="N160" s="500"/>
      <c r="O160" s="496"/>
      <c r="P160" s="500"/>
      <c r="Q160" s="498"/>
      <c r="R160" s="500"/>
      <c r="S160" s="498"/>
      <c r="T160" s="496"/>
      <c r="U160" s="498"/>
      <c r="V160" s="496"/>
      <c r="W160" s="498"/>
      <c r="X160" s="500"/>
      <c r="Y160" s="498"/>
      <c r="Z160" s="500"/>
      <c r="AA160" s="500"/>
      <c r="AB160" s="500"/>
      <c r="AC160" s="501"/>
      <c r="AD160" s="500"/>
      <c r="AE160" s="501"/>
      <c r="AF160" s="500"/>
      <c r="AG160" s="501"/>
      <c r="AH160" s="500"/>
      <c r="AI160" s="498"/>
      <c r="AJ160" s="500"/>
      <c r="AK160" s="500"/>
      <c r="AL160" s="500"/>
      <c r="AM160" s="500"/>
      <c r="AN160" s="500"/>
      <c r="AO160" s="500"/>
      <c r="AP160" s="500"/>
      <c r="AQ160" s="500"/>
      <c r="AR160" s="500"/>
      <c r="AS160" s="500"/>
      <c r="AT160" s="500"/>
      <c r="AU160" s="498"/>
      <c r="AV160" s="500"/>
      <c r="AW160" s="500"/>
      <c r="AX160" s="500"/>
      <c r="AY160" s="500"/>
      <c r="AZ160" s="500"/>
      <c r="BA160" s="500"/>
      <c r="BB160" s="500"/>
      <c r="BC160" s="500"/>
      <c r="BD160" s="500"/>
      <c r="BE160" s="500"/>
      <c r="BF160" s="500"/>
      <c r="BG160" s="500"/>
      <c r="BH160" s="500"/>
      <c r="BI160" s="500"/>
      <c r="BJ160" s="500"/>
      <c r="BK160" s="500"/>
      <c r="BL160" s="500"/>
      <c r="BM160" s="500"/>
      <c r="BN160" s="500"/>
      <c r="BO160" s="500"/>
      <c r="BP160" s="500"/>
      <c r="BQ160" s="498"/>
      <c r="BR160" s="498"/>
      <c r="BS160" s="498"/>
      <c r="BT160" s="498"/>
      <c r="BU160" s="498"/>
      <c r="BV160" s="500"/>
      <c r="BW160" s="498"/>
      <c r="BX160" s="498"/>
      <c r="BY160" s="498"/>
      <c r="BZ160" s="498"/>
      <c r="CA160" s="498"/>
      <c r="CB160" s="498"/>
      <c r="CC160" s="498"/>
      <c r="CD160" s="498"/>
      <c r="CE160" s="498"/>
      <c r="CF160" s="498"/>
      <c r="CG160" s="502"/>
      <c r="CH160" s="503"/>
      <c r="CI160" s="502"/>
      <c r="CJ160" s="502"/>
      <c r="CK160" s="502"/>
      <c r="CL160" s="500"/>
      <c r="CM160" s="500"/>
      <c r="CN160" s="500"/>
      <c r="CO160" s="500"/>
    </row>
    <row r="161">
      <c r="A161" s="496"/>
      <c r="B161" s="496"/>
      <c r="C161" s="496"/>
      <c r="D161" s="497"/>
      <c r="E161" s="498"/>
      <c r="F161" s="498"/>
      <c r="G161" s="499"/>
      <c r="H161" s="499"/>
      <c r="I161" s="498"/>
      <c r="J161" s="500"/>
      <c r="K161" s="496"/>
      <c r="L161" s="500"/>
      <c r="M161" s="496"/>
      <c r="N161" s="500"/>
      <c r="O161" s="496"/>
      <c r="P161" s="500"/>
      <c r="Q161" s="498"/>
      <c r="R161" s="500"/>
      <c r="S161" s="498"/>
      <c r="T161" s="496"/>
      <c r="U161" s="498"/>
      <c r="V161" s="496"/>
      <c r="W161" s="498"/>
      <c r="X161" s="500"/>
      <c r="Y161" s="498"/>
      <c r="Z161" s="500"/>
      <c r="AA161" s="500"/>
      <c r="AB161" s="500"/>
      <c r="AC161" s="501"/>
      <c r="AD161" s="500"/>
      <c r="AE161" s="501"/>
      <c r="AF161" s="500"/>
      <c r="AG161" s="501"/>
      <c r="AH161" s="500"/>
      <c r="AI161" s="498"/>
      <c r="AJ161" s="500"/>
      <c r="AK161" s="500"/>
      <c r="AL161" s="500"/>
      <c r="AM161" s="500"/>
      <c r="AN161" s="500"/>
      <c r="AO161" s="500"/>
      <c r="AP161" s="500"/>
      <c r="AQ161" s="500"/>
      <c r="AR161" s="500"/>
      <c r="AS161" s="500"/>
      <c r="AT161" s="500"/>
      <c r="AU161" s="498"/>
      <c r="AV161" s="500"/>
      <c r="AW161" s="500"/>
      <c r="AX161" s="500"/>
      <c r="AY161" s="500"/>
      <c r="AZ161" s="500"/>
      <c r="BA161" s="500"/>
      <c r="BB161" s="500"/>
      <c r="BC161" s="500"/>
      <c r="BD161" s="500"/>
      <c r="BE161" s="500"/>
      <c r="BF161" s="500"/>
      <c r="BG161" s="500"/>
      <c r="BH161" s="500"/>
      <c r="BI161" s="500"/>
      <c r="BJ161" s="500"/>
      <c r="BK161" s="500"/>
      <c r="BL161" s="500"/>
      <c r="BM161" s="500"/>
      <c r="BN161" s="500"/>
      <c r="BO161" s="500"/>
      <c r="BP161" s="500"/>
      <c r="BQ161" s="498"/>
      <c r="BR161" s="498"/>
      <c r="BS161" s="498"/>
      <c r="BT161" s="498"/>
      <c r="BU161" s="498"/>
      <c r="BV161" s="500"/>
      <c r="BW161" s="498"/>
      <c r="BX161" s="498"/>
      <c r="BY161" s="498"/>
      <c r="BZ161" s="498"/>
      <c r="CA161" s="498"/>
      <c r="CB161" s="498"/>
      <c r="CC161" s="498"/>
      <c r="CD161" s="498"/>
      <c r="CE161" s="498"/>
      <c r="CF161" s="498"/>
      <c r="CG161" s="502"/>
      <c r="CH161" s="503"/>
      <c r="CI161" s="502"/>
      <c r="CJ161" s="502"/>
      <c r="CK161" s="502"/>
      <c r="CL161" s="500"/>
      <c r="CM161" s="500"/>
      <c r="CN161" s="500"/>
      <c r="CO161" s="500"/>
    </row>
    <row r="162">
      <c r="A162" s="496"/>
      <c r="B162" s="496"/>
      <c r="C162" s="496"/>
      <c r="D162" s="497"/>
      <c r="E162" s="498"/>
      <c r="F162" s="498"/>
      <c r="G162" s="499"/>
      <c r="H162" s="499"/>
      <c r="I162" s="498"/>
      <c r="J162" s="500"/>
      <c r="K162" s="496"/>
      <c r="L162" s="500"/>
      <c r="M162" s="496"/>
      <c r="N162" s="500"/>
      <c r="O162" s="496"/>
      <c r="P162" s="500"/>
      <c r="Q162" s="498"/>
      <c r="R162" s="500"/>
      <c r="S162" s="498"/>
      <c r="T162" s="496"/>
      <c r="U162" s="498"/>
      <c r="V162" s="496"/>
      <c r="W162" s="498"/>
      <c r="X162" s="500"/>
      <c r="Y162" s="498"/>
      <c r="Z162" s="500"/>
      <c r="AA162" s="500"/>
      <c r="AB162" s="500"/>
      <c r="AC162" s="501"/>
      <c r="AD162" s="500"/>
      <c r="AE162" s="501"/>
      <c r="AF162" s="500"/>
      <c r="AG162" s="501"/>
      <c r="AH162" s="500"/>
      <c r="AI162" s="498"/>
      <c r="AJ162" s="500"/>
      <c r="AK162" s="500"/>
      <c r="AL162" s="500"/>
      <c r="AM162" s="500"/>
      <c r="AN162" s="500"/>
      <c r="AO162" s="500"/>
      <c r="AP162" s="500"/>
      <c r="AQ162" s="500"/>
      <c r="AR162" s="500"/>
      <c r="AS162" s="500"/>
      <c r="AT162" s="500"/>
      <c r="AU162" s="498"/>
      <c r="AV162" s="500"/>
      <c r="AW162" s="500"/>
      <c r="AX162" s="500"/>
      <c r="AY162" s="500"/>
      <c r="AZ162" s="500"/>
      <c r="BA162" s="500"/>
      <c r="BB162" s="500"/>
      <c r="BC162" s="500"/>
      <c r="BD162" s="500"/>
      <c r="BE162" s="500"/>
      <c r="BF162" s="500"/>
      <c r="BG162" s="500"/>
      <c r="BH162" s="500"/>
      <c r="BI162" s="500"/>
      <c r="BJ162" s="500"/>
      <c r="BK162" s="500"/>
      <c r="BL162" s="500"/>
      <c r="BM162" s="500"/>
      <c r="BN162" s="500"/>
      <c r="BO162" s="500"/>
      <c r="BP162" s="500"/>
      <c r="BQ162" s="498"/>
      <c r="BR162" s="498"/>
      <c r="BS162" s="498"/>
      <c r="BT162" s="498"/>
      <c r="BU162" s="498"/>
      <c r="BV162" s="500"/>
      <c r="BW162" s="498"/>
      <c r="BX162" s="498"/>
      <c r="BY162" s="498"/>
      <c r="BZ162" s="498"/>
      <c r="CA162" s="498"/>
      <c r="CB162" s="498"/>
      <c r="CC162" s="498"/>
      <c r="CD162" s="498"/>
      <c r="CE162" s="498"/>
      <c r="CF162" s="498"/>
      <c r="CG162" s="502"/>
      <c r="CH162" s="503"/>
      <c r="CI162" s="502"/>
      <c r="CJ162" s="502"/>
      <c r="CK162" s="502"/>
      <c r="CL162" s="500"/>
      <c r="CM162" s="500"/>
      <c r="CN162" s="500"/>
      <c r="CO162" s="500"/>
    </row>
    <row r="163">
      <c r="A163" s="496"/>
      <c r="B163" s="496"/>
      <c r="C163" s="496"/>
      <c r="D163" s="497"/>
      <c r="E163" s="498"/>
      <c r="F163" s="498"/>
      <c r="G163" s="499"/>
      <c r="H163" s="499"/>
      <c r="I163" s="498"/>
      <c r="J163" s="500"/>
      <c r="K163" s="496"/>
      <c r="L163" s="500"/>
      <c r="M163" s="496"/>
      <c r="N163" s="500"/>
      <c r="O163" s="496"/>
      <c r="P163" s="500"/>
      <c r="Q163" s="498"/>
      <c r="R163" s="500"/>
      <c r="S163" s="498"/>
      <c r="T163" s="496"/>
      <c r="U163" s="498"/>
      <c r="V163" s="496"/>
      <c r="W163" s="498"/>
      <c r="X163" s="500"/>
      <c r="Y163" s="498"/>
      <c r="Z163" s="500"/>
      <c r="AA163" s="500"/>
      <c r="AB163" s="500"/>
      <c r="AC163" s="501"/>
      <c r="AD163" s="500"/>
      <c r="AE163" s="501"/>
      <c r="AF163" s="500"/>
      <c r="AG163" s="501"/>
      <c r="AH163" s="500"/>
      <c r="AI163" s="498"/>
      <c r="AJ163" s="500"/>
      <c r="AK163" s="500"/>
      <c r="AL163" s="500"/>
      <c r="AM163" s="500"/>
      <c r="AN163" s="500"/>
      <c r="AO163" s="500"/>
      <c r="AP163" s="500"/>
      <c r="AQ163" s="500"/>
      <c r="AR163" s="500"/>
      <c r="AS163" s="500"/>
      <c r="AT163" s="500"/>
      <c r="AU163" s="498"/>
      <c r="AV163" s="500"/>
      <c r="AW163" s="500"/>
      <c r="AX163" s="500"/>
      <c r="AY163" s="500"/>
      <c r="AZ163" s="500"/>
      <c r="BA163" s="500"/>
      <c r="BB163" s="500"/>
      <c r="BC163" s="500"/>
      <c r="BD163" s="500"/>
      <c r="BE163" s="500"/>
      <c r="BF163" s="500"/>
      <c r="BG163" s="500"/>
      <c r="BH163" s="500"/>
      <c r="BI163" s="500"/>
      <c r="BJ163" s="500"/>
      <c r="BK163" s="500"/>
      <c r="BL163" s="500"/>
      <c r="BM163" s="500"/>
      <c r="BN163" s="500"/>
      <c r="BO163" s="500"/>
      <c r="BP163" s="500"/>
      <c r="BQ163" s="498"/>
      <c r="BR163" s="498"/>
      <c r="BS163" s="498"/>
      <c r="BT163" s="498"/>
      <c r="BU163" s="498"/>
      <c r="BV163" s="500"/>
      <c r="BW163" s="498"/>
      <c r="BX163" s="498"/>
      <c r="BY163" s="498"/>
      <c r="BZ163" s="498"/>
      <c r="CA163" s="498"/>
      <c r="CB163" s="498"/>
      <c r="CC163" s="498"/>
      <c r="CD163" s="498"/>
      <c r="CE163" s="498"/>
      <c r="CF163" s="498"/>
      <c r="CG163" s="502"/>
      <c r="CH163" s="503"/>
      <c r="CI163" s="502"/>
      <c r="CJ163" s="502"/>
      <c r="CK163" s="502"/>
      <c r="CL163" s="500"/>
      <c r="CM163" s="500"/>
      <c r="CN163" s="500"/>
      <c r="CO163" s="500"/>
    </row>
    <row r="164">
      <c r="A164" s="496"/>
      <c r="B164" s="496"/>
      <c r="C164" s="496"/>
      <c r="D164" s="497"/>
      <c r="E164" s="498"/>
      <c r="F164" s="498"/>
      <c r="G164" s="499"/>
      <c r="H164" s="499"/>
      <c r="I164" s="498"/>
      <c r="J164" s="500"/>
      <c r="K164" s="496"/>
      <c r="L164" s="500"/>
      <c r="M164" s="496"/>
      <c r="N164" s="500"/>
      <c r="O164" s="496"/>
      <c r="P164" s="500"/>
      <c r="Q164" s="498"/>
      <c r="R164" s="500"/>
      <c r="S164" s="498"/>
      <c r="T164" s="496"/>
      <c r="U164" s="498"/>
      <c r="V164" s="496"/>
      <c r="W164" s="498"/>
      <c r="X164" s="500"/>
      <c r="Y164" s="498"/>
      <c r="Z164" s="500"/>
      <c r="AA164" s="500"/>
      <c r="AB164" s="500"/>
      <c r="AC164" s="501"/>
      <c r="AD164" s="500"/>
      <c r="AE164" s="501"/>
      <c r="AF164" s="500"/>
      <c r="AG164" s="501"/>
      <c r="AH164" s="500"/>
      <c r="AI164" s="498"/>
      <c r="AJ164" s="500"/>
      <c r="AK164" s="500"/>
      <c r="AL164" s="500"/>
      <c r="AM164" s="500"/>
      <c r="AN164" s="500"/>
      <c r="AO164" s="500"/>
      <c r="AP164" s="500"/>
      <c r="AQ164" s="500"/>
      <c r="AR164" s="500"/>
      <c r="AS164" s="500"/>
      <c r="AT164" s="500"/>
      <c r="AU164" s="498"/>
      <c r="AV164" s="500"/>
      <c r="AW164" s="500"/>
      <c r="AX164" s="500"/>
      <c r="AY164" s="500"/>
      <c r="AZ164" s="500"/>
      <c r="BA164" s="500"/>
      <c r="BB164" s="500"/>
      <c r="BC164" s="500"/>
      <c r="BD164" s="500"/>
      <c r="BE164" s="500"/>
      <c r="BF164" s="500"/>
      <c r="BG164" s="500"/>
      <c r="BH164" s="500"/>
      <c r="BI164" s="500"/>
      <c r="BJ164" s="500"/>
      <c r="BK164" s="500"/>
      <c r="BL164" s="500"/>
      <c r="BM164" s="500"/>
      <c r="BN164" s="500"/>
      <c r="BO164" s="500"/>
      <c r="BP164" s="500"/>
      <c r="BQ164" s="498"/>
      <c r="BR164" s="498"/>
      <c r="BS164" s="498"/>
      <c r="BT164" s="498"/>
      <c r="BU164" s="498"/>
      <c r="BV164" s="500"/>
      <c r="BW164" s="498"/>
      <c r="BX164" s="498"/>
      <c r="BY164" s="498"/>
      <c r="BZ164" s="498"/>
      <c r="CA164" s="498"/>
      <c r="CB164" s="498"/>
      <c r="CC164" s="498"/>
      <c r="CD164" s="498"/>
      <c r="CE164" s="498"/>
      <c r="CF164" s="498"/>
      <c r="CG164" s="502"/>
      <c r="CH164" s="503"/>
      <c r="CI164" s="502"/>
      <c r="CJ164" s="502"/>
      <c r="CK164" s="502"/>
      <c r="CL164" s="500"/>
      <c r="CM164" s="500"/>
      <c r="CN164" s="500"/>
      <c r="CO164" s="500"/>
    </row>
    <row r="165">
      <c r="A165" s="496"/>
      <c r="B165" s="496"/>
      <c r="C165" s="496"/>
      <c r="D165" s="497"/>
      <c r="E165" s="498"/>
      <c r="F165" s="498"/>
      <c r="G165" s="499"/>
      <c r="H165" s="499"/>
      <c r="I165" s="498"/>
      <c r="J165" s="500"/>
      <c r="K165" s="496"/>
      <c r="L165" s="500"/>
      <c r="M165" s="496"/>
      <c r="N165" s="500"/>
      <c r="O165" s="496"/>
      <c r="P165" s="500"/>
      <c r="Q165" s="498"/>
      <c r="R165" s="500"/>
      <c r="S165" s="498"/>
      <c r="T165" s="496"/>
      <c r="U165" s="498"/>
      <c r="V165" s="496"/>
      <c r="W165" s="498"/>
      <c r="X165" s="500"/>
      <c r="Y165" s="498"/>
      <c r="Z165" s="500"/>
      <c r="AA165" s="500"/>
      <c r="AB165" s="500"/>
      <c r="AC165" s="501"/>
      <c r="AD165" s="500"/>
      <c r="AE165" s="501"/>
      <c r="AF165" s="500"/>
      <c r="AG165" s="501"/>
      <c r="AH165" s="500"/>
      <c r="AI165" s="498"/>
      <c r="AJ165" s="500"/>
      <c r="AK165" s="500"/>
      <c r="AL165" s="500"/>
      <c r="AM165" s="500"/>
      <c r="AN165" s="500"/>
      <c r="AO165" s="500"/>
      <c r="AP165" s="500"/>
      <c r="AQ165" s="500"/>
      <c r="AR165" s="500"/>
      <c r="AS165" s="500"/>
      <c r="AT165" s="500"/>
      <c r="AU165" s="498"/>
      <c r="AV165" s="500"/>
      <c r="AW165" s="500"/>
      <c r="AX165" s="500"/>
      <c r="AY165" s="500"/>
      <c r="AZ165" s="500"/>
      <c r="BA165" s="500"/>
      <c r="BB165" s="500"/>
      <c r="BC165" s="500"/>
      <c r="BD165" s="500"/>
      <c r="BE165" s="500"/>
      <c r="BF165" s="500"/>
      <c r="BG165" s="500"/>
      <c r="BH165" s="500"/>
      <c r="BI165" s="500"/>
      <c r="BJ165" s="500"/>
      <c r="BK165" s="500"/>
      <c r="BL165" s="500"/>
      <c r="BM165" s="500"/>
      <c r="BN165" s="500"/>
      <c r="BO165" s="500"/>
      <c r="BP165" s="500"/>
      <c r="BQ165" s="498"/>
      <c r="BR165" s="498"/>
      <c r="BS165" s="498"/>
      <c r="BT165" s="498"/>
      <c r="BU165" s="498"/>
      <c r="BV165" s="500"/>
      <c r="BW165" s="498"/>
      <c r="BX165" s="498"/>
      <c r="BY165" s="498"/>
      <c r="BZ165" s="498"/>
      <c r="CA165" s="498"/>
      <c r="CB165" s="498"/>
      <c r="CC165" s="498"/>
      <c r="CD165" s="498"/>
      <c r="CE165" s="498"/>
      <c r="CF165" s="498"/>
      <c r="CG165" s="502"/>
      <c r="CH165" s="503"/>
      <c r="CI165" s="502"/>
      <c r="CJ165" s="502"/>
      <c r="CK165" s="502"/>
      <c r="CL165" s="500"/>
      <c r="CM165" s="500"/>
      <c r="CN165" s="500"/>
      <c r="CO165" s="500"/>
    </row>
    <row r="166">
      <c r="A166" s="496"/>
      <c r="B166" s="496"/>
      <c r="C166" s="496"/>
      <c r="D166" s="497"/>
      <c r="E166" s="498"/>
      <c r="F166" s="498"/>
      <c r="G166" s="499"/>
      <c r="H166" s="499"/>
      <c r="I166" s="498"/>
      <c r="J166" s="500"/>
      <c r="K166" s="496"/>
      <c r="L166" s="500"/>
      <c r="M166" s="496"/>
      <c r="N166" s="500"/>
      <c r="O166" s="496"/>
      <c r="P166" s="500"/>
      <c r="Q166" s="498"/>
      <c r="R166" s="500"/>
      <c r="S166" s="498"/>
      <c r="T166" s="496"/>
      <c r="U166" s="498"/>
      <c r="V166" s="496"/>
      <c r="W166" s="498"/>
      <c r="X166" s="500"/>
      <c r="Y166" s="498"/>
      <c r="Z166" s="500"/>
      <c r="AA166" s="500"/>
      <c r="AB166" s="500"/>
      <c r="AC166" s="501"/>
      <c r="AD166" s="500"/>
      <c r="AE166" s="501"/>
      <c r="AF166" s="500"/>
      <c r="AG166" s="501"/>
      <c r="AH166" s="500"/>
      <c r="AI166" s="498"/>
      <c r="AJ166" s="500"/>
      <c r="AK166" s="500"/>
      <c r="AL166" s="500"/>
      <c r="AM166" s="500"/>
      <c r="AN166" s="500"/>
      <c r="AO166" s="500"/>
      <c r="AP166" s="500"/>
      <c r="AQ166" s="500"/>
      <c r="AR166" s="500"/>
      <c r="AS166" s="500"/>
      <c r="AT166" s="500"/>
      <c r="AU166" s="498"/>
      <c r="AV166" s="500"/>
      <c r="AW166" s="500"/>
      <c r="AX166" s="500"/>
      <c r="AY166" s="500"/>
      <c r="AZ166" s="500"/>
      <c r="BA166" s="500"/>
      <c r="BB166" s="500"/>
      <c r="BC166" s="500"/>
      <c r="BD166" s="500"/>
      <c r="BE166" s="500"/>
      <c r="BF166" s="500"/>
      <c r="BG166" s="500"/>
      <c r="BH166" s="500"/>
      <c r="BI166" s="500"/>
      <c r="BJ166" s="500"/>
      <c r="BK166" s="500"/>
      <c r="BL166" s="500"/>
      <c r="BM166" s="500"/>
      <c r="BN166" s="500"/>
      <c r="BO166" s="500"/>
      <c r="BP166" s="500"/>
      <c r="BQ166" s="498"/>
      <c r="BR166" s="498"/>
      <c r="BS166" s="498"/>
      <c r="BT166" s="498"/>
      <c r="BU166" s="498"/>
      <c r="BV166" s="500"/>
      <c r="BW166" s="498"/>
      <c r="BX166" s="498"/>
      <c r="BY166" s="498"/>
      <c r="BZ166" s="498"/>
      <c r="CA166" s="498"/>
      <c r="CB166" s="498"/>
      <c r="CC166" s="498"/>
      <c r="CD166" s="498"/>
      <c r="CE166" s="498"/>
      <c r="CF166" s="498"/>
      <c r="CG166" s="502"/>
      <c r="CH166" s="503"/>
      <c r="CI166" s="502"/>
      <c r="CJ166" s="502"/>
      <c r="CK166" s="502"/>
      <c r="CL166" s="500"/>
      <c r="CM166" s="500"/>
      <c r="CN166" s="500"/>
      <c r="CO166" s="500"/>
    </row>
    <row r="167">
      <c r="A167" s="496"/>
      <c r="B167" s="496"/>
      <c r="C167" s="496"/>
      <c r="D167" s="497"/>
      <c r="E167" s="498"/>
      <c r="F167" s="498"/>
      <c r="G167" s="499"/>
      <c r="H167" s="499"/>
      <c r="I167" s="498"/>
      <c r="J167" s="500"/>
      <c r="K167" s="496"/>
      <c r="L167" s="500"/>
      <c r="M167" s="496"/>
      <c r="N167" s="500"/>
      <c r="O167" s="496"/>
      <c r="P167" s="500"/>
      <c r="Q167" s="498"/>
      <c r="R167" s="500"/>
      <c r="S167" s="498"/>
      <c r="T167" s="496"/>
      <c r="U167" s="498"/>
      <c r="V167" s="496"/>
      <c r="W167" s="498"/>
      <c r="X167" s="500"/>
      <c r="Y167" s="498"/>
      <c r="Z167" s="500"/>
      <c r="AA167" s="500"/>
      <c r="AB167" s="500"/>
      <c r="AC167" s="501"/>
      <c r="AD167" s="500"/>
      <c r="AE167" s="501"/>
      <c r="AF167" s="500"/>
      <c r="AG167" s="501"/>
      <c r="AH167" s="500"/>
      <c r="AI167" s="498"/>
      <c r="AJ167" s="500"/>
      <c r="AK167" s="500"/>
      <c r="AL167" s="500"/>
      <c r="AM167" s="500"/>
      <c r="AN167" s="500"/>
      <c r="AO167" s="500"/>
      <c r="AP167" s="500"/>
      <c r="AQ167" s="500"/>
      <c r="AR167" s="500"/>
      <c r="AS167" s="500"/>
      <c r="AT167" s="500"/>
      <c r="AU167" s="498"/>
      <c r="AV167" s="500"/>
      <c r="AW167" s="500"/>
      <c r="AX167" s="500"/>
      <c r="AY167" s="500"/>
      <c r="AZ167" s="500"/>
      <c r="BA167" s="500"/>
      <c r="BB167" s="500"/>
      <c r="BC167" s="500"/>
      <c r="BD167" s="500"/>
      <c r="BE167" s="500"/>
      <c r="BF167" s="500"/>
      <c r="BG167" s="500"/>
      <c r="BH167" s="500"/>
      <c r="BI167" s="500"/>
      <c r="BJ167" s="500"/>
      <c r="BK167" s="500"/>
      <c r="BL167" s="500"/>
      <c r="BM167" s="500"/>
      <c r="BN167" s="500"/>
      <c r="BO167" s="500"/>
      <c r="BP167" s="500"/>
      <c r="BQ167" s="498"/>
      <c r="BR167" s="498"/>
      <c r="BS167" s="498"/>
      <c r="BT167" s="498"/>
      <c r="BU167" s="498"/>
      <c r="BV167" s="500"/>
      <c r="BW167" s="498"/>
      <c r="BX167" s="498"/>
      <c r="BY167" s="498"/>
      <c r="BZ167" s="498"/>
      <c r="CA167" s="498"/>
      <c r="CB167" s="498"/>
      <c r="CC167" s="498"/>
      <c r="CD167" s="498"/>
      <c r="CE167" s="498"/>
      <c r="CF167" s="498"/>
      <c r="CG167" s="502"/>
      <c r="CH167" s="503"/>
      <c r="CI167" s="502"/>
      <c r="CJ167" s="502"/>
      <c r="CK167" s="502"/>
      <c r="CL167" s="500"/>
      <c r="CM167" s="500"/>
      <c r="CN167" s="500"/>
      <c r="CO167" s="500"/>
    </row>
    <row r="168">
      <c r="A168" s="496"/>
      <c r="B168" s="496"/>
      <c r="C168" s="496"/>
      <c r="D168" s="497"/>
      <c r="E168" s="498"/>
      <c r="F168" s="498"/>
      <c r="G168" s="499"/>
      <c r="H168" s="499"/>
      <c r="I168" s="498"/>
      <c r="J168" s="500"/>
      <c r="K168" s="496"/>
      <c r="L168" s="500"/>
      <c r="M168" s="496"/>
      <c r="N168" s="500"/>
      <c r="O168" s="496"/>
      <c r="P168" s="500"/>
      <c r="Q168" s="498"/>
      <c r="R168" s="500"/>
      <c r="S168" s="498"/>
      <c r="T168" s="496"/>
      <c r="U168" s="498"/>
      <c r="V168" s="496"/>
      <c r="W168" s="498"/>
      <c r="X168" s="500"/>
      <c r="Y168" s="498"/>
      <c r="Z168" s="500"/>
      <c r="AA168" s="500"/>
      <c r="AB168" s="500"/>
      <c r="AC168" s="501"/>
      <c r="AD168" s="500"/>
      <c r="AE168" s="501"/>
      <c r="AF168" s="500"/>
      <c r="AG168" s="501"/>
      <c r="AH168" s="500"/>
      <c r="AI168" s="498"/>
      <c r="AJ168" s="500"/>
      <c r="AK168" s="500"/>
      <c r="AL168" s="500"/>
      <c r="AM168" s="500"/>
      <c r="AN168" s="500"/>
      <c r="AO168" s="500"/>
      <c r="AP168" s="500"/>
      <c r="AQ168" s="500"/>
      <c r="AR168" s="500"/>
      <c r="AS168" s="500"/>
      <c r="AT168" s="500"/>
      <c r="AU168" s="498"/>
      <c r="AV168" s="500"/>
      <c r="AW168" s="500"/>
      <c r="AX168" s="500"/>
      <c r="AY168" s="500"/>
      <c r="AZ168" s="500"/>
      <c r="BA168" s="500"/>
      <c r="BB168" s="500"/>
      <c r="BC168" s="500"/>
      <c r="BD168" s="500"/>
      <c r="BE168" s="500"/>
      <c r="BF168" s="500"/>
      <c r="BG168" s="500"/>
      <c r="BH168" s="500"/>
      <c r="BI168" s="500"/>
      <c r="BJ168" s="500"/>
      <c r="BK168" s="500"/>
      <c r="BL168" s="500"/>
      <c r="BM168" s="500"/>
      <c r="BN168" s="500"/>
      <c r="BO168" s="500"/>
      <c r="BP168" s="500"/>
      <c r="BQ168" s="498"/>
      <c r="BR168" s="498"/>
      <c r="BS168" s="498"/>
      <c r="BT168" s="498"/>
      <c r="BU168" s="498"/>
      <c r="BV168" s="500"/>
      <c r="BW168" s="498"/>
      <c r="BX168" s="498"/>
      <c r="BY168" s="498"/>
      <c r="BZ168" s="498"/>
      <c r="CA168" s="498"/>
      <c r="CB168" s="498"/>
      <c r="CC168" s="498"/>
      <c r="CD168" s="498"/>
      <c r="CE168" s="498"/>
      <c r="CF168" s="498"/>
      <c r="CG168" s="502"/>
      <c r="CH168" s="503"/>
      <c r="CI168" s="502"/>
      <c r="CJ168" s="502"/>
      <c r="CK168" s="502"/>
      <c r="CL168" s="500"/>
      <c r="CM168" s="500"/>
      <c r="CN168" s="500"/>
      <c r="CO168" s="500"/>
    </row>
    <row r="169">
      <c r="A169" s="496"/>
      <c r="B169" s="496"/>
      <c r="C169" s="496"/>
      <c r="D169" s="497"/>
      <c r="E169" s="498"/>
      <c r="F169" s="498"/>
      <c r="G169" s="499"/>
      <c r="H169" s="499"/>
      <c r="I169" s="498"/>
      <c r="J169" s="500"/>
      <c r="K169" s="496"/>
      <c r="L169" s="500"/>
      <c r="M169" s="496"/>
      <c r="N169" s="500"/>
      <c r="O169" s="496"/>
      <c r="P169" s="500"/>
      <c r="Q169" s="498"/>
      <c r="R169" s="500"/>
      <c r="S169" s="498"/>
      <c r="T169" s="496"/>
      <c r="U169" s="498"/>
      <c r="V169" s="496"/>
      <c r="W169" s="498"/>
      <c r="X169" s="500"/>
      <c r="Y169" s="498"/>
      <c r="Z169" s="500"/>
      <c r="AA169" s="500"/>
      <c r="AB169" s="500"/>
      <c r="AC169" s="501"/>
      <c r="AD169" s="500"/>
      <c r="AE169" s="501"/>
      <c r="AF169" s="500"/>
      <c r="AG169" s="501"/>
      <c r="AH169" s="500"/>
      <c r="AI169" s="498"/>
      <c r="AJ169" s="500"/>
      <c r="AK169" s="500"/>
      <c r="AL169" s="500"/>
      <c r="AM169" s="500"/>
      <c r="AN169" s="500"/>
      <c r="AO169" s="500"/>
      <c r="AP169" s="500"/>
      <c r="AQ169" s="500"/>
      <c r="AR169" s="500"/>
      <c r="AS169" s="500"/>
      <c r="AT169" s="500"/>
      <c r="AU169" s="498"/>
      <c r="AV169" s="500"/>
      <c r="AW169" s="500"/>
      <c r="AX169" s="500"/>
      <c r="AY169" s="500"/>
      <c r="AZ169" s="500"/>
      <c r="BA169" s="500"/>
      <c r="BB169" s="500"/>
      <c r="BC169" s="500"/>
      <c r="BD169" s="500"/>
      <c r="BE169" s="500"/>
      <c r="BF169" s="500"/>
      <c r="BG169" s="500"/>
      <c r="BH169" s="500"/>
      <c r="BI169" s="500"/>
      <c r="BJ169" s="500"/>
      <c r="BK169" s="500"/>
      <c r="BL169" s="500"/>
      <c r="BM169" s="500"/>
      <c r="BN169" s="500"/>
      <c r="BO169" s="500"/>
      <c r="BP169" s="500"/>
      <c r="BQ169" s="498"/>
      <c r="BR169" s="498"/>
      <c r="BS169" s="498"/>
      <c r="BT169" s="498"/>
      <c r="BU169" s="498"/>
      <c r="BV169" s="500"/>
      <c r="BW169" s="498"/>
      <c r="BX169" s="498"/>
      <c r="BY169" s="498"/>
      <c r="BZ169" s="498"/>
      <c r="CA169" s="498"/>
      <c r="CB169" s="498"/>
      <c r="CC169" s="498"/>
      <c r="CD169" s="498"/>
      <c r="CE169" s="498"/>
      <c r="CF169" s="498"/>
      <c r="CG169" s="502"/>
      <c r="CH169" s="503"/>
      <c r="CI169" s="502"/>
      <c r="CJ169" s="502"/>
      <c r="CK169" s="502"/>
      <c r="CL169" s="500"/>
      <c r="CM169" s="500"/>
      <c r="CN169" s="500"/>
      <c r="CO169" s="500"/>
    </row>
    <row r="170">
      <c r="A170" s="496"/>
      <c r="B170" s="496"/>
      <c r="C170" s="496"/>
      <c r="D170" s="497"/>
      <c r="E170" s="498"/>
      <c r="F170" s="498"/>
      <c r="G170" s="499"/>
      <c r="H170" s="499"/>
      <c r="I170" s="498"/>
      <c r="J170" s="500"/>
      <c r="K170" s="496"/>
      <c r="L170" s="500"/>
      <c r="M170" s="496"/>
      <c r="N170" s="500"/>
      <c r="O170" s="496"/>
      <c r="P170" s="500"/>
      <c r="Q170" s="498"/>
      <c r="R170" s="500"/>
      <c r="S170" s="498"/>
      <c r="T170" s="496"/>
      <c r="U170" s="498"/>
      <c r="V170" s="496"/>
      <c r="W170" s="498"/>
      <c r="X170" s="500"/>
      <c r="Y170" s="498"/>
      <c r="Z170" s="500"/>
      <c r="AA170" s="500"/>
      <c r="AB170" s="500"/>
      <c r="AC170" s="501"/>
      <c r="AD170" s="500"/>
      <c r="AE170" s="501"/>
      <c r="AF170" s="500"/>
      <c r="AG170" s="501"/>
      <c r="AH170" s="500"/>
      <c r="AI170" s="498"/>
      <c r="AJ170" s="500"/>
      <c r="AK170" s="500"/>
      <c r="AL170" s="500"/>
      <c r="AM170" s="500"/>
      <c r="AN170" s="500"/>
      <c r="AO170" s="500"/>
      <c r="AP170" s="500"/>
      <c r="AQ170" s="500"/>
      <c r="AR170" s="500"/>
      <c r="AS170" s="500"/>
      <c r="AT170" s="500"/>
      <c r="AU170" s="498"/>
      <c r="AV170" s="500"/>
      <c r="AW170" s="500"/>
      <c r="AX170" s="500"/>
      <c r="AY170" s="500"/>
      <c r="AZ170" s="500"/>
      <c r="BA170" s="500"/>
      <c r="BB170" s="500"/>
      <c r="BC170" s="500"/>
      <c r="BD170" s="500"/>
      <c r="BE170" s="500"/>
      <c r="BF170" s="500"/>
      <c r="BG170" s="500"/>
      <c r="BH170" s="500"/>
      <c r="BI170" s="500"/>
      <c r="BJ170" s="500"/>
      <c r="BK170" s="500"/>
      <c r="BL170" s="500"/>
      <c r="BM170" s="500"/>
      <c r="BN170" s="500"/>
      <c r="BO170" s="500"/>
      <c r="BP170" s="500"/>
      <c r="BQ170" s="498"/>
      <c r="BR170" s="498"/>
      <c r="BS170" s="498"/>
      <c r="BT170" s="498"/>
      <c r="BU170" s="498"/>
      <c r="BV170" s="500"/>
      <c r="BW170" s="498"/>
      <c r="BX170" s="498"/>
      <c r="BY170" s="498"/>
      <c r="BZ170" s="498"/>
      <c r="CA170" s="498"/>
      <c r="CB170" s="498"/>
      <c r="CC170" s="498"/>
      <c r="CD170" s="498"/>
      <c r="CE170" s="498"/>
      <c r="CF170" s="498"/>
      <c r="CG170" s="502"/>
      <c r="CH170" s="503"/>
      <c r="CI170" s="502"/>
      <c r="CJ170" s="502"/>
      <c r="CK170" s="502"/>
      <c r="CL170" s="500"/>
      <c r="CM170" s="500"/>
      <c r="CN170" s="500"/>
      <c r="CO170" s="500"/>
    </row>
    <row r="171">
      <c r="A171" s="496"/>
      <c r="B171" s="496"/>
      <c r="C171" s="496"/>
      <c r="D171" s="497"/>
      <c r="E171" s="498"/>
      <c r="F171" s="498"/>
      <c r="G171" s="499"/>
      <c r="H171" s="499"/>
      <c r="I171" s="498"/>
      <c r="J171" s="500"/>
      <c r="K171" s="496"/>
      <c r="L171" s="500"/>
      <c r="M171" s="496"/>
      <c r="N171" s="500"/>
      <c r="O171" s="496"/>
      <c r="P171" s="500"/>
      <c r="Q171" s="498"/>
      <c r="R171" s="500"/>
      <c r="S171" s="498"/>
      <c r="T171" s="496"/>
      <c r="U171" s="498"/>
      <c r="V171" s="496"/>
      <c r="W171" s="498"/>
      <c r="X171" s="500"/>
      <c r="Y171" s="498"/>
      <c r="Z171" s="500"/>
      <c r="AA171" s="500"/>
      <c r="AB171" s="500"/>
      <c r="AC171" s="501"/>
      <c r="AD171" s="500"/>
      <c r="AE171" s="501"/>
      <c r="AF171" s="500"/>
      <c r="AG171" s="501"/>
      <c r="AH171" s="500"/>
      <c r="AI171" s="498"/>
      <c r="AJ171" s="500"/>
      <c r="AK171" s="500"/>
      <c r="AL171" s="500"/>
      <c r="AM171" s="500"/>
      <c r="AN171" s="500"/>
      <c r="AO171" s="500"/>
      <c r="AP171" s="500"/>
      <c r="AQ171" s="500"/>
      <c r="AR171" s="500"/>
      <c r="AS171" s="500"/>
      <c r="AT171" s="500"/>
      <c r="AU171" s="498"/>
      <c r="AV171" s="500"/>
      <c r="AW171" s="500"/>
      <c r="AX171" s="500"/>
      <c r="AY171" s="500"/>
      <c r="AZ171" s="500"/>
      <c r="BA171" s="500"/>
      <c r="BB171" s="500"/>
      <c r="BC171" s="500"/>
      <c r="BD171" s="500"/>
      <c r="BE171" s="500"/>
      <c r="BF171" s="500"/>
      <c r="BG171" s="500"/>
      <c r="BH171" s="500"/>
      <c r="BI171" s="500"/>
      <c r="BJ171" s="500"/>
      <c r="BK171" s="500"/>
      <c r="BL171" s="500"/>
      <c r="BM171" s="500"/>
      <c r="BN171" s="500"/>
      <c r="BO171" s="500"/>
      <c r="BP171" s="500"/>
      <c r="BQ171" s="498"/>
      <c r="BR171" s="498"/>
      <c r="BS171" s="498"/>
      <c r="BT171" s="498"/>
      <c r="BU171" s="498"/>
      <c r="BV171" s="500"/>
      <c r="BW171" s="498"/>
      <c r="BX171" s="498"/>
      <c r="BY171" s="498"/>
      <c r="BZ171" s="498"/>
      <c r="CA171" s="498"/>
      <c r="CB171" s="498"/>
      <c r="CC171" s="498"/>
      <c r="CD171" s="498"/>
      <c r="CE171" s="498"/>
      <c r="CF171" s="498"/>
      <c r="CG171" s="502"/>
      <c r="CH171" s="503"/>
      <c r="CI171" s="502"/>
      <c r="CJ171" s="502"/>
      <c r="CK171" s="502"/>
      <c r="CL171" s="500"/>
      <c r="CM171" s="500"/>
      <c r="CN171" s="500"/>
      <c r="CO171" s="500"/>
    </row>
    <row r="172">
      <c r="A172" s="496"/>
      <c r="B172" s="496"/>
      <c r="C172" s="496"/>
      <c r="D172" s="497"/>
      <c r="E172" s="498"/>
      <c r="F172" s="498"/>
      <c r="G172" s="499"/>
      <c r="H172" s="499"/>
      <c r="I172" s="498"/>
      <c r="J172" s="500"/>
      <c r="K172" s="496"/>
      <c r="L172" s="500"/>
      <c r="M172" s="496"/>
      <c r="N172" s="500"/>
      <c r="O172" s="496"/>
      <c r="P172" s="500"/>
      <c r="Q172" s="498"/>
      <c r="R172" s="500"/>
      <c r="S172" s="498"/>
      <c r="T172" s="496"/>
      <c r="U172" s="498"/>
      <c r="V172" s="496"/>
      <c r="W172" s="498"/>
      <c r="X172" s="500"/>
      <c r="Y172" s="498"/>
      <c r="Z172" s="500"/>
      <c r="AA172" s="500"/>
      <c r="AB172" s="500"/>
      <c r="AC172" s="501"/>
      <c r="AD172" s="500"/>
      <c r="AE172" s="501"/>
      <c r="AF172" s="500"/>
      <c r="AG172" s="501"/>
      <c r="AH172" s="500"/>
      <c r="AI172" s="498"/>
      <c r="AJ172" s="500"/>
      <c r="AK172" s="500"/>
      <c r="AL172" s="500"/>
      <c r="AM172" s="500"/>
      <c r="AN172" s="500"/>
      <c r="AO172" s="500"/>
      <c r="AP172" s="500"/>
      <c r="AQ172" s="500"/>
      <c r="AR172" s="500"/>
      <c r="AS172" s="500"/>
      <c r="AT172" s="500"/>
      <c r="AU172" s="498"/>
      <c r="AV172" s="500"/>
      <c r="AW172" s="500"/>
      <c r="AX172" s="500"/>
      <c r="AY172" s="500"/>
      <c r="AZ172" s="500"/>
      <c r="BA172" s="500"/>
      <c r="BB172" s="500"/>
      <c r="BC172" s="500"/>
      <c r="BD172" s="500"/>
      <c r="BE172" s="500"/>
      <c r="BF172" s="500"/>
      <c r="BG172" s="500"/>
      <c r="BH172" s="500"/>
      <c r="BI172" s="500"/>
      <c r="BJ172" s="500"/>
      <c r="BK172" s="500"/>
      <c r="BL172" s="500"/>
      <c r="BM172" s="500"/>
      <c r="BN172" s="500"/>
      <c r="BO172" s="500"/>
      <c r="BP172" s="500"/>
      <c r="BQ172" s="498"/>
      <c r="BR172" s="498"/>
      <c r="BS172" s="498"/>
      <c r="BT172" s="498"/>
      <c r="BU172" s="498"/>
      <c r="BV172" s="500"/>
      <c r="BW172" s="498"/>
      <c r="BX172" s="498"/>
      <c r="BY172" s="498"/>
      <c r="BZ172" s="498"/>
      <c r="CA172" s="498"/>
      <c r="CB172" s="498"/>
      <c r="CC172" s="498"/>
      <c r="CD172" s="498"/>
      <c r="CE172" s="498"/>
      <c r="CF172" s="498"/>
      <c r="CG172" s="502"/>
      <c r="CH172" s="503"/>
      <c r="CI172" s="502"/>
      <c r="CJ172" s="502"/>
      <c r="CK172" s="502"/>
      <c r="CL172" s="500"/>
      <c r="CM172" s="500"/>
      <c r="CN172" s="500"/>
      <c r="CO172" s="500"/>
    </row>
    <row r="173">
      <c r="A173" s="496"/>
      <c r="B173" s="496"/>
      <c r="C173" s="496"/>
      <c r="D173" s="497"/>
      <c r="E173" s="498"/>
      <c r="F173" s="498"/>
      <c r="G173" s="499"/>
      <c r="H173" s="499"/>
      <c r="I173" s="498"/>
      <c r="J173" s="500"/>
      <c r="K173" s="496"/>
      <c r="L173" s="500"/>
      <c r="M173" s="496"/>
      <c r="N173" s="500"/>
      <c r="O173" s="496"/>
      <c r="P173" s="500"/>
      <c r="Q173" s="498"/>
      <c r="R173" s="500"/>
      <c r="S173" s="498"/>
      <c r="T173" s="496"/>
      <c r="U173" s="498"/>
      <c r="V173" s="496"/>
      <c r="W173" s="498"/>
      <c r="X173" s="500"/>
      <c r="Y173" s="498"/>
      <c r="Z173" s="500"/>
      <c r="AA173" s="500"/>
      <c r="AB173" s="500"/>
      <c r="AC173" s="501"/>
      <c r="AD173" s="500"/>
      <c r="AE173" s="501"/>
      <c r="AF173" s="500"/>
      <c r="AG173" s="501"/>
      <c r="AH173" s="500"/>
      <c r="AI173" s="498"/>
      <c r="AJ173" s="500"/>
      <c r="AK173" s="500"/>
      <c r="AL173" s="500"/>
      <c r="AM173" s="500"/>
      <c r="AN173" s="500"/>
      <c r="AO173" s="500"/>
      <c r="AP173" s="500"/>
      <c r="AQ173" s="500"/>
      <c r="AR173" s="500"/>
      <c r="AS173" s="500"/>
      <c r="AT173" s="500"/>
      <c r="AU173" s="498"/>
      <c r="AV173" s="500"/>
      <c r="AW173" s="500"/>
      <c r="AX173" s="500"/>
      <c r="AY173" s="500"/>
      <c r="AZ173" s="500"/>
      <c r="BA173" s="500"/>
      <c r="BB173" s="500"/>
      <c r="BC173" s="500"/>
      <c r="BD173" s="500"/>
      <c r="BE173" s="500"/>
      <c r="BF173" s="500"/>
      <c r="BG173" s="500"/>
      <c r="BH173" s="500"/>
      <c r="BI173" s="500"/>
      <c r="BJ173" s="500"/>
      <c r="BK173" s="500"/>
      <c r="BL173" s="500"/>
      <c r="BM173" s="500"/>
      <c r="BN173" s="500"/>
      <c r="BO173" s="500"/>
      <c r="BP173" s="500"/>
      <c r="BQ173" s="498"/>
      <c r="BR173" s="498"/>
      <c r="BS173" s="498"/>
      <c r="BT173" s="498"/>
      <c r="BU173" s="498"/>
      <c r="BV173" s="500"/>
      <c r="BW173" s="498"/>
      <c r="BX173" s="498"/>
      <c r="BY173" s="498"/>
      <c r="BZ173" s="498"/>
      <c r="CA173" s="498"/>
      <c r="CB173" s="498"/>
      <c r="CC173" s="498"/>
      <c r="CD173" s="498"/>
      <c r="CE173" s="498"/>
      <c r="CF173" s="498"/>
      <c r="CG173" s="502"/>
      <c r="CH173" s="503"/>
      <c r="CI173" s="502"/>
      <c r="CJ173" s="502"/>
      <c r="CK173" s="502"/>
      <c r="CL173" s="500"/>
      <c r="CM173" s="500"/>
      <c r="CN173" s="500"/>
      <c r="CO173" s="500"/>
    </row>
    <row r="174">
      <c r="A174" s="496"/>
      <c r="B174" s="496"/>
      <c r="C174" s="496"/>
      <c r="D174" s="497"/>
      <c r="E174" s="498"/>
      <c r="F174" s="498"/>
      <c r="G174" s="499"/>
      <c r="H174" s="499"/>
      <c r="I174" s="498"/>
      <c r="J174" s="500"/>
      <c r="K174" s="496"/>
      <c r="L174" s="500"/>
      <c r="M174" s="496"/>
      <c r="N174" s="500"/>
      <c r="O174" s="496"/>
      <c r="P174" s="500"/>
      <c r="Q174" s="498"/>
      <c r="R174" s="500"/>
      <c r="S174" s="498"/>
      <c r="T174" s="496"/>
      <c r="U174" s="498"/>
      <c r="V174" s="496"/>
      <c r="W174" s="498"/>
      <c r="X174" s="500"/>
      <c r="Y174" s="498"/>
      <c r="Z174" s="500"/>
      <c r="AA174" s="500"/>
      <c r="AB174" s="500"/>
      <c r="AC174" s="501"/>
      <c r="AD174" s="500"/>
      <c r="AE174" s="501"/>
      <c r="AF174" s="500"/>
      <c r="AG174" s="501"/>
      <c r="AH174" s="500"/>
      <c r="AI174" s="498"/>
      <c r="AJ174" s="500"/>
      <c r="AK174" s="500"/>
      <c r="AL174" s="500"/>
      <c r="AM174" s="500"/>
      <c r="AN174" s="500"/>
      <c r="AO174" s="500"/>
      <c r="AP174" s="500"/>
      <c r="AQ174" s="500"/>
      <c r="AR174" s="500"/>
      <c r="AS174" s="500"/>
      <c r="AT174" s="500"/>
      <c r="AU174" s="498"/>
      <c r="AV174" s="500"/>
      <c r="AW174" s="500"/>
      <c r="AX174" s="500"/>
      <c r="AY174" s="500"/>
      <c r="AZ174" s="500"/>
      <c r="BA174" s="500"/>
      <c r="BB174" s="500"/>
      <c r="BC174" s="500"/>
      <c r="BD174" s="500"/>
      <c r="BE174" s="500"/>
      <c r="BF174" s="500"/>
      <c r="BG174" s="500"/>
      <c r="BH174" s="500"/>
      <c r="BI174" s="500"/>
      <c r="BJ174" s="500"/>
      <c r="BK174" s="500"/>
      <c r="BL174" s="500"/>
      <c r="BM174" s="500"/>
      <c r="BN174" s="500"/>
      <c r="BO174" s="500"/>
      <c r="BP174" s="500"/>
      <c r="BQ174" s="498"/>
      <c r="BR174" s="498"/>
      <c r="BS174" s="498"/>
      <c r="BT174" s="498"/>
      <c r="BU174" s="498"/>
      <c r="BV174" s="500"/>
      <c r="BW174" s="498"/>
      <c r="BX174" s="498"/>
      <c r="BY174" s="498"/>
      <c r="BZ174" s="498"/>
      <c r="CA174" s="498"/>
      <c r="CB174" s="498"/>
      <c r="CC174" s="498"/>
      <c r="CD174" s="498"/>
      <c r="CE174" s="498"/>
      <c r="CF174" s="498"/>
      <c r="CG174" s="502"/>
      <c r="CH174" s="503"/>
      <c r="CI174" s="502"/>
      <c r="CJ174" s="502"/>
      <c r="CK174" s="502"/>
      <c r="CL174" s="500"/>
      <c r="CM174" s="500"/>
      <c r="CN174" s="500"/>
      <c r="CO174" s="500"/>
    </row>
    <row r="175">
      <c r="A175" s="496"/>
      <c r="B175" s="496"/>
      <c r="C175" s="496"/>
      <c r="D175" s="497"/>
      <c r="E175" s="498"/>
      <c r="F175" s="498"/>
      <c r="G175" s="499"/>
      <c r="H175" s="499"/>
      <c r="I175" s="498"/>
      <c r="J175" s="500"/>
      <c r="K175" s="496"/>
      <c r="L175" s="500"/>
      <c r="M175" s="496"/>
      <c r="N175" s="500"/>
      <c r="O175" s="496"/>
      <c r="P175" s="500"/>
      <c r="Q175" s="498"/>
      <c r="R175" s="500"/>
      <c r="S175" s="498"/>
      <c r="T175" s="496"/>
      <c r="U175" s="498"/>
      <c r="V175" s="496"/>
      <c r="W175" s="498"/>
      <c r="X175" s="500"/>
      <c r="Y175" s="498"/>
      <c r="Z175" s="500"/>
      <c r="AA175" s="500"/>
      <c r="AB175" s="500"/>
      <c r="AC175" s="501"/>
      <c r="AD175" s="500"/>
      <c r="AE175" s="501"/>
      <c r="AF175" s="500"/>
      <c r="AG175" s="501"/>
      <c r="AH175" s="500"/>
      <c r="AI175" s="498"/>
      <c r="AJ175" s="500"/>
      <c r="AK175" s="500"/>
      <c r="AL175" s="500"/>
      <c r="AM175" s="500"/>
      <c r="AN175" s="500"/>
      <c r="AO175" s="500"/>
      <c r="AP175" s="500"/>
      <c r="AQ175" s="500"/>
      <c r="AR175" s="500"/>
      <c r="AS175" s="500"/>
      <c r="AT175" s="500"/>
      <c r="AU175" s="498"/>
      <c r="AV175" s="500"/>
      <c r="AW175" s="500"/>
      <c r="AX175" s="500"/>
      <c r="AY175" s="500"/>
      <c r="AZ175" s="500"/>
      <c r="BA175" s="500"/>
      <c r="BB175" s="500"/>
      <c r="BC175" s="500"/>
      <c r="BD175" s="500"/>
      <c r="BE175" s="500"/>
      <c r="BF175" s="500"/>
      <c r="BG175" s="500"/>
      <c r="BH175" s="500"/>
      <c r="BI175" s="500"/>
      <c r="BJ175" s="500"/>
      <c r="BK175" s="500"/>
      <c r="BL175" s="500"/>
      <c r="BM175" s="500"/>
      <c r="BN175" s="500"/>
      <c r="BO175" s="500"/>
      <c r="BP175" s="500"/>
      <c r="BQ175" s="498"/>
      <c r="BR175" s="498"/>
      <c r="BS175" s="498"/>
      <c r="BT175" s="498"/>
      <c r="BU175" s="498"/>
      <c r="BV175" s="500"/>
      <c r="BW175" s="498"/>
      <c r="BX175" s="498"/>
      <c r="BY175" s="498"/>
      <c r="BZ175" s="498"/>
      <c r="CA175" s="498"/>
      <c r="CB175" s="498"/>
      <c r="CC175" s="498"/>
      <c r="CD175" s="498"/>
      <c r="CE175" s="498"/>
      <c r="CF175" s="498"/>
      <c r="CG175" s="502"/>
      <c r="CH175" s="503"/>
      <c r="CI175" s="502"/>
      <c r="CJ175" s="502"/>
      <c r="CK175" s="502"/>
      <c r="CL175" s="500"/>
      <c r="CM175" s="500"/>
      <c r="CN175" s="500"/>
      <c r="CO175" s="500"/>
    </row>
    <row r="176">
      <c r="A176" s="496"/>
      <c r="B176" s="496"/>
      <c r="C176" s="496"/>
      <c r="D176" s="497"/>
      <c r="E176" s="498"/>
      <c r="F176" s="498"/>
      <c r="G176" s="499"/>
      <c r="H176" s="499"/>
      <c r="I176" s="498"/>
      <c r="J176" s="500"/>
      <c r="K176" s="496"/>
      <c r="L176" s="500"/>
      <c r="M176" s="496"/>
      <c r="N176" s="500"/>
      <c r="O176" s="496"/>
      <c r="P176" s="500"/>
      <c r="Q176" s="498"/>
      <c r="R176" s="500"/>
      <c r="S176" s="498"/>
      <c r="T176" s="496"/>
      <c r="U176" s="498"/>
      <c r="V176" s="496"/>
      <c r="W176" s="498"/>
      <c r="X176" s="500"/>
      <c r="Y176" s="498"/>
      <c r="Z176" s="500"/>
      <c r="AA176" s="500"/>
      <c r="AB176" s="500"/>
      <c r="AC176" s="501"/>
      <c r="AD176" s="500"/>
      <c r="AE176" s="501"/>
      <c r="AF176" s="500"/>
      <c r="AG176" s="501"/>
      <c r="AH176" s="500"/>
      <c r="AI176" s="498"/>
      <c r="AJ176" s="500"/>
      <c r="AK176" s="500"/>
      <c r="AL176" s="500"/>
      <c r="AM176" s="500"/>
      <c r="AN176" s="500"/>
      <c r="AO176" s="500"/>
      <c r="AP176" s="500"/>
      <c r="AQ176" s="500"/>
      <c r="AR176" s="500"/>
      <c r="AS176" s="500"/>
      <c r="AT176" s="500"/>
      <c r="AU176" s="498"/>
      <c r="AV176" s="500"/>
      <c r="AW176" s="500"/>
      <c r="AX176" s="500"/>
      <c r="AY176" s="500"/>
      <c r="AZ176" s="500"/>
      <c r="BA176" s="500"/>
      <c r="BB176" s="500"/>
      <c r="BC176" s="500"/>
      <c r="BD176" s="500"/>
      <c r="BE176" s="500"/>
      <c r="BF176" s="500"/>
      <c r="BG176" s="500"/>
      <c r="BH176" s="500"/>
      <c r="BI176" s="500"/>
      <c r="BJ176" s="500"/>
      <c r="BK176" s="500"/>
      <c r="BL176" s="500"/>
      <c r="BM176" s="500"/>
      <c r="BN176" s="500"/>
      <c r="BO176" s="500"/>
      <c r="BP176" s="500"/>
      <c r="BQ176" s="498"/>
      <c r="BR176" s="498"/>
      <c r="BS176" s="498"/>
      <c r="BT176" s="498"/>
      <c r="BU176" s="498"/>
      <c r="BV176" s="500"/>
      <c r="BW176" s="498"/>
      <c r="BX176" s="498"/>
      <c r="BY176" s="498"/>
      <c r="BZ176" s="498"/>
      <c r="CA176" s="498"/>
      <c r="CB176" s="498"/>
      <c r="CC176" s="498"/>
      <c r="CD176" s="498"/>
      <c r="CE176" s="498"/>
      <c r="CF176" s="498"/>
      <c r="CG176" s="502"/>
      <c r="CH176" s="503"/>
      <c r="CI176" s="502"/>
      <c r="CJ176" s="502"/>
      <c r="CK176" s="502"/>
      <c r="CL176" s="500"/>
      <c r="CM176" s="500"/>
      <c r="CN176" s="500"/>
      <c r="CO176" s="500"/>
    </row>
    <row r="177">
      <c r="A177" s="496"/>
      <c r="B177" s="496"/>
      <c r="C177" s="496"/>
      <c r="D177" s="497"/>
      <c r="E177" s="498"/>
      <c r="F177" s="498"/>
      <c r="G177" s="499"/>
      <c r="H177" s="499"/>
      <c r="I177" s="498"/>
      <c r="J177" s="500"/>
      <c r="K177" s="496"/>
      <c r="L177" s="500"/>
      <c r="M177" s="496"/>
      <c r="N177" s="500"/>
      <c r="O177" s="496"/>
      <c r="P177" s="500"/>
      <c r="Q177" s="498"/>
      <c r="R177" s="500"/>
      <c r="S177" s="498"/>
      <c r="T177" s="496"/>
      <c r="U177" s="498"/>
      <c r="V177" s="496"/>
      <c r="W177" s="498"/>
      <c r="X177" s="500"/>
      <c r="Y177" s="498"/>
      <c r="Z177" s="500"/>
      <c r="AA177" s="500"/>
      <c r="AB177" s="500"/>
      <c r="AC177" s="501"/>
      <c r="AD177" s="500"/>
      <c r="AE177" s="501"/>
      <c r="AF177" s="500"/>
      <c r="AG177" s="501"/>
      <c r="AH177" s="500"/>
      <c r="AI177" s="498"/>
      <c r="AJ177" s="500"/>
      <c r="AK177" s="500"/>
      <c r="AL177" s="500"/>
      <c r="AM177" s="500"/>
      <c r="AN177" s="500"/>
      <c r="AO177" s="500"/>
      <c r="AP177" s="500"/>
      <c r="AQ177" s="500"/>
      <c r="AR177" s="500"/>
      <c r="AS177" s="500"/>
      <c r="AT177" s="500"/>
      <c r="AU177" s="498"/>
      <c r="AV177" s="500"/>
      <c r="AW177" s="500"/>
      <c r="AX177" s="500"/>
      <c r="AY177" s="500"/>
      <c r="AZ177" s="500"/>
      <c r="BA177" s="500"/>
      <c r="BB177" s="500"/>
      <c r="BC177" s="500"/>
      <c r="BD177" s="500"/>
      <c r="BE177" s="500"/>
      <c r="BF177" s="500"/>
      <c r="BG177" s="500"/>
      <c r="BH177" s="500"/>
      <c r="BI177" s="500"/>
      <c r="BJ177" s="500"/>
      <c r="BK177" s="500"/>
      <c r="BL177" s="500"/>
      <c r="BM177" s="500"/>
      <c r="BN177" s="500"/>
      <c r="BO177" s="500"/>
      <c r="BP177" s="500"/>
      <c r="BQ177" s="498"/>
      <c r="BR177" s="498"/>
      <c r="BS177" s="498"/>
      <c r="BT177" s="498"/>
      <c r="BU177" s="498"/>
      <c r="BV177" s="500"/>
      <c r="BW177" s="498"/>
      <c r="BX177" s="498"/>
      <c r="BY177" s="498"/>
      <c r="BZ177" s="498"/>
      <c r="CA177" s="498"/>
      <c r="CB177" s="498"/>
      <c r="CC177" s="498"/>
      <c r="CD177" s="498"/>
      <c r="CE177" s="498"/>
      <c r="CF177" s="498"/>
      <c r="CG177" s="502"/>
      <c r="CH177" s="503"/>
      <c r="CI177" s="502"/>
      <c r="CJ177" s="502"/>
      <c r="CK177" s="502"/>
      <c r="CL177" s="500"/>
      <c r="CM177" s="500"/>
      <c r="CN177" s="500"/>
      <c r="CO177" s="500"/>
    </row>
    <row r="178">
      <c r="A178" s="496"/>
      <c r="B178" s="496"/>
      <c r="C178" s="496"/>
      <c r="D178" s="497"/>
      <c r="E178" s="498"/>
      <c r="F178" s="498"/>
      <c r="G178" s="499"/>
      <c r="H178" s="499"/>
      <c r="I178" s="498"/>
      <c r="J178" s="500"/>
      <c r="K178" s="496"/>
      <c r="L178" s="500"/>
      <c r="M178" s="496"/>
      <c r="N178" s="500"/>
      <c r="O178" s="496"/>
      <c r="P178" s="500"/>
      <c r="Q178" s="498"/>
      <c r="R178" s="500"/>
      <c r="S178" s="498"/>
      <c r="T178" s="496"/>
      <c r="U178" s="498"/>
      <c r="V178" s="496"/>
      <c r="W178" s="498"/>
      <c r="X178" s="500"/>
      <c r="Y178" s="498"/>
      <c r="Z178" s="500"/>
      <c r="AA178" s="500"/>
      <c r="AB178" s="500"/>
      <c r="AC178" s="501"/>
      <c r="AD178" s="500"/>
      <c r="AE178" s="501"/>
      <c r="AF178" s="500"/>
      <c r="AG178" s="501"/>
      <c r="AH178" s="500"/>
      <c r="AI178" s="498"/>
      <c r="AJ178" s="500"/>
      <c r="AK178" s="500"/>
      <c r="AL178" s="500"/>
      <c r="AM178" s="500"/>
      <c r="AN178" s="500"/>
      <c r="AO178" s="500"/>
      <c r="AP178" s="500"/>
      <c r="AQ178" s="500"/>
      <c r="AR178" s="500"/>
      <c r="AS178" s="500"/>
      <c r="AT178" s="500"/>
      <c r="AU178" s="498"/>
      <c r="AV178" s="500"/>
      <c r="AW178" s="500"/>
      <c r="AX178" s="500"/>
      <c r="AY178" s="500"/>
      <c r="AZ178" s="500"/>
      <c r="BA178" s="500"/>
      <c r="BB178" s="500"/>
      <c r="BC178" s="500"/>
      <c r="BD178" s="500"/>
      <c r="BE178" s="500"/>
      <c r="BF178" s="500"/>
      <c r="BG178" s="500"/>
      <c r="BH178" s="500"/>
      <c r="BI178" s="500"/>
      <c r="BJ178" s="500"/>
      <c r="BK178" s="500"/>
      <c r="BL178" s="500"/>
      <c r="BM178" s="500"/>
      <c r="BN178" s="500"/>
      <c r="BO178" s="500"/>
      <c r="BP178" s="500"/>
      <c r="BQ178" s="498"/>
      <c r="BR178" s="498"/>
      <c r="BS178" s="498"/>
      <c r="BT178" s="498"/>
      <c r="BU178" s="498"/>
      <c r="BV178" s="500"/>
      <c r="BW178" s="498"/>
      <c r="BX178" s="498"/>
      <c r="BY178" s="498"/>
      <c r="BZ178" s="498"/>
      <c r="CA178" s="498"/>
      <c r="CB178" s="498"/>
      <c r="CC178" s="498"/>
      <c r="CD178" s="498"/>
      <c r="CE178" s="498"/>
      <c r="CF178" s="498"/>
      <c r="CG178" s="502"/>
      <c r="CH178" s="503"/>
      <c r="CI178" s="502"/>
      <c r="CJ178" s="502"/>
      <c r="CK178" s="502"/>
      <c r="CL178" s="500"/>
      <c r="CM178" s="500"/>
      <c r="CN178" s="500"/>
      <c r="CO178" s="500"/>
    </row>
    <row r="179">
      <c r="A179" s="496"/>
      <c r="B179" s="496"/>
      <c r="C179" s="496"/>
      <c r="D179" s="497"/>
      <c r="E179" s="498"/>
      <c r="F179" s="498"/>
      <c r="G179" s="499"/>
      <c r="H179" s="499"/>
      <c r="I179" s="498"/>
      <c r="J179" s="500"/>
      <c r="K179" s="496"/>
      <c r="L179" s="500"/>
      <c r="M179" s="496"/>
      <c r="N179" s="500"/>
      <c r="O179" s="496"/>
      <c r="P179" s="500"/>
      <c r="Q179" s="498"/>
      <c r="R179" s="500"/>
      <c r="S179" s="498"/>
      <c r="T179" s="496"/>
      <c r="U179" s="498"/>
      <c r="V179" s="496"/>
      <c r="W179" s="498"/>
      <c r="X179" s="500"/>
      <c r="Y179" s="498"/>
      <c r="Z179" s="500"/>
      <c r="AA179" s="500"/>
      <c r="AB179" s="500"/>
      <c r="AC179" s="501"/>
      <c r="AD179" s="500"/>
      <c r="AE179" s="501"/>
      <c r="AF179" s="500"/>
      <c r="AG179" s="501"/>
      <c r="AH179" s="500"/>
      <c r="AI179" s="498"/>
      <c r="AJ179" s="500"/>
      <c r="AK179" s="500"/>
      <c r="AL179" s="500"/>
      <c r="AM179" s="500"/>
      <c r="AN179" s="500"/>
      <c r="AO179" s="500"/>
      <c r="AP179" s="500"/>
      <c r="AQ179" s="500"/>
      <c r="AR179" s="500"/>
      <c r="AS179" s="500"/>
      <c r="AT179" s="500"/>
      <c r="AU179" s="498"/>
      <c r="AV179" s="500"/>
      <c r="AW179" s="500"/>
      <c r="AX179" s="500"/>
      <c r="AY179" s="500"/>
      <c r="AZ179" s="500"/>
      <c r="BA179" s="500"/>
      <c r="BB179" s="500"/>
      <c r="BC179" s="500"/>
      <c r="BD179" s="500"/>
      <c r="BE179" s="500"/>
      <c r="BF179" s="500"/>
      <c r="BG179" s="500"/>
      <c r="BH179" s="500"/>
      <c r="BI179" s="500"/>
      <c r="BJ179" s="500"/>
      <c r="BK179" s="500"/>
      <c r="BL179" s="500"/>
      <c r="BM179" s="500"/>
      <c r="BN179" s="500"/>
      <c r="BO179" s="500"/>
      <c r="BP179" s="500"/>
      <c r="BQ179" s="498"/>
      <c r="BR179" s="498"/>
      <c r="BS179" s="498"/>
      <c r="BT179" s="498"/>
      <c r="BU179" s="498"/>
      <c r="BV179" s="500"/>
      <c r="BW179" s="498"/>
      <c r="BX179" s="498"/>
      <c r="BY179" s="498"/>
      <c r="BZ179" s="498"/>
      <c r="CA179" s="498"/>
      <c r="CB179" s="498"/>
      <c r="CC179" s="498"/>
      <c r="CD179" s="498"/>
      <c r="CE179" s="498"/>
      <c r="CF179" s="498"/>
      <c r="CG179" s="502"/>
      <c r="CH179" s="503"/>
      <c r="CI179" s="502"/>
      <c r="CJ179" s="502"/>
      <c r="CK179" s="502"/>
      <c r="CL179" s="500"/>
      <c r="CM179" s="500"/>
      <c r="CN179" s="500"/>
      <c r="CO179" s="500"/>
    </row>
    <row r="180">
      <c r="A180" s="496"/>
      <c r="B180" s="496"/>
      <c r="C180" s="496"/>
      <c r="D180" s="497"/>
      <c r="E180" s="498"/>
      <c r="F180" s="498"/>
      <c r="G180" s="499"/>
      <c r="H180" s="499"/>
      <c r="I180" s="498"/>
      <c r="J180" s="500"/>
      <c r="K180" s="496"/>
      <c r="L180" s="500"/>
      <c r="M180" s="496"/>
      <c r="N180" s="500"/>
      <c r="O180" s="496"/>
      <c r="P180" s="500"/>
      <c r="Q180" s="498"/>
      <c r="R180" s="500"/>
      <c r="S180" s="498"/>
      <c r="T180" s="496"/>
      <c r="U180" s="498"/>
      <c r="V180" s="496"/>
      <c r="W180" s="498"/>
      <c r="X180" s="500"/>
      <c r="Y180" s="498"/>
      <c r="Z180" s="500"/>
      <c r="AA180" s="500"/>
      <c r="AB180" s="500"/>
      <c r="AC180" s="501"/>
      <c r="AD180" s="500"/>
      <c r="AE180" s="501"/>
      <c r="AF180" s="500"/>
      <c r="AG180" s="501"/>
      <c r="AH180" s="500"/>
      <c r="AI180" s="498"/>
      <c r="AJ180" s="500"/>
      <c r="AK180" s="500"/>
      <c r="AL180" s="500"/>
      <c r="AM180" s="500"/>
      <c r="AN180" s="500"/>
      <c r="AO180" s="500"/>
      <c r="AP180" s="500"/>
      <c r="AQ180" s="500"/>
      <c r="AR180" s="500"/>
      <c r="AS180" s="500"/>
      <c r="AT180" s="500"/>
      <c r="AU180" s="498"/>
      <c r="AV180" s="500"/>
      <c r="AW180" s="500"/>
      <c r="AX180" s="500"/>
      <c r="AY180" s="500"/>
      <c r="AZ180" s="500"/>
      <c r="BA180" s="500"/>
      <c r="BB180" s="500"/>
      <c r="BC180" s="500"/>
      <c r="BD180" s="500"/>
      <c r="BE180" s="500"/>
      <c r="BF180" s="500"/>
      <c r="BG180" s="500"/>
      <c r="BH180" s="500"/>
      <c r="BI180" s="500"/>
      <c r="BJ180" s="500"/>
      <c r="BK180" s="500"/>
      <c r="BL180" s="500"/>
      <c r="BM180" s="500"/>
      <c r="BN180" s="500"/>
      <c r="BO180" s="500"/>
      <c r="BP180" s="500"/>
      <c r="BQ180" s="498"/>
      <c r="BR180" s="498"/>
      <c r="BS180" s="498"/>
      <c r="BT180" s="498"/>
      <c r="BU180" s="498"/>
      <c r="BV180" s="500"/>
      <c r="BW180" s="498"/>
      <c r="BX180" s="498"/>
      <c r="BY180" s="498"/>
      <c r="BZ180" s="498"/>
      <c r="CA180" s="498"/>
      <c r="CB180" s="498"/>
      <c r="CC180" s="498"/>
      <c r="CD180" s="498"/>
      <c r="CE180" s="498"/>
      <c r="CF180" s="498"/>
      <c r="CG180" s="502"/>
      <c r="CH180" s="503"/>
      <c r="CI180" s="502"/>
      <c r="CJ180" s="502"/>
      <c r="CK180" s="502"/>
      <c r="CL180" s="500"/>
      <c r="CM180" s="500"/>
      <c r="CN180" s="500"/>
      <c r="CO180" s="500"/>
    </row>
    <row r="181">
      <c r="A181" s="496"/>
      <c r="B181" s="496"/>
      <c r="C181" s="496"/>
      <c r="D181" s="497"/>
      <c r="E181" s="498"/>
      <c r="F181" s="498"/>
      <c r="G181" s="499"/>
      <c r="H181" s="499"/>
      <c r="I181" s="498"/>
      <c r="J181" s="500"/>
      <c r="K181" s="496"/>
      <c r="L181" s="500"/>
      <c r="M181" s="496"/>
      <c r="N181" s="500"/>
      <c r="O181" s="496"/>
      <c r="P181" s="500"/>
      <c r="Q181" s="498"/>
      <c r="R181" s="500"/>
      <c r="S181" s="498"/>
      <c r="T181" s="496"/>
      <c r="U181" s="498"/>
      <c r="V181" s="496"/>
      <c r="W181" s="498"/>
      <c r="X181" s="500"/>
      <c r="Y181" s="498"/>
      <c r="Z181" s="500"/>
      <c r="AA181" s="500"/>
      <c r="AB181" s="500"/>
      <c r="AC181" s="501"/>
      <c r="AD181" s="500"/>
      <c r="AE181" s="501"/>
      <c r="AF181" s="500"/>
      <c r="AG181" s="501"/>
      <c r="AH181" s="500"/>
      <c r="AI181" s="498"/>
      <c r="AJ181" s="500"/>
      <c r="AK181" s="500"/>
      <c r="AL181" s="500"/>
      <c r="AM181" s="500"/>
      <c r="AN181" s="500"/>
      <c r="AO181" s="500"/>
      <c r="AP181" s="500"/>
      <c r="AQ181" s="500"/>
      <c r="AR181" s="500"/>
      <c r="AS181" s="500"/>
      <c r="AT181" s="500"/>
      <c r="AU181" s="498"/>
      <c r="AV181" s="500"/>
      <c r="AW181" s="500"/>
      <c r="AX181" s="500"/>
      <c r="AY181" s="500"/>
      <c r="AZ181" s="500"/>
      <c r="BA181" s="500"/>
      <c r="BB181" s="500"/>
      <c r="BC181" s="500"/>
      <c r="BD181" s="500"/>
      <c r="BE181" s="500"/>
      <c r="BF181" s="500"/>
      <c r="BG181" s="500"/>
      <c r="BH181" s="500"/>
      <c r="BI181" s="500"/>
      <c r="BJ181" s="500"/>
      <c r="BK181" s="500"/>
      <c r="BL181" s="500"/>
      <c r="BM181" s="500"/>
      <c r="BN181" s="500"/>
      <c r="BO181" s="500"/>
      <c r="BP181" s="500"/>
      <c r="BQ181" s="498"/>
      <c r="BR181" s="498"/>
      <c r="BS181" s="498"/>
      <c r="BT181" s="498"/>
      <c r="BU181" s="498"/>
      <c r="BV181" s="500"/>
      <c r="BW181" s="498"/>
      <c r="BX181" s="498"/>
      <c r="BY181" s="498"/>
      <c r="BZ181" s="498"/>
      <c r="CA181" s="498"/>
      <c r="CB181" s="498"/>
      <c r="CC181" s="498"/>
      <c r="CD181" s="498"/>
      <c r="CE181" s="498"/>
      <c r="CF181" s="498"/>
      <c r="CG181" s="502"/>
      <c r="CH181" s="503"/>
      <c r="CI181" s="502"/>
      <c r="CJ181" s="502"/>
      <c r="CK181" s="502"/>
      <c r="CL181" s="500"/>
      <c r="CM181" s="500"/>
      <c r="CN181" s="500"/>
      <c r="CO181" s="500"/>
    </row>
    <row r="182">
      <c r="A182" s="496"/>
      <c r="B182" s="496"/>
      <c r="C182" s="496"/>
      <c r="D182" s="497"/>
      <c r="E182" s="498"/>
      <c r="F182" s="498"/>
      <c r="G182" s="499"/>
      <c r="H182" s="499"/>
      <c r="I182" s="498"/>
      <c r="J182" s="500"/>
      <c r="K182" s="496"/>
      <c r="L182" s="500"/>
      <c r="M182" s="496"/>
      <c r="N182" s="500"/>
      <c r="O182" s="496"/>
      <c r="P182" s="500"/>
      <c r="Q182" s="498"/>
      <c r="R182" s="500"/>
      <c r="S182" s="498"/>
      <c r="T182" s="496"/>
      <c r="U182" s="498"/>
      <c r="V182" s="496"/>
      <c r="W182" s="498"/>
      <c r="X182" s="500"/>
      <c r="Y182" s="498"/>
      <c r="Z182" s="500"/>
      <c r="AA182" s="500"/>
      <c r="AB182" s="500"/>
      <c r="AC182" s="501"/>
      <c r="AD182" s="500"/>
      <c r="AE182" s="501"/>
      <c r="AF182" s="500"/>
      <c r="AG182" s="501"/>
      <c r="AH182" s="500"/>
      <c r="AI182" s="498"/>
      <c r="AJ182" s="500"/>
      <c r="AK182" s="500"/>
      <c r="AL182" s="500"/>
      <c r="AM182" s="500"/>
      <c r="AN182" s="500"/>
      <c r="AO182" s="500"/>
      <c r="AP182" s="500"/>
      <c r="AQ182" s="500"/>
      <c r="AR182" s="500"/>
      <c r="AS182" s="500"/>
      <c r="AT182" s="500"/>
      <c r="AU182" s="498"/>
      <c r="AV182" s="500"/>
      <c r="AW182" s="500"/>
      <c r="AX182" s="500"/>
      <c r="AY182" s="500"/>
      <c r="AZ182" s="500"/>
      <c r="BA182" s="500"/>
      <c r="BB182" s="500"/>
      <c r="BC182" s="500"/>
      <c r="BD182" s="500"/>
      <c r="BE182" s="500"/>
      <c r="BF182" s="500"/>
      <c r="BG182" s="500"/>
      <c r="BH182" s="500"/>
      <c r="BI182" s="500"/>
      <c r="BJ182" s="500"/>
      <c r="BK182" s="500"/>
      <c r="BL182" s="500"/>
      <c r="BM182" s="500"/>
      <c r="BN182" s="500"/>
      <c r="BO182" s="500"/>
      <c r="BP182" s="500"/>
      <c r="BQ182" s="498"/>
      <c r="BR182" s="498"/>
      <c r="BS182" s="498"/>
      <c r="BT182" s="498"/>
      <c r="BU182" s="498"/>
      <c r="BV182" s="500"/>
      <c r="BW182" s="498"/>
      <c r="BX182" s="498"/>
      <c r="BY182" s="498"/>
      <c r="BZ182" s="498"/>
      <c r="CA182" s="498"/>
      <c r="CB182" s="498"/>
      <c r="CC182" s="498"/>
      <c r="CD182" s="498"/>
      <c r="CE182" s="498"/>
      <c r="CF182" s="498"/>
      <c r="CG182" s="502"/>
      <c r="CH182" s="503"/>
      <c r="CI182" s="502"/>
      <c r="CJ182" s="502"/>
      <c r="CK182" s="502"/>
      <c r="CL182" s="500"/>
      <c r="CM182" s="500"/>
      <c r="CN182" s="500"/>
      <c r="CO182" s="500"/>
    </row>
    <row r="183">
      <c r="A183" s="496"/>
      <c r="B183" s="496"/>
      <c r="C183" s="496"/>
      <c r="D183" s="497"/>
      <c r="E183" s="498"/>
      <c r="F183" s="498"/>
      <c r="G183" s="499"/>
      <c r="H183" s="499"/>
      <c r="I183" s="498"/>
      <c r="J183" s="500"/>
      <c r="K183" s="496"/>
      <c r="L183" s="500"/>
      <c r="M183" s="496"/>
      <c r="N183" s="500"/>
      <c r="O183" s="496"/>
      <c r="P183" s="500"/>
      <c r="Q183" s="498"/>
      <c r="R183" s="500"/>
      <c r="S183" s="498"/>
      <c r="T183" s="496"/>
      <c r="U183" s="498"/>
      <c r="V183" s="496"/>
      <c r="W183" s="498"/>
      <c r="X183" s="500"/>
      <c r="Y183" s="498"/>
      <c r="Z183" s="500"/>
      <c r="AA183" s="500"/>
      <c r="AB183" s="500"/>
      <c r="AC183" s="501"/>
      <c r="AD183" s="500"/>
      <c r="AE183" s="501"/>
      <c r="AF183" s="500"/>
      <c r="AG183" s="501"/>
      <c r="AH183" s="500"/>
      <c r="AI183" s="498"/>
      <c r="AJ183" s="500"/>
      <c r="AK183" s="500"/>
      <c r="AL183" s="500"/>
      <c r="AM183" s="500"/>
      <c r="AN183" s="500"/>
      <c r="AO183" s="500"/>
      <c r="AP183" s="500"/>
      <c r="AQ183" s="500"/>
      <c r="AR183" s="500"/>
      <c r="AS183" s="500"/>
      <c r="AT183" s="500"/>
      <c r="AU183" s="498"/>
      <c r="AV183" s="500"/>
      <c r="AW183" s="500"/>
      <c r="AX183" s="500"/>
      <c r="AY183" s="500"/>
      <c r="AZ183" s="500"/>
      <c r="BA183" s="500"/>
      <c r="BB183" s="500"/>
      <c r="BC183" s="500"/>
      <c r="BD183" s="500"/>
      <c r="BE183" s="500"/>
      <c r="BF183" s="500"/>
      <c r="BG183" s="500"/>
      <c r="BH183" s="500"/>
      <c r="BI183" s="500"/>
      <c r="BJ183" s="500"/>
      <c r="BK183" s="500"/>
      <c r="BL183" s="500"/>
      <c r="BM183" s="500"/>
      <c r="BN183" s="500"/>
      <c r="BO183" s="500"/>
      <c r="BP183" s="500"/>
      <c r="BQ183" s="498"/>
      <c r="BR183" s="498"/>
      <c r="BS183" s="498"/>
      <c r="BT183" s="498"/>
      <c r="BU183" s="498"/>
      <c r="BV183" s="500"/>
      <c r="BW183" s="498"/>
      <c r="BX183" s="498"/>
      <c r="BY183" s="498"/>
      <c r="BZ183" s="498"/>
      <c r="CA183" s="498"/>
      <c r="CB183" s="498"/>
      <c r="CC183" s="498"/>
      <c r="CD183" s="498"/>
      <c r="CE183" s="498"/>
      <c r="CF183" s="498"/>
      <c r="CG183" s="502"/>
      <c r="CH183" s="503"/>
      <c r="CI183" s="502"/>
      <c r="CJ183" s="502"/>
      <c r="CK183" s="502"/>
      <c r="CL183" s="500"/>
      <c r="CM183" s="500"/>
      <c r="CN183" s="500"/>
      <c r="CO183" s="500"/>
    </row>
    <row r="184">
      <c r="A184" s="496"/>
      <c r="B184" s="496"/>
      <c r="C184" s="496"/>
      <c r="D184" s="497"/>
      <c r="E184" s="498"/>
      <c r="F184" s="498"/>
      <c r="G184" s="499"/>
      <c r="H184" s="499"/>
      <c r="I184" s="498"/>
      <c r="J184" s="500"/>
      <c r="K184" s="496"/>
      <c r="L184" s="500"/>
      <c r="M184" s="496"/>
      <c r="N184" s="500"/>
      <c r="O184" s="496"/>
      <c r="P184" s="500"/>
      <c r="Q184" s="498"/>
      <c r="R184" s="500"/>
      <c r="S184" s="498"/>
      <c r="T184" s="496"/>
      <c r="U184" s="498"/>
      <c r="V184" s="496"/>
      <c r="W184" s="498"/>
      <c r="X184" s="500"/>
      <c r="Y184" s="498"/>
      <c r="Z184" s="500"/>
      <c r="AA184" s="500"/>
      <c r="AB184" s="500"/>
      <c r="AC184" s="501"/>
      <c r="AD184" s="500"/>
      <c r="AE184" s="501"/>
      <c r="AF184" s="500"/>
      <c r="AG184" s="501"/>
      <c r="AH184" s="500"/>
      <c r="AI184" s="498"/>
      <c r="AJ184" s="500"/>
      <c r="AK184" s="500"/>
      <c r="AL184" s="500"/>
      <c r="AM184" s="500"/>
      <c r="AN184" s="500"/>
      <c r="AO184" s="500"/>
      <c r="AP184" s="500"/>
      <c r="AQ184" s="500"/>
      <c r="AR184" s="500"/>
      <c r="AS184" s="500"/>
      <c r="AT184" s="500"/>
      <c r="AU184" s="498"/>
      <c r="AV184" s="500"/>
      <c r="AW184" s="500"/>
      <c r="AX184" s="500"/>
      <c r="AY184" s="500"/>
      <c r="AZ184" s="500"/>
      <c r="BA184" s="500"/>
      <c r="BB184" s="500"/>
      <c r="BC184" s="500"/>
      <c r="BD184" s="500"/>
      <c r="BE184" s="500"/>
      <c r="BF184" s="500"/>
      <c r="BG184" s="500"/>
      <c r="BH184" s="500"/>
      <c r="BI184" s="500"/>
      <c r="BJ184" s="500"/>
      <c r="BK184" s="500"/>
      <c r="BL184" s="500"/>
      <c r="BM184" s="500"/>
      <c r="BN184" s="500"/>
      <c r="BO184" s="500"/>
      <c r="BP184" s="500"/>
      <c r="BQ184" s="498"/>
      <c r="BR184" s="498"/>
      <c r="BS184" s="498"/>
      <c r="BT184" s="498"/>
      <c r="BU184" s="498"/>
      <c r="BV184" s="500"/>
      <c r="BW184" s="498"/>
      <c r="BX184" s="498"/>
      <c r="BY184" s="498"/>
      <c r="BZ184" s="498"/>
      <c r="CA184" s="498"/>
      <c r="CB184" s="498"/>
      <c r="CC184" s="498"/>
      <c r="CD184" s="498"/>
      <c r="CE184" s="498"/>
      <c r="CF184" s="498"/>
      <c r="CG184" s="502"/>
      <c r="CH184" s="503"/>
      <c r="CI184" s="502"/>
      <c r="CJ184" s="502"/>
      <c r="CK184" s="502"/>
      <c r="CL184" s="500"/>
      <c r="CM184" s="500"/>
      <c r="CN184" s="500"/>
      <c r="CO184" s="500"/>
    </row>
    <row r="185">
      <c r="A185" s="496"/>
      <c r="B185" s="496"/>
      <c r="C185" s="496"/>
      <c r="D185" s="497"/>
      <c r="E185" s="498"/>
      <c r="F185" s="498"/>
      <c r="G185" s="499"/>
      <c r="H185" s="499"/>
      <c r="I185" s="498"/>
      <c r="J185" s="500"/>
      <c r="K185" s="496"/>
      <c r="L185" s="500"/>
      <c r="M185" s="496"/>
      <c r="N185" s="500"/>
      <c r="O185" s="496"/>
      <c r="P185" s="500"/>
      <c r="Q185" s="498"/>
      <c r="R185" s="500"/>
      <c r="S185" s="498"/>
      <c r="T185" s="496"/>
      <c r="U185" s="498"/>
      <c r="V185" s="496"/>
      <c r="W185" s="498"/>
      <c r="X185" s="500"/>
      <c r="Y185" s="498"/>
      <c r="Z185" s="500"/>
      <c r="AA185" s="500"/>
      <c r="AB185" s="500"/>
      <c r="AC185" s="501"/>
      <c r="AD185" s="500"/>
      <c r="AE185" s="501"/>
      <c r="AF185" s="500"/>
      <c r="AG185" s="501"/>
      <c r="AH185" s="500"/>
      <c r="AI185" s="498"/>
      <c r="AJ185" s="500"/>
      <c r="AK185" s="500"/>
      <c r="AL185" s="500"/>
      <c r="AM185" s="500"/>
      <c r="AN185" s="500"/>
      <c r="AO185" s="500"/>
      <c r="AP185" s="500"/>
      <c r="AQ185" s="500"/>
      <c r="AR185" s="500"/>
      <c r="AS185" s="500"/>
      <c r="AT185" s="500"/>
      <c r="AU185" s="498"/>
      <c r="AV185" s="500"/>
      <c r="AW185" s="500"/>
      <c r="AX185" s="500"/>
      <c r="AY185" s="500"/>
      <c r="AZ185" s="500"/>
      <c r="BA185" s="500"/>
      <c r="BB185" s="500"/>
      <c r="BC185" s="500"/>
      <c r="BD185" s="500"/>
      <c r="BE185" s="500"/>
      <c r="BF185" s="500"/>
      <c r="BG185" s="500"/>
      <c r="BH185" s="500"/>
      <c r="BI185" s="500"/>
      <c r="BJ185" s="500"/>
      <c r="BK185" s="500"/>
      <c r="BL185" s="500"/>
      <c r="BM185" s="500"/>
      <c r="BN185" s="500"/>
      <c r="BO185" s="500"/>
      <c r="BP185" s="500"/>
      <c r="BQ185" s="498"/>
      <c r="BR185" s="498"/>
      <c r="BS185" s="498"/>
      <c r="BT185" s="498"/>
      <c r="BU185" s="498"/>
      <c r="BV185" s="500"/>
      <c r="BW185" s="498"/>
      <c r="BX185" s="498"/>
      <c r="BY185" s="498"/>
      <c r="BZ185" s="498"/>
      <c r="CA185" s="498"/>
      <c r="CB185" s="498"/>
      <c r="CC185" s="498"/>
      <c r="CD185" s="498"/>
      <c r="CE185" s="498"/>
      <c r="CF185" s="498"/>
      <c r="CG185" s="502"/>
      <c r="CH185" s="503"/>
      <c r="CI185" s="502"/>
      <c r="CJ185" s="502"/>
      <c r="CK185" s="502"/>
      <c r="CL185" s="500"/>
      <c r="CM185" s="500"/>
      <c r="CN185" s="500"/>
      <c r="CO185" s="500"/>
    </row>
    <row r="186">
      <c r="A186" s="496"/>
      <c r="B186" s="496"/>
      <c r="C186" s="496"/>
      <c r="D186" s="497"/>
      <c r="E186" s="498"/>
      <c r="F186" s="498"/>
      <c r="G186" s="499"/>
      <c r="H186" s="499"/>
      <c r="I186" s="498"/>
      <c r="J186" s="500"/>
      <c r="K186" s="496"/>
      <c r="L186" s="500"/>
      <c r="M186" s="496"/>
      <c r="N186" s="500"/>
      <c r="O186" s="496"/>
      <c r="P186" s="500"/>
      <c r="Q186" s="498"/>
      <c r="R186" s="500"/>
      <c r="S186" s="498"/>
      <c r="T186" s="496"/>
      <c r="U186" s="498"/>
      <c r="V186" s="496"/>
      <c r="W186" s="498"/>
      <c r="X186" s="500"/>
      <c r="Y186" s="498"/>
      <c r="Z186" s="500"/>
      <c r="AA186" s="500"/>
      <c r="AB186" s="500"/>
      <c r="AC186" s="501"/>
      <c r="AD186" s="500"/>
      <c r="AE186" s="501"/>
      <c r="AF186" s="500"/>
      <c r="AG186" s="501"/>
      <c r="AH186" s="500"/>
      <c r="AI186" s="498"/>
      <c r="AJ186" s="500"/>
      <c r="AK186" s="500"/>
      <c r="AL186" s="500"/>
      <c r="AM186" s="500"/>
      <c r="AN186" s="500"/>
      <c r="AO186" s="500"/>
      <c r="AP186" s="500"/>
      <c r="AQ186" s="500"/>
      <c r="AR186" s="500"/>
      <c r="AS186" s="500"/>
      <c r="AT186" s="500"/>
      <c r="AU186" s="498"/>
      <c r="AV186" s="500"/>
      <c r="AW186" s="500"/>
      <c r="AX186" s="500"/>
      <c r="AY186" s="500"/>
      <c r="AZ186" s="500"/>
      <c r="BA186" s="500"/>
      <c r="BB186" s="500"/>
      <c r="BC186" s="500"/>
      <c r="BD186" s="500"/>
      <c r="BE186" s="500"/>
      <c r="BF186" s="500"/>
      <c r="BG186" s="500"/>
      <c r="BH186" s="500"/>
      <c r="BI186" s="500"/>
      <c r="BJ186" s="500"/>
      <c r="BK186" s="500"/>
      <c r="BL186" s="500"/>
      <c r="BM186" s="500"/>
      <c r="BN186" s="500"/>
      <c r="BO186" s="500"/>
      <c r="BP186" s="500"/>
      <c r="BQ186" s="498"/>
      <c r="BR186" s="498"/>
      <c r="BS186" s="498"/>
      <c r="BT186" s="498"/>
      <c r="BU186" s="498"/>
      <c r="BV186" s="500"/>
      <c r="BW186" s="498"/>
      <c r="BX186" s="498"/>
      <c r="BY186" s="498"/>
      <c r="BZ186" s="498"/>
      <c r="CA186" s="498"/>
      <c r="CB186" s="498"/>
      <c r="CC186" s="498"/>
      <c r="CD186" s="498"/>
      <c r="CE186" s="498"/>
      <c r="CF186" s="498"/>
      <c r="CG186" s="502"/>
      <c r="CH186" s="503"/>
      <c r="CI186" s="502"/>
      <c r="CJ186" s="502"/>
      <c r="CK186" s="502"/>
      <c r="CL186" s="500"/>
      <c r="CM186" s="500"/>
      <c r="CN186" s="500"/>
      <c r="CO186" s="500"/>
    </row>
    <row r="187">
      <c r="A187" s="496"/>
      <c r="B187" s="496"/>
      <c r="C187" s="496"/>
      <c r="D187" s="497"/>
      <c r="E187" s="498"/>
      <c r="F187" s="498"/>
      <c r="G187" s="499"/>
      <c r="H187" s="499"/>
      <c r="I187" s="498"/>
      <c r="J187" s="500"/>
      <c r="K187" s="496"/>
      <c r="L187" s="500"/>
      <c r="M187" s="496"/>
      <c r="N187" s="500"/>
      <c r="O187" s="496"/>
      <c r="P187" s="500"/>
      <c r="Q187" s="498"/>
      <c r="R187" s="500"/>
      <c r="S187" s="498"/>
      <c r="T187" s="496"/>
      <c r="U187" s="498"/>
      <c r="V187" s="496"/>
      <c r="W187" s="498"/>
      <c r="X187" s="500"/>
      <c r="Y187" s="498"/>
      <c r="Z187" s="500"/>
      <c r="AA187" s="500"/>
      <c r="AB187" s="500"/>
      <c r="AC187" s="501"/>
      <c r="AD187" s="500"/>
      <c r="AE187" s="501"/>
      <c r="AF187" s="500"/>
      <c r="AG187" s="501"/>
      <c r="AH187" s="500"/>
      <c r="AI187" s="498"/>
      <c r="AJ187" s="500"/>
      <c r="AK187" s="500"/>
      <c r="AL187" s="500"/>
      <c r="AM187" s="500"/>
      <c r="AN187" s="500"/>
      <c r="AO187" s="500"/>
      <c r="AP187" s="500"/>
      <c r="AQ187" s="500"/>
      <c r="AR187" s="500"/>
      <c r="AS187" s="500"/>
      <c r="AT187" s="500"/>
      <c r="AU187" s="498"/>
      <c r="AV187" s="500"/>
      <c r="AW187" s="500"/>
      <c r="AX187" s="500"/>
      <c r="AY187" s="500"/>
      <c r="AZ187" s="500"/>
      <c r="BA187" s="500"/>
      <c r="BB187" s="500"/>
      <c r="BC187" s="500"/>
      <c r="BD187" s="500"/>
      <c r="BE187" s="500"/>
      <c r="BF187" s="500"/>
      <c r="BG187" s="500"/>
      <c r="BH187" s="500"/>
      <c r="BI187" s="500"/>
      <c r="BJ187" s="500"/>
      <c r="BK187" s="500"/>
      <c r="BL187" s="500"/>
      <c r="BM187" s="500"/>
      <c r="BN187" s="500"/>
      <c r="BO187" s="500"/>
      <c r="BP187" s="500"/>
      <c r="BQ187" s="498"/>
      <c r="BR187" s="498"/>
      <c r="BS187" s="498"/>
      <c r="BT187" s="498"/>
      <c r="BU187" s="498"/>
      <c r="BV187" s="500"/>
      <c r="BW187" s="498"/>
      <c r="BX187" s="498"/>
      <c r="BY187" s="498"/>
      <c r="BZ187" s="498"/>
      <c r="CA187" s="498"/>
      <c r="CB187" s="498"/>
      <c r="CC187" s="498"/>
      <c r="CD187" s="498"/>
      <c r="CE187" s="498"/>
      <c r="CF187" s="498"/>
      <c r="CG187" s="502"/>
      <c r="CH187" s="503"/>
      <c r="CI187" s="502"/>
      <c r="CJ187" s="502"/>
      <c r="CK187" s="502"/>
      <c r="CL187" s="500"/>
      <c r="CM187" s="500"/>
      <c r="CN187" s="500"/>
      <c r="CO187" s="500"/>
    </row>
    <row r="188">
      <c r="A188" s="496"/>
      <c r="B188" s="496"/>
      <c r="C188" s="496"/>
      <c r="D188" s="497"/>
      <c r="E188" s="498"/>
      <c r="F188" s="498"/>
      <c r="G188" s="499"/>
      <c r="H188" s="499"/>
      <c r="I188" s="498"/>
      <c r="J188" s="500"/>
      <c r="K188" s="496"/>
      <c r="L188" s="500"/>
      <c r="M188" s="496"/>
      <c r="N188" s="500"/>
      <c r="O188" s="496"/>
      <c r="P188" s="500"/>
      <c r="Q188" s="498"/>
      <c r="R188" s="500"/>
      <c r="S188" s="498"/>
      <c r="T188" s="496"/>
      <c r="U188" s="498"/>
      <c r="V188" s="496"/>
      <c r="W188" s="498"/>
      <c r="X188" s="500"/>
      <c r="Y188" s="498"/>
      <c r="Z188" s="500"/>
      <c r="AA188" s="500"/>
      <c r="AB188" s="500"/>
      <c r="AC188" s="501"/>
      <c r="AD188" s="500"/>
      <c r="AE188" s="501"/>
      <c r="AF188" s="500"/>
      <c r="AG188" s="501"/>
      <c r="AH188" s="500"/>
      <c r="AI188" s="498"/>
      <c r="AJ188" s="500"/>
      <c r="AK188" s="500"/>
      <c r="AL188" s="500"/>
      <c r="AM188" s="500"/>
      <c r="AN188" s="500"/>
      <c r="AO188" s="500"/>
      <c r="AP188" s="500"/>
      <c r="AQ188" s="500"/>
      <c r="AR188" s="500"/>
      <c r="AS188" s="500"/>
      <c r="AT188" s="500"/>
      <c r="AU188" s="498"/>
      <c r="AV188" s="500"/>
      <c r="AW188" s="500"/>
      <c r="AX188" s="500"/>
      <c r="AY188" s="500"/>
      <c r="AZ188" s="500"/>
      <c r="BA188" s="500"/>
      <c r="BB188" s="500"/>
      <c r="BC188" s="500"/>
      <c r="BD188" s="500"/>
      <c r="BE188" s="500"/>
      <c r="BF188" s="500"/>
      <c r="BG188" s="500"/>
      <c r="BH188" s="500"/>
      <c r="BI188" s="500"/>
      <c r="BJ188" s="500"/>
      <c r="BK188" s="500"/>
      <c r="BL188" s="500"/>
      <c r="BM188" s="500"/>
      <c r="BN188" s="500"/>
      <c r="BO188" s="500"/>
      <c r="BP188" s="500"/>
      <c r="BQ188" s="498"/>
      <c r="BR188" s="498"/>
      <c r="BS188" s="498"/>
      <c r="BT188" s="498"/>
      <c r="BU188" s="498"/>
      <c r="BV188" s="500"/>
      <c r="BW188" s="498"/>
      <c r="BX188" s="498"/>
      <c r="BY188" s="498"/>
      <c r="BZ188" s="498"/>
      <c r="CA188" s="498"/>
      <c r="CB188" s="498"/>
      <c r="CC188" s="498"/>
      <c r="CD188" s="498"/>
      <c r="CE188" s="498"/>
      <c r="CF188" s="498"/>
      <c r="CG188" s="502"/>
      <c r="CH188" s="503"/>
      <c r="CI188" s="502"/>
      <c r="CJ188" s="502"/>
      <c r="CK188" s="502"/>
      <c r="CL188" s="500"/>
      <c r="CM188" s="500"/>
      <c r="CN188" s="500"/>
      <c r="CO188" s="500"/>
    </row>
    <row r="189">
      <c r="A189" s="496"/>
      <c r="B189" s="496"/>
      <c r="C189" s="496"/>
      <c r="D189" s="497"/>
      <c r="E189" s="498"/>
      <c r="F189" s="498"/>
      <c r="G189" s="499"/>
      <c r="H189" s="499"/>
      <c r="I189" s="498"/>
      <c r="J189" s="500"/>
      <c r="K189" s="496"/>
      <c r="L189" s="500"/>
      <c r="M189" s="496"/>
      <c r="N189" s="500"/>
      <c r="O189" s="496"/>
      <c r="P189" s="500"/>
      <c r="Q189" s="498"/>
      <c r="R189" s="500"/>
      <c r="S189" s="498"/>
      <c r="T189" s="496"/>
      <c r="U189" s="498"/>
      <c r="V189" s="496"/>
      <c r="W189" s="498"/>
      <c r="X189" s="500"/>
      <c r="Y189" s="498"/>
      <c r="Z189" s="500"/>
      <c r="AA189" s="500"/>
      <c r="AB189" s="500"/>
      <c r="AC189" s="501"/>
      <c r="AD189" s="500"/>
      <c r="AE189" s="501"/>
      <c r="AF189" s="500"/>
      <c r="AG189" s="501"/>
      <c r="AH189" s="500"/>
      <c r="AI189" s="498"/>
      <c r="AJ189" s="500"/>
      <c r="AK189" s="500"/>
      <c r="AL189" s="500"/>
      <c r="AM189" s="500"/>
      <c r="AN189" s="500"/>
      <c r="AO189" s="500"/>
      <c r="AP189" s="500"/>
      <c r="AQ189" s="500"/>
      <c r="AR189" s="500"/>
      <c r="AS189" s="500"/>
      <c r="AT189" s="500"/>
      <c r="AU189" s="498"/>
      <c r="AV189" s="500"/>
      <c r="AW189" s="500"/>
      <c r="AX189" s="500"/>
      <c r="AY189" s="500"/>
      <c r="AZ189" s="500"/>
      <c r="BA189" s="500"/>
      <c r="BB189" s="500"/>
      <c r="BC189" s="500"/>
      <c r="BD189" s="500"/>
      <c r="BE189" s="500"/>
      <c r="BF189" s="500"/>
      <c r="BG189" s="500"/>
      <c r="BH189" s="500"/>
      <c r="BI189" s="500"/>
      <c r="BJ189" s="500"/>
      <c r="BK189" s="500"/>
      <c r="BL189" s="500"/>
      <c r="BM189" s="500"/>
      <c r="BN189" s="500"/>
      <c r="BO189" s="500"/>
      <c r="BP189" s="500"/>
      <c r="BQ189" s="498"/>
      <c r="BR189" s="498"/>
      <c r="BS189" s="498"/>
      <c r="BT189" s="498"/>
      <c r="BU189" s="498"/>
      <c r="BV189" s="500"/>
      <c r="BW189" s="498"/>
      <c r="BX189" s="498"/>
      <c r="BY189" s="498"/>
      <c r="BZ189" s="498"/>
      <c r="CA189" s="498"/>
      <c r="CB189" s="498"/>
      <c r="CC189" s="498"/>
      <c r="CD189" s="498"/>
      <c r="CE189" s="498"/>
      <c r="CF189" s="498"/>
      <c r="CG189" s="502"/>
      <c r="CH189" s="503"/>
      <c r="CI189" s="502"/>
      <c r="CJ189" s="502"/>
      <c r="CK189" s="502"/>
      <c r="CL189" s="500"/>
      <c r="CM189" s="500"/>
      <c r="CN189" s="500"/>
      <c r="CO189" s="500"/>
    </row>
    <row r="190">
      <c r="A190" s="496"/>
      <c r="B190" s="496"/>
      <c r="C190" s="496"/>
      <c r="D190" s="497"/>
      <c r="E190" s="498"/>
      <c r="F190" s="498"/>
      <c r="G190" s="499"/>
      <c r="H190" s="499"/>
      <c r="I190" s="498"/>
      <c r="J190" s="500"/>
      <c r="K190" s="496"/>
      <c r="L190" s="500"/>
      <c r="M190" s="496"/>
      <c r="N190" s="500"/>
      <c r="O190" s="496"/>
      <c r="P190" s="500"/>
      <c r="Q190" s="498"/>
      <c r="R190" s="500"/>
      <c r="S190" s="498"/>
      <c r="T190" s="496"/>
      <c r="U190" s="498"/>
      <c r="V190" s="496"/>
      <c r="W190" s="498"/>
      <c r="X190" s="500"/>
      <c r="Y190" s="498"/>
      <c r="Z190" s="500"/>
      <c r="AA190" s="500"/>
      <c r="AB190" s="500"/>
      <c r="AC190" s="501"/>
      <c r="AD190" s="500"/>
      <c r="AE190" s="501"/>
      <c r="AF190" s="500"/>
      <c r="AG190" s="501"/>
      <c r="AH190" s="500"/>
      <c r="AI190" s="498"/>
      <c r="AJ190" s="500"/>
      <c r="AK190" s="500"/>
      <c r="AL190" s="500"/>
      <c r="AM190" s="500"/>
      <c r="AN190" s="500"/>
      <c r="AO190" s="500"/>
      <c r="AP190" s="500"/>
      <c r="AQ190" s="500"/>
      <c r="AR190" s="500"/>
      <c r="AS190" s="500"/>
      <c r="AT190" s="500"/>
      <c r="AU190" s="498"/>
      <c r="AV190" s="500"/>
      <c r="AW190" s="500"/>
      <c r="AX190" s="500"/>
      <c r="AY190" s="500"/>
      <c r="AZ190" s="500"/>
      <c r="BA190" s="500"/>
      <c r="BB190" s="500"/>
      <c r="BC190" s="500"/>
      <c r="BD190" s="500"/>
      <c r="BE190" s="500"/>
      <c r="BF190" s="500"/>
      <c r="BG190" s="500"/>
      <c r="BH190" s="500"/>
      <c r="BI190" s="500"/>
      <c r="BJ190" s="500"/>
      <c r="BK190" s="500"/>
      <c r="BL190" s="500"/>
      <c r="BM190" s="500"/>
      <c r="BN190" s="500"/>
      <c r="BO190" s="500"/>
      <c r="BP190" s="500"/>
      <c r="BQ190" s="498"/>
      <c r="BR190" s="498"/>
      <c r="BS190" s="498"/>
      <c r="BT190" s="498"/>
      <c r="BU190" s="498"/>
      <c r="BV190" s="500"/>
      <c r="BW190" s="498"/>
      <c r="BX190" s="498"/>
      <c r="BY190" s="498"/>
      <c r="BZ190" s="498"/>
      <c r="CA190" s="498"/>
      <c r="CB190" s="498"/>
      <c r="CC190" s="498"/>
      <c r="CD190" s="498"/>
      <c r="CE190" s="498"/>
      <c r="CF190" s="498"/>
      <c r="CG190" s="502"/>
      <c r="CH190" s="503"/>
      <c r="CI190" s="502"/>
      <c r="CJ190" s="502"/>
      <c r="CK190" s="502"/>
      <c r="CL190" s="500"/>
      <c r="CM190" s="500"/>
      <c r="CN190" s="500"/>
      <c r="CO190" s="500"/>
    </row>
    <row r="191">
      <c r="A191" s="496"/>
      <c r="B191" s="496"/>
      <c r="C191" s="496"/>
      <c r="D191" s="497"/>
      <c r="E191" s="498"/>
      <c r="F191" s="498"/>
      <c r="G191" s="499"/>
      <c r="H191" s="499"/>
      <c r="I191" s="498"/>
      <c r="J191" s="500"/>
      <c r="K191" s="496"/>
      <c r="L191" s="500"/>
      <c r="M191" s="496"/>
      <c r="N191" s="500"/>
      <c r="O191" s="496"/>
      <c r="P191" s="500"/>
      <c r="Q191" s="498"/>
      <c r="R191" s="500"/>
      <c r="S191" s="498"/>
      <c r="T191" s="496"/>
      <c r="U191" s="498"/>
      <c r="V191" s="496"/>
      <c r="W191" s="498"/>
      <c r="X191" s="500"/>
      <c r="Y191" s="498"/>
      <c r="Z191" s="500"/>
      <c r="AA191" s="500"/>
      <c r="AB191" s="500"/>
      <c r="AC191" s="501"/>
      <c r="AD191" s="500"/>
      <c r="AE191" s="501"/>
      <c r="AF191" s="500"/>
      <c r="AG191" s="501"/>
      <c r="AH191" s="500"/>
      <c r="AI191" s="498"/>
      <c r="AJ191" s="500"/>
      <c r="AK191" s="500"/>
      <c r="AL191" s="500"/>
      <c r="AM191" s="500"/>
      <c r="AN191" s="500"/>
      <c r="AO191" s="500"/>
      <c r="AP191" s="500"/>
      <c r="AQ191" s="500"/>
      <c r="AR191" s="500"/>
      <c r="AS191" s="500"/>
      <c r="AT191" s="500"/>
      <c r="AU191" s="498"/>
      <c r="AV191" s="500"/>
      <c r="AW191" s="500"/>
      <c r="AX191" s="500"/>
      <c r="AY191" s="500"/>
      <c r="AZ191" s="500"/>
      <c r="BA191" s="500"/>
      <c r="BB191" s="500"/>
      <c r="BC191" s="500"/>
      <c r="BD191" s="500"/>
      <c r="BE191" s="500"/>
      <c r="BF191" s="500"/>
      <c r="BG191" s="500"/>
      <c r="BH191" s="500"/>
      <c r="BI191" s="500"/>
      <c r="BJ191" s="500"/>
      <c r="BK191" s="500"/>
      <c r="BL191" s="500"/>
      <c r="BM191" s="500"/>
      <c r="BN191" s="500"/>
      <c r="BO191" s="500"/>
      <c r="BP191" s="500"/>
      <c r="BQ191" s="498"/>
      <c r="BR191" s="498"/>
      <c r="BS191" s="498"/>
      <c r="BT191" s="498"/>
      <c r="BU191" s="498"/>
      <c r="BV191" s="500"/>
      <c r="BW191" s="498"/>
      <c r="BX191" s="498"/>
      <c r="BY191" s="498"/>
      <c r="BZ191" s="498"/>
      <c r="CA191" s="498"/>
      <c r="CB191" s="498"/>
      <c r="CC191" s="498"/>
      <c r="CD191" s="498"/>
      <c r="CE191" s="498"/>
      <c r="CF191" s="498"/>
      <c r="CG191" s="502"/>
      <c r="CH191" s="503"/>
      <c r="CI191" s="502"/>
      <c r="CJ191" s="502"/>
      <c r="CK191" s="502"/>
      <c r="CL191" s="500"/>
      <c r="CM191" s="500"/>
      <c r="CN191" s="500"/>
      <c r="CO191" s="500"/>
    </row>
    <row r="192">
      <c r="A192" s="496"/>
      <c r="B192" s="496"/>
      <c r="C192" s="496"/>
      <c r="D192" s="497"/>
      <c r="E192" s="498"/>
      <c r="F192" s="498"/>
      <c r="G192" s="499"/>
      <c r="H192" s="499"/>
      <c r="I192" s="498"/>
      <c r="J192" s="500"/>
      <c r="K192" s="496"/>
      <c r="L192" s="500"/>
      <c r="M192" s="496"/>
      <c r="N192" s="500"/>
      <c r="O192" s="496"/>
      <c r="P192" s="500"/>
      <c r="Q192" s="498"/>
      <c r="R192" s="500"/>
      <c r="S192" s="498"/>
      <c r="T192" s="496"/>
      <c r="U192" s="498"/>
      <c r="V192" s="496"/>
      <c r="W192" s="498"/>
      <c r="X192" s="500"/>
      <c r="Y192" s="498"/>
      <c r="Z192" s="500"/>
      <c r="AA192" s="500"/>
      <c r="AB192" s="500"/>
      <c r="AC192" s="501"/>
      <c r="AD192" s="500"/>
      <c r="AE192" s="501"/>
      <c r="AF192" s="500"/>
      <c r="AG192" s="501"/>
      <c r="AH192" s="500"/>
      <c r="AI192" s="498"/>
      <c r="AJ192" s="500"/>
      <c r="AK192" s="500"/>
      <c r="AL192" s="500"/>
      <c r="AM192" s="500"/>
      <c r="AN192" s="500"/>
      <c r="AO192" s="500"/>
      <c r="AP192" s="500"/>
      <c r="AQ192" s="500"/>
      <c r="AR192" s="500"/>
      <c r="AS192" s="500"/>
      <c r="AT192" s="500"/>
      <c r="AU192" s="498"/>
      <c r="AV192" s="500"/>
      <c r="AW192" s="500"/>
      <c r="AX192" s="500"/>
      <c r="AY192" s="500"/>
      <c r="AZ192" s="500"/>
      <c r="BA192" s="500"/>
      <c r="BB192" s="500"/>
      <c r="BC192" s="500"/>
      <c r="BD192" s="500"/>
      <c r="BE192" s="500"/>
      <c r="BF192" s="500"/>
      <c r="BG192" s="500"/>
      <c r="BH192" s="500"/>
      <c r="BI192" s="500"/>
      <c r="BJ192" s="500"/>
      <c r="BK192" s="500"/>
      <c r="BL192" s="500"/>
      <c r="BM192" s="500"/>
      <c r="BN192" s="500"/>
      <c r="BO192" s="500"/>
      <c r="BP192" s="500"/>
      <c r="BQ192" s="498"/>
      <c r="BR192" s="498"/>
      <c r="BS192" s="498"/>
      <c r="BT192" s="498"/>
      <c r="BU192" s="498"/>
      <c r="BV192" s="500"/>
      <c r="BW192" s="498"/>
      <c r="BX192" s="498"/>
      <c r="BY192" s="498"/>
      <c r="BZ192" s="498"/>
      <c r="CA192" s="498"/>
      <c r="CB192" s="498"/>
      <c r="CC192" s="498"/>
      <c r="CD192" s="498"/>
      <c r="CE192" s="498"/>
      <c r="CF192" s="498"/>
      <c r="CG192" s="502"/>
      <c r="CH192" s="503"/>
      <c r="CI192" s="502"/>
      <c r="CJ192" s="502"/>
      <c r="CK192" s="502"/>
      <c r="CL192" s="500"/>
      <c r="CM192" s="500"/>
      <c r="CN192" s="500"/>
      <c r="CO192" s="500"/>
    </row>
    <row r="193">
      <c r="A193" s="496"/>
      <c r="B193" s="496"/>
      <c r="C193" s="496"/>
      <c r="D193" s="497"/>
      <c r="E193" s="498"/>
      <c r="F193" s="498"/>
      <c r="G193" s="499"/>
      <c r="H193" s="499"/>
      <c r="I193" s="498"/>
      <c r="J193" s="500"/>
      <c r="K193" s="496"/>
      <c r="L193" s="500"/>
      <c r="M193" s="496"/>
      <c r="N193" s="500"/>
      <c r="O193" s="496"/>
      <c r="P193" s="500"/>
      <c r="Q193" s="498"/>
      <c r="R193" s="500"/>
      <c r="S193" s="498"/>
      <c r="T193" s="496"/>
      <c r="U193" s="498"/>
      <c r="V193" s="496"/>
      <c r="W193" s="498"/>
      <c r="X193" s="500"/>
      <c r="Y193" s="498"/>
      <c r="Z193" s="500"/>
      <c r="AA193" s="500"/>
      <c r="AB193" s="500"/>
      <c r="AC193" s="501"/>
      <c r="AD193" s="500"/>
      <c r="AE193" s="501"/>
      <c r="AF193" s="500"/>
      <c r="AG193" s="501"/>
      <c r="AH193" s="500"/>
      <c r="AI193" s="498"/>
      <c r="AJ193" s="500"/>
      <c r="AK193" s="500"/>
      <c r="AL193" s="500"/>
      <c r="AM193" s="500"/>
      <c r="AN193" s="500"/>
      <c r="AO193" s="500"/>
      <c r="AP193" s="500"/>
      <c r="AQ193" s="500"/>
      <c r="AR193" s="500"/>
      <c r="AS193" s="500"/>
      <c r="AT193" s="500"/>
      <c r="AU193" s="498"/>
      <c r="AV193" s="500"/>
      <c r="AW193" s="500"/>
      <c r="AX193" s="500"/>
      <c r="AY193" s="500"/>
      <c r="AZ193" s="500"/>
      <c r="BA193" s="500"/>
      <c r="BB193" s="500"/>
      <c r="BC193" s="500"/>
      <c r="BD193" s="500"/>
      <c r="BE193" s="500"/>
      <c r="BF193" s="500"/>
      <c r="BG193" s="500"/>
      <c r="BH193" s="500"/>
      <c r="BI193" s="500"/>
      <c r="BJ193" s="500"/>
      <c r="BK193" s="500"/>
      <c r="BL193" s="500"/>
      <c r="BM193" s="500"/>
      <c r="BN193" s="500"/>
      <c r="BO193" s="500"/>
      <c r="BP193" s="500"/>
      <c r="BQ193" s="498"/>
      <c r="BR193" s="498"/>
      <c r="BS193" s="498"/>
      <c r="BT193" s="498"/>
      <c r="BU193" s="498"/>
      <c r="BV193" s="500"/>
      <c r="BW193" s="498"/>
      <c r="BX193" s="498"/>
      <c r="BY193" s="498"/>
      <c r="BZ193" s="498"/>
      <c r="CA193" s="498"/>
      <c r="CB193" s="498"/>
      <c r="CC193" s="498"/>
      <c r="CD193" s="498"/>
      <c r="CE193" s="498"/>
      <c r="CF193" s="498"/>
      <c r="CG193" s="502"/>
      <c r="CH193" s="503"/>
      <c r="CI193" s="502"/>
      <c r="CJ193" s="502"/>
      <c r="CK193" s="502"/>
      <c r="CL193" s="500"/>
      <c r="CM193" s="500"/>
      <c r="CN193" s="500"/>
      <c r="CO193" s="500"/>
    </row>
    <row r="194">
      <c r="A194" s="496"/>
      <c r="B194" s="496"/>
      <c r="C194" s="496"/>
      <c r="D194" s="497"/>
      <c r="E194" s="498"/>
      <c r="F194" s="498"/>
      <c r="G194" s="499"/>
      <c r="H194" s="499"/>
      <c r="I194" s="498"/>
      <c r="J194" s="500"/>
      <c r="K194" s="496"/>
      <c r="L194" s="500"/>
      <c r="M194" s="496"/>
      <c r="N194" s="500"/>
      <c r="O194" s="496"/>
      <c r="P194" s="500"/>
      <c r="Q194" s="498"/>
      <c r="R194" s="500"/>
      <c r="S194" s="498"/>
      <c r="T194" s="496"/>
      <c r="U194" s="498"/>
      <c r="V194" s="496"/>
      <c r="W194" s="498"/>
      <c r="X194" s="500"/>
      <c r="Y194" s="498"/>
      <c r="Z194" s="500"/>
      <c r="AA194" s="500"/>
      <c r="AB194" s="500"/>
      <c r="AC194" s="501"/>
      <c r="AD194" s="500"/>
      <c r="AE194" s="501"/>
      <c r="AF194" s="500"/>
      <c r="AG194" s="501"/>
      <c r="AH194" s="500"/>
      <c r="AI194" s="498"/>
      <c r="AJ194" s="500"/>
      <c r="AK194" s="500"/>
      <c r="AL194" s="500"/>
      <c r="AM194" s="500"/>
      <c r="AN194" s="500"/>
      <c r="AO194" s="500"/>
      <c r="AP194" s="500"/>
      <c r="AQ194" s="500"/>
      <c r="AR194" s="500"/>
      <c r="AS194" s="500"/>
      <c r="AT194" s="500"/>
      <c r="AU194" s="498"/>
      <c r="AV194" s="500"/>
      <c r="AW194" s="500"/>
      <c r="AX194" s="500"/>
      <c r="AY194" s="500"/>
      <c r="AZ194" s="500"/>
      <c r="BA194" s="500"/>
      <c r="BB194" s="500"/>
      <c r="BC194" s="500"/>
      <c r="BD194" s="500"/>
      <c r="BE194" s="500"/>
      <c r="BF194" s="500"/>
      <c r="BG194" s="500"/>
      <c r="BH194" s="500"/>
      <c r="BI194" s="500"/>
      <c r="BJ194" s="500"/>
      <c r="BK194" s="500"/>
      <c r="BL194" s="500"/>
      <c r="BM194" s="500"/>
      <c r="BN194" s="500"/>
      <c r="BO194" s="500"/>
      <c r="BP194" s="500"/>
      <c r="BQ194" s="498"/>
      <c r="BR194" s="498"/>
      <c r="BS194" s="498"/>
      <c r="BT194" s="498"/>
      <c r="BU194" s="498"/>
      <c r="BV194" s="500"/>
      <c r="BW194" s="498"/>
      <c r="BX194" s="498"/>
      <c r="BY194" s="498"/>
      <c r="BZ194" s="498"/>
      <c r="CA194" s="498"/>
      <c r="CB194" s="498"/>
      <c r="CC194" s="498"/>
      <c r="CD194" s="498"/>
      <c r="CE194" s="498"/>
      <c r="CF194" s="498"/>
      <c r="CG194" s="502"/>
      <c r="CH194" s="503"/>
      <c r="CI194" s="502"/>
      <c r="CJ194" s="502"/>
      <c r="CK194" s="502"/>
      <c r="CL194" s="500"/>
      <c r="CM194" s="500"/>
      <c r="CN194" s="500"/>
      <c r="CO194" s="500"/>
    </row>
    <row r="195">
      <c r="A195" s="496"/>
      <c r="B195" s="496"/>
      <c r="C195" s="496"/>
      <c r="D195" s="497"/>
      <c r="E195" s="498"/>
      <c r="F195" s="498"/>
      <c r="G195" s="499"/>
      <c r="H195" s="499"/>
      <c r="I195" s="498"/>
      <c r="J195" s="500"/>
      <c r="K195" s="496"/>
      <c r="L195" s="500"/>
      <c r="M195" s="496"/>
      <c r="N195" s="500"/>
      <c r="O195" s="496"/>
      <c r="P195" s="500"/>
      <c r="Q195" s="498"/>
      <c r="R195" s="500"/>
      <c r="S195" s="498"/>
      <c r="T195" s="496"/>
      <c r="U195" s="498"/>
      <c r="V195" s="496"/>
      <c r="W195" s="498"/>
      <c r="X195" s="500"/>
      <c r="Y195" s="498"/>
      <c r="Z195" s="500"/>
      <c r="AA195" s="500"/>
      <c r="AB195" s="500"/>
      <c r="AC195" s="501"/>
      <c r="AD195" s="500"/>
      <c r="AE195" s="501"/>
      <c r="AF195" s="500"/>
      <c r="AG195" s="501"/>
      <c r="AH195" s="500"/>
      <c r="AI195" s="498"/>
      <c r="AJ195" s="500"/>
      <c r="AK195" s="500"/>
      <c r="AL195" s="500"/>
      <c r="AM195" s="500"/>
      <c r="AN195" s="500"/>
      <c r="AO195" s="500"/>
      <c r="AP195" s="500"/>
      <c r="AQ195" s="500"/>
      <c r="AR195" s="500"/>
      <c r="AS195" s="500"/>
      <c r="AT195" s="500"/>
      <c r="AU195" s="498"/>
      <c r="AV195" s="500"/>
      <c r="AW195" s="500"/>
      <c r="AX195" s="500"/>
      <c r="AY195" s="500"/>
      <c r="AZ195" s="500"/>
      <c r="BA195" s="500"/>
      <c r="BB195" s="500"/>
      <c r="BC195" s="500"/>
      <c r="BD195" s="500"/>
      <c r="BE195" s="500"/>
      <c r="BF195" s="500"/>
      <c r="BG195" s="500"/>
      <c r="BH195" s="500"/>
      <c r="BI195" s="500"/>
      <c r="BJ195" s="500"/>
      <c r="BK195" s="500"/>
      <c r="BL195" s="500"/>
      <c r="BM195" s="500"/>
      <c r="BN195" s="500"/>
      <c r="BO195" s="500"/>
      <c r="BP195" s="500"/>
      <c r="BQ195" s="498"/>
      <c r="BR195" s="498"/>
      <c r="BS195" s="498"/>
      <c r="BT195" s="498"/>
      <c r="BU195" s="498"/>
      <c r="BV195" s="500"/>
      <c r="BW195" s="498"/>
      <c r="BX195" s="498"/>
      <c r="BY195" s="498"/>
      <c r="BZ195" s="498"/>
      <c r="CA195" s="498"/>
      <c r="CB195" s="498"/>
      <c r="CC195" s="498"/>
      <c r="CD195" s="498"/>
      <c r="CE195" s="498"/>
      <c r="CF195" s="498"/>
      <c r="CG195" s="502"/>
      <c r="CH195" s="503"/>
      <c r="CI195" s="502"/>
      <c r="CJ195" s="502"/>
      <c r="CK195" s="502"/>
      <c r="CL195" s="500"/>
      <c r="CM195" s="500"/>
      <c r="CN195" s="500"/>
      <c r="CO195" s="500"/>
    </row>
    <row r="196">
      <c r="A196" s="496"/>
      <c r="B196" s="496"/>
      <c r="C196" s="496"/>
      <c r="D196" s="497"/>
      <c r="E196" s="498"/>
      <c r="F196" s="498"/>
      <c r="G196" s="499"/>
      <c r="H196" s="499"/>
      <c r="I196" s="498"/>
      <c r="J196" s="500"/>
      <c r="K196" s="496"/>
      <c r="L196" s="500"/>
      <c r="M196" s="496"/>
      <c r="N196" s="500"/>
      <c r="O196" s="496"/>
      <c r="P196" s="500"/>
      <c r="Q196" s="498"/>
      <c r="R196" s="500"/>
      <c r="S196" s="498"/>
      <c r="T196" s="496"/>
      <c r="U196" s="498"/>
      <c r="V196" s="496"/>
      <c r="W196" s="498"/>
      <c r="X196" s="500"/>
      <c r="Y196" s="498"/>
      <c r="Z196" s="500"/>
      <c r="AA196" s="500"/>
      <c r="AB196" s="500"/>
      <c r="AC196" s="501"/>
      <c r="AD196" s="500"/>
      <c r="AE196" s="501"/>
      <c r="AF196" s="500"/>
      <c r="AG196" s="501"/>
      <c r="AH196" s="500"/>
      <c r="AI196" s="498"/>
      <c r="AJ196" s="500"/>
      <c r="AK196" s="500"/>
      <c r="AL196" s="500"/>
      <c r="AM196" s="500"/>
      <c r="AN196" s="500"/>
      <c r="AO196" s="500"/>
      <c r="AP196" s="500"/>
      <c r="AQ196" s="500"/>
      <c r="AR196" s="500"/>
      <c r="AS196" s="500"/>
      <c r="AT196" s="500"/>
      <c r="AU196" s="498"/>
      <c r="AV196" s="500"/>
      <c r="AW196" s="500"/>
      <c r="AX196" s="500"/>
      <c r="AY196" s="500"/>
      <c r="AZ196" s="500"/>
      <c r="BA196" s="500"/>
      <c r="BB196" s="500"/>
      <c r="BC196" s="500"/>
      <c r="BD196" s="500"/>
      <c r="BE196" s="500"/>
      <c r="BF196" s="500"/>
      <c r="BG196" s="500"/>
      <c r="BH196" s="500"/>
      <c r="BI196" s="500"/>
      <c r="BJ196" s="500"/>
      <c r="BK196" s="500"/>
      <c r="BL196" s="500"/>
      <c r="BM196" s="500"/>
      <c r="BN196" s="500"/>
      <c r="BO196" s="500"/>
      <c r="BP196" s="500"/>
      <c r="BQ196" s="498"/>
      <c r="BR196" s="498"/>
      <c r="BS196" s="498"/>
      <c r="BT196" s="498"/>
      <c r="BU196" s="498"/>
      <c r="BV196" s="500"/>
      <c r="BW196" s="498"/>
      <c r="BX196" s="498"/>
      <c r="BY196" s="498"/>
      <c r="BZ196" s="498"/>
      <c r="CA196" s="498"/>
      <c r="CB196" s="498"/>
      <c r="CC196" s="498"/>
      <c r="CD196" s="498"/>
      <c r="CE196" s="498"/>
      <c r="CF196" s="498"/>
      <c r="CG196" s="502"/>
      <c r="CH196" s="503"/>
      <c r="CI196" s="502"/>
      <c r="CJ196" s="502"/>
      <c r="CK196" s="502"/>
      <c r="CL196" s="500"/>
      <c r="CM196" s="500"/>
      <c r="CN196" s="500"/>
      <c r="CO196" s="500"/>
    </row>
    <row r="197">
      <c r="A197" s="496"/>
      <c r="B197" s="496"/>
      <c r="C197" s="496"/>
      <c r="D197" s="497"/>
      <c r="E197" s="498"/>
      <c r="F197" s="498"/>
      <c r="G197" s="499"/>
      <c r="H197" s="499"/>
      <c r="I197" s="498"/>
      <c r="J197" s="500"/>
      <c r="K197" s="496"/>
      <c r="L197" s="500"/>
      <c r="M197" s="496"/>
      <c r="N197" s="500"/>
      <c r="O197" s="496"/>
      <c r="P197" s="500"/>
      <c r="Q197" s="498"/>
      <c r="R197" s="500"/>
      <c r="S197" s="498"/>
      <c r="T197" s="496"/>
      <c r="U197" s="498"/>
      <c r="V197" s="496"/>
      <c r="W197" s="498"/>
      <c r="X197" s="500"/>
      <c r="Y197" s="498"/>
      <c r="Z197" s="500"/>
      <c r="AA197" s="500"/>
      <c r="AB197" s="500"/>
      <c r="AC197" s="501"/>
      <c r="AD197" s="500"/>
      <c r="AE197" s="501"/>
      <c r="AF197" s="500"/>
      <c r="AG197" s="501"/>
      <c r="AH197" s="500"/>
      <c r="AI197" s="498"/>
      <c r="AJ197" s="500"/>
      <c r="AK197" s="500"/>
      <c r="AL197" s="500"/>
      <c r="AM197" s="500"/>
      <c r="AN197" s="500"/>
      <c r="AO197" s="500"/>
      <c r="AP197" s="500"/>
      <c r="AQ197" s="500"/>
      <c r="AR197" s="500"/>
      <c r="AS197" s="500"/>
      <c r="AT197" s="500"/>
      <c r="AU197" s="498"/>
      <c r="AV197" s="500"/>
      <c r="AW197" s="500"/>
      <c r="AX197" s="500"/>
      <c r="AY197" s="500"/>
      <c r="AZ197" s="500"/>
      <c r="BA197" s="500"/>
      <c r="BB197" s="500"/>
      <c r="BC197" s="500"/>
      <c r="BD197" s="500"/>
      <c r="BE197" s="500"/>
      <c r="BF197" s="500"/>
      <c r="BG197" s="500"/>
      <c r="BH197" s="500"/>
      <c r="BI197" s="500"/>
      <c r="BJ197" s="500"/>
      <c r="BK197" s="500"/>
      <c r="BL197" s="500"/>
      <c r="BM197" s="500"/>
      <c r="BN197" s="500"/>
      <c r="BO197" s="500"/>
      <c r="BP197" s="500"/>
      <c r="BQ197" s="498"/>
      <c r="BR197" s="498"/>
      <c r="BS197" s="498"/>
      <c r="BT197" s="498"/>
      <c r="BU197" s="498"/>
      <c r="BV197" s="500"/>
      <c r="BW197" s="498"/>
      <c r="BX197" s="498"/>
      <c r="BY197" s="498"/>
      <c r="BZ197" s="498"/>
      <c r="CA197" s="498"/>
      <c r="CB197" s="498"/>
      <c r="CC197" s="498"/>
      <c r="CD197" s="498"/>
      <c r="CE197" s="498"/>
      <c r="CF197" s="498"/>
      <c r="CG197" s="502"/>
      <c r="CH197" s="503"/>
      <c r="CI197" s="502"/>
      <c r="CJ197" s="502"/>
      <c r="CK197" s="502"/>
      <c r="CL197" s="500"/>
      <c r="CM197" s="500"/>
      <c r="CN197" s="500"/>
      <c r="CO197" s="500"/>
    </row>
    <row r="198">
      <c r="A198" s="496"/>
      <c r="B198" s="496"/>
      <c r="C198" s="496"/>
      <c r="D198" s="497"/>
      <c r="E198" s="498"/>
      <c r="F198" s="498"/>
      <c r="G198" s="499"/>
      <c r="H198" s="499"/>
      <c r="I198" s="498"/>
      <c r="J198" s="500"/>
      <c r="K198" s="496"/>
      <c r="L198" s="500"/>
      <c r="M198" s="496"/>
      <c r="N198" s="500"/>
      <c r="O198" s="496"/>
      <c r="P198" s="500"/>
      <c r="Q198" s="498"/>
      <c r="R198" s="500"/>
      <c r="S198" s="498"/>
      <c r="T198" s="496"/>
      <c r="U198" s="498"/>
      <c r="V198" s="496"/>
      <c r="W198" s="498"/>
      <c r="X198" s="500"/>
      <c r="Y198" s="498"/>
      <c r="Z198" s="500"/>
      <c r="AA198" s="500"/>
      <c r="AB198" s="500"/>
      <c r="AC198" s="501"/>
      <c r="AD198" s="500"/>
      <c r="AE198" s="501"/>
      <c r="AF198" s="500"/>
      <c r="AG198" s="501"/>
      <c r="AH198" s="500"/>
      <c r="AI198" s="498"/>
      <c r="AJ198" s="500"/>
      <c r="AK198" s="500"/>
      <c r="AL198" s="500"/>
      <c r="AM198" s="500"/>
      <c r="AN198" s="500"/>
      <c r="AO198" s="500"/>
      <c r="AP198" s="500"/>
      <c r="AQ198" s="500"/>
      <c r="AR198" s="500"/>
      <c r="AS198" s="500"/>
      <c r="AT198" s="500"/>
      <c r="AU198" s="498"/>
      <c r="AV198" s="500"/>
      <c r="AW198" s="500"/>
      <c r="AX198" s="500"/>
      <c r="AY198" s="500"/>
      <c r="AZ198" s="500"/>
      <c r="BA198" s="500"/>
      <c r="BB198" s="500"/>
      <c r="BC198" s="500"/>
      <c r="BD198" s="500"/>
      <c r="BE198" s="500"/>
      <c r="BF198" s="500"/>
      <c r="BG198" s="500"/>
      <c r="BH198" s="500"/>
      <c r="BI198" s="500"/>
      <c r="BJ198" s="500"/>
      <c r="BK198" s="500"/>
      <c r="BL198" s="500"/>
      <c r="BM198" s="500"/>
      <c r="BN198" s="500"/>
      <c r="BO198" s="500"/>
      <c r="BP198" s="500"/>
      <c r="BQ198" s="498"/>
      <c r="BR198" s="498"/>
      <c r="BS198" s="498"/>
      <c r="BT198" s="498"/>
      <c r="BU198" s="498"/>
      <c r="BV198" s="500"/>
      <c r="BW198" s="498"/>
      <c r="BX198" s="498"/>
      <c r="BY198" s="498"/>
      <c r="BZ198" s="498"/>
      <c r="CA198" s="498"/>
      <c r="CB198" s="498"/>
      <c r="CC198" s="498"/>
      <c r="CD198" s="498"/>
      <c r="CE198" s="498"/>
      <c r="CF198" s="498"/>
      <c r="CG198" s="502"/>
      <c r="CH198" s="503"/>
      <c r="CI198" s="502"/>
      <c r="CJ198" s="502"/>
      <c r="CK198" s="502"/>
      <c r="CL198" s="500"/>
      <c r="CM198" s="500"/>
      <c r="CN198" s="500"/>
      <c r="CO198" s="500"/>
    </row>
    <row r="199">
      <c r="A199" s="496"/>
      <c r="B199" s="496"/>
      <c r="C199" s="496"/>
      <c r="D199" s="497"/>
      <c r="E199" s="498"/>
      <c r="F199" s="498"/>
      <c r="G199" s="499"/>
      <c r="H199" s="499"/>
      <c r="I199" s="498"/>
      <c r="J199" s="500"/>
      <c r="K199" s="496"/>
      <c r="L199" s="500"/>
      <c r="M199" s="496"/>
      <c r="N199" s="500"/>
      <c r="O199" s="496"/>
      <c r="P199" s="500"/>
      <c r="Q199" s="498"/>
      <c r="R199" s="500"/>
      <c r="S199" s="498"/>
      <c r="T199" s="496"/>
      <c r="U199" s="498"/>
      <c r="V199" s="496"/>
      <c r="W199" s="498"/>
      <c r="X199" s="500"/>
      <c r="Y199" s="498"/>
      <c r="Z199" s="500"/>
      <c r="AA199" s="500"/>
      <c r="AB199" s="500"/>
      <c r="AC199" s="501"/>
      <c r="AD199" s="500"/>
      <c r="AE199" s="501"/>
      <c r="AF199" s="500"/>
      <c r="AG199" s="501"/>
      <c r="AH199" s="500"/>
      <c r="AI199" s="498"/>
      <c r="AJ199" s="500"/>
      <c r="AK199" s="500"/>
      <c r="AL199" s="500"/>
      <c r="AM199" s="500"/>
      <c r="AN199" s="500"/>
      <c r="AO199" s="500"/>
      <c r="AP199" s="500"/>
      <c r="AQ199" s="500"/>
      <c r="AR199" s="500"/>
      <c r="AS199" s="500"/>
      <c r="AT199" s="500"/>
      <c r="AU199" s="498"/>
      <c r="AV199" s="500"/>
      <c r="AW199" s="500"/>
      <c r="AX199" s="500"/>
      <c r="AY199" s="500"/>
      <c r="AZ199" s="500"/>
      <c r="BA199" s="500"/>
      <c r="BB199" s="500"/>
      <c r="BC199" s="500"/>
      <c r="BD199" s="500"/>
      <c r="BE199" s="500"/>
      <c r="BF199" s="500"/>
      <c r="BG199" s="500"/>
      <c r="BH199" s="500"/>
      <c r="BI199" s="500"/>
      <c r="BJ199" s="500"/>
      <c r="BK199" s="500"/>
      <c r="BL199" s="500"/>
      <c r="BM199" s="500"/>
      <c r="BN199" s="500"/>
      <c r="BO199" s="500"/>
      <c r="BP199" s="500"/>
      <c r="BQ199" s="498"/>
      <c r="BR199" s="498"/>
      <c r="BS199" s="498"/>
      <c r="BT199" s="498"/>
      <c r="BU199" s="498"/>
      <c r="BV199" s="500"/>
      <c r="BW199" s="498"/>
      <c r="BX199" s="498"/>
      <c r="BY199" s="498"/>
      <c r="BZ199" s="498"/>
      <c r="CA199" s="498"/>
      <c r="CB199" s="498"/>
      <c r="CC199" s="498"/>
      <c r="CD199" s="498"/>
      <c r="CE199" s="498"/>
      <c r="CF199" s="498"/>
      <c r="CG199" s="502"/>
      <c r="CH199" s="503"/>
      <c r="CI199" s="502"/>
      <c r="CJ199" s="502"/>
      <c r="CK199" s="502"/>
      <c r="CL199" s="500"/>
      <c r="CM199" s="500"/>
      <c r="CN199" s="500"/>
      <c r="CO199" s="500"/>
    </row>
    <row r="200">
      <c r="A200" s="496"/>
      <c r="B200" s="496"/>
      <c r="C200" s="496"/>
      <c r="D200" s="497"/>
      <c r="E200" s="498"/>
      <c r="F200" s="498"/>
      <c r="G200" s="499"/>
      <c r="H200" s="499"/>
      <c r="I200" s="498"/>
      <c r="J200" s="500"/>
      <c r="K200" s="496"/>
      <c r="L200" s="500"/>
      <c r="M200" s="496"/>
      <c r="N200" s="500"/>
      <c r="O200" s="496"/>
      <c r="P200" s="500"/>
      <c r="Q200" s="498"/>
      <c r="R200" s="500"/>
      <c r="S200" s="498"/>
      <c r="T200" s="496"/>
      <c r="U200" s="498"/>
      <c r="V200" s="496"/>
      <c r="W200" s="498"/>
      <c r="X200" s="500"/>
      <c r="Y200" s="498"/>
      <c r="Z200" s="500"/>
      <c r="AA200" s="500"/>
      <c r="AB200" s="500"/>
      <c r="AC200" s="501"/>
      <c r="AD200" s="500"/>
      <c r="AE200" s="501"/>
      <c r="AF200" s="500"/>
      <c r="AG200" s="501"/>
      <c r="AH200" s="500"/>
      <c r="AI200" s="498"/>
      <c r="AJ200" s="500"/>
      <c r="AK200" s="500"/>
      <c r="AL200" s="500"/>
      <c r="AM200" s="500"/>
      <c r="AN200" s="500"/>
      <c r="AO200" s="500"/>
      <c r="AP200" s="500"/>
      <c r="AQ200" s="500"/>
      <c r="AR200" s="500"/>
      <c r="AS200" s="500"/>
      <c r="AT200" s="500"/>
      <c r="AU200" s="498"/>
      <c r="AV200" s="500"/>
      <c r="AW200" s="500"/>
      <c r="AX200" s="500"/>
      <c r="AY200" s="500"/>
      <c r="AZ200" s="500"/>
      <c r="BA200" s="500"/>
      <c r="BB200" s="500"/>
      <c r="BC200" s="500"/>
      <c r="BD200" s="500"/>
      <c r="BE200" s="500"/>
      <c r="BF200" s="500"/>
      <c r="BG200" s="500"/>
      <c r="BH200" s="500"/>
      <c r="BI200" s="500"/>
      <c r="BJ200" s="500"/>
      <c r="BK200" s="500"/>
      <c r="BL200" s="500"/>
      <c r="BM200" s="500"/>
      <c r="BN200" s="500"/>
      <c r="BO200" s="500"/>
      <c r="BP200" s="500"/>
      <c r="BQ200" s="498"/>
      <c r="BR200" s="498"/>
      <c r="BS200" s="498"/>
      <c r="BT200" s="498"/>
      <c r="BU200" s="498"/>
      <c r="BV200" s="500"/>
      <c r="BW200" s="498"/>
      <c r="BX200" s="498"/>
      <c r="BY200" s="498"/>
      <c r="BZ200" s="498"/>
      <c r="CA200" s="498"/>
      <c r="CB200" s="498"/>
      <c r="CC200" s="498"/>
      <c r="CD200" s="498"/>
      <c r="CE200" s="498"/>
      <c r="CF200" s="498"/>
      <c r="CG200" s="502"/>
      <c r="CH200" s="503"/>
      <c r="CI200" s="502"/>
      <c r="CJ200" s="502"/>
      <c r="CK200" s="502"/>
      <c r="CL200" s="500"/>
      <c r="CM200" s="500"/>
      <c r="CN200" s="500"/>
      <c r="CO200" s="500"/>
    </row>
    <row r="201">
      <c r="A201" s="496"/>
      <c r="B201" s="496"/>
      <c r="C201" s="496"/>
      <c r="D201" s="497"/>
      <c r="E201" s="498"/>
      <c r="F201" s="498"/>
      <c r="G201" s="499"/>
      <c r="H201" s="499"/>
      <c r="I201" s="498"/>
      <c r="J201" s="500"/>
      <c r="K201" s="496"/>
      <c r="L201" s="500"/>
      <c r="M201" s="496"/>
      <c r="N201" s="500"/>
      <c r="O201" s="496"/>
      <c r="P201" s="500"/>
      <c r="Q201" s="498"/>
      <c r="R201" s="500"/>
      <c r="S201" s="498"/>
      <c r="T201" s="496"/>
      <c r="U201" s="498"/>
      <c r="V201" s="496"/>
      <c r="W201" s="498"/>
      <c r="X201" s="500"/>
      <c r="Y201" s="498"/>
      <c r="Z201" s="500"/>
      <c r="AA201" s="500"/>
      <c r="AB201" s="500"/>
      <c r="AC201" s="501"/>
      <c r="AD201" s="500"/>
      <c r="AE201" s="501"/>
      <c r="AF201" s="500"/>
      <c r="AG201" s="501"/>
      <c r="AH201" s="500"/>
      <c r="AI201" s="498"/>
      <c r="AJ201" s="500"/>
      <c r="AK201" s="500"/>
      <c r="AL201" s="500"/>
      <c r="AM201" s="500"/>
      <c r="AN201" s="500"/>
      <c r="AO201" s="500"/>
      <c r="AP201" s="500"/>
      <c r="AQ201" s="500"/>
      <c r="AR201" s="500"/>
      <c r="AS201" s="500"/>
      <c r="AT201" s="500"/>
      <c r="AU201" s="498"/>
      <c r="AV201" s="500"/>
      <c r="AW201" s="500"/>
      <c r="AX201" s="500"/>
      <c r="AY201" s="500"/>
      <c r="AZ201" s="500"/>
      <c r="BA201" s="500"/>
      <c r="BB201" s="500"/>
      <c r="BC201" s="500"/>
      <c r="BD201" s="500"/>
      <c r="BE201" s="500"/>
      <c r="BF201" s="500"/>
      <c r="BG201" s="500"/>
      <c r="BH201" s="500"/>
      <c r="BI201" s="500"/>
      <c r="BJ201" s="500"/>
      <c r="BK201" s="500"/>
      <c r="BL201" s="500"/>
      <c r="BM201" s="500"/>
      <c r="BN201" s="500"/>
      <c r="BO201" s="500"/>
      <c r="BP201" s="500"/>
      <c r="BQ201" s="498"/>
      <c r="BR201" s="498"/>
      <c r="BS201" s="498"/>
      <c r="BT201" s="498"/>
      <c r="BU201" s="498"/>
      <c r="BV201" s="500"/>
      <c r="BW201" s="498"/>
      <c r="BX201" s="498"/>
      <c r="BY201" s="498"/>
      <c r="BZ201" s="498"/>
      <c r="CA201" s="498"/>
      <c r="CB201" s="498"/>
      <c r="CC201" s="498"/>
      <c r="CD201" s="498"/>
      <c r="CE201" s="498"/>
      <c r="CF201" s="498"/>
      <c r="CG201" s="502"/>
      <c r="CH201" s="503"/>
      <c r="CI201" s="502"/>
      <c r="CJ201" s="502"/>
      <c r="CK201" s="502"/>
      <c r="CL201" s="500"/>
      <c r="CM201" s="500"/>
      <c r="CN201" s="500"/>
      <c r="CO201" s="500"/>
    </row>
    <row r="202">
      <c r="A202" s="496"/>
      <c r="B202" s="496"/>
      <c r="C202" s="496"/>
      <c r="D202" s="497"/>
      <c r="E202" s="498"/>
      <c r="F202" s="498"/>
      <c r="G202" s="499"/>
      <c r="H202" s="499"/>
      <c r="I202" s="498"/>
      <c r="J202" s="500"/>
      <c r="K202" s="496"/>
      <c r="L202" s="500"/>
      <c r="M202" s="496"/>
      <c r="N202" s="500"/>
      <c r="O202" s="496"/>
      <c r="P202" s="500"/>
      <c r="Q202" s="498"/>
      <c r="R202" s="500"/>
      <c r="S202" s="498"/>
      <c r="T202" s="496"/>
      <c r="U202" s="498"/>
      <c r="V202" s="496"/>
      <c r="W202" s="498"/>
      <c r="X202" s="500"/>
      <c r="Y202" s="498"/>
      <c r="Z202" s="500"/>
      <c r="AA202" s="500"/>
      <c r="AB202" s="500"/>
      <c r="AC202" s="501"/>
      <c r="AD202" s="500"/>
      <c r="AE202" s="501"/>
      <c r="AF202" s="500"/>
      <c r="AG202" s="501"/>
      <c r="AH202" s="500"/>
      <c r="AI202" s="498"/>
      <c r="AJ202" s="500"/>
      <c r="AK202" s="500"/>
      <c r="AL202" s="500"/>
      <c r="AM202" s="500"/>
      <c r="AN202" s="500"/>
      <c r="AO202" s="500"/>
      <c r="AP202" s="500"/>
      <c r="AQ202" s="500"/>
      <c r="AR202" s="500"/>
      <c r="AS202" s="500"/>
      <c r="AT202" s="500"/>
      <c r="AU202" s="498"/>
      <c r="AV202" s="500"/>
      <c r="AW202" s="500"/>
      <c r="AX202" s="500"/>
      <c r="AY202" s="500"/>
      <c r="AZ202" s="500"/>
      <c r="BA202" s="500"/>
      <c r="BB202" s="500"/>
      <c r="BC202" s="500"/>
      <c r="BD202" s="500"/>
      <c r="BE202" s="500"/>
      <c r="BF202" s="500"/>
      <c r="BG202" s="500"/>
      <c r="BH202" s="500"/>
      <c r="BI202" s="500"/>
      <c r="BJ202" s="500"/>
      <c r="BK202" s="500"/>
      <c r="BL202" s="500"/>
      <c r="BM202" s="500"/>
      <c r="BN202" s="500"/>
      <c r="BO202" s="500"/>
      <c r="BP202" s="500"/>
      <c r="BQ202" s="498"/>
      <c r="BR202" s="498"/>
      <c r="BS202" s="498"/>
      <c r="BT202" s="498"/>
      <c r="BU202" s="498"/>
      <c r="BV202" s="500"/>
      <c r="BW202" s="498"/>
      <c r="BX202" s="498"/>
      <c r="BY202" s="498"/>
      <c r="BZ202" s="498"/>
      <c r="CA202" s="498"/>
      <c r="CB202" s="498"/>
      <c r="CC202" s="498"/>
      <c r="CD202" s="498"/>
      <c r="CE202" s="498"/>
      <c r="CF202" s="498"/>
      <c r="CG202" s="502"/>
      <c r="CH202" s="503"/>
      <c r="CI202" s="502"/>
      <c r="CJ202" s="502"/>
      <c r="CK202" s="502"/>
      <c r="CL202" s="500"/>
      <c r="CM202" s="500"/>
      <c r="CN202" s="500"/>
      <c r="CO202" s="500"/>
    </row>
    <row r="203">
      <c r="A203" s="496"/>
      <c r="B203" s="496"/>
      <c r="C203" s="496"/>
      <c r="D203" s="497"/>
      <c r="E203" s="498"/>
      <c r="F203" s="498"/>
      <c r="G203" s="499"/>
      <c r="H203" s="499"/>
      <c r="I203" s="498"/>
      <c r="J203" s="500"/>
      <c r="K203" s="496"/>
      <c r="L203" s="500"/>
      <c r="M203" s="496"/>
      <c r="N203" s="500"/>
      <c r="O203" s="496"/>
      <c r="P203" s="500"/>
      <c r="Q203" s="498"/>
      <c r="R203" s="500"/>
      <c r="S203" s="498"/>
      <c r="T203" s="496"/>
      <c r="U203" s="498"/>
      <c r="V203" s="496"/>
      <c r="W203" s="498"/>
      <c r="X203" s="500"/>
      <c r="Y203" s="498"/>
      <c r="Z203" s="500"/>
      <c r="AA203" s="500"/>
      <c r="AB203" s="500"/>
      <c r="AC203" s="501"/>
      <c r="AD203" s="500"/>
      <c r="AE203" s="501"/>
      <c r="AF203" s="500"/>
      <c r="AG203" s="501"/>
      <c r="AH203" s="500"/>
      <c r="AI203" s="498"/>
      <c r="AJ203" s="500"/>
      <c r="AK203" s="500"/>
      <c r="AL203" s="500"/>
      <c r="AM203" s="500"/>
      <c r="AN203" s="500"/>
      <c r="AO203" s="500"/>
      <c r="AP203" s="500"/>
      <c r="AQ203" s="500"/>
      <c r="AR203" s="500"/>
      <c r="AS203" s="500"/>
      <c r="AT203" s="500"/>
      <c r="AU203" s="498"/>
      <c r="AV203" s="500"/>
      <c r="AW203" s="500"/>
      <c r="AX203" s="500"/>
      <c r="AY203" s="500"/>
      <c r="AZ203" s="500"/>
      <c r="BA203" s="500"/>
      <c r="BB203" s="500"/>
      <c r="BC203" s="500"/>
      <c r="BD203" s="500"/>
      <c r="BE203" s="500"/>
      <c r="BF203" s="500"/>
      <c r="BG203" s="500"/>
      <c r="BH203" s="500"/>
      <c r="BI203" s="500"/>
      <c r="BJ203" s="500"/>
      <c r="BK203" s="500"/>
      <c r="BL203" s="500"/>
      <c r="BM203" s="500"/>
      <c r="BN203" s="500"/>
      <c r="BO203" s="500"/>
      <c r="BP203" s="500"/>
      <c r="BQ203" s="498"/>
      <c r="BR203" s="498"/>
      <c r="BS203" s="498"/>
      <c r="BT203" s="498"/>
      <c r="BU203" s="498"/>
      <c r="BV203" s="500"/>
      <c r="BW203" s="498"/>
      <c r="BX203" s="498"/>
      <c r="BY203" s="498"/>
      <c r="BZ203" s="498"/>
      <c r="CA203" s="498"/>
      <c r="CB203" s="498"/>
      <c r="CC203" s="498"/>
      <c r="CD203" s="498"/>
      <c r="CE203" s="498"/>
      <c r="CF203" s="498"/>
      <c r="CG203" s="502"/>
      <c r="CH203" s="503"/>
      <c r="CI203" s="502"/>
      <c r="CJ203" s="502"/>
      <c r="CK203" s="502"/>
      <c r="CL203" s="500"/>
      <c r="CM203" s="500"/>
      <c r="CN203" s="500"/>
      <c r="CO203" s="500"/>
    </row>
    <row r="204">
      <c r="A204" s="496"/>
      <c r="B204" s="496"/>
      <c r="C204" s="496"/>
      <c r="D204" s="497"/>
      <c r="E204" s="498"/>
      <c r="F204" s="498"/>
      <c r="G204" s="499"/>
      <c r="H204" s="499"/>
      <c r="I204" s="498"/>
      <c r="J204" s="500"/>
      <c r="K204" s="496"/>
      <c r="L204" s="500"/>
      <c r="M204" s="496"/>
      <c r="N204" s="500"/>
      <c r="O204" s="496"/>
      <c r="P204" s="500"/>
      <c r="Q204" s="498"/>
      <c r="R204" s="500"/>
      <c r="S204" s="498"/>
      <c r="T204" s="496"/>
      <c r="U204" s="498"/>
      <c r="V204" s="496"/>
      <c r="W204" s="498"/>
      <c r="X204" s="500"/>
      <c r="Y204" s="498"/>
      <c r="Z204" s="500"/>
      <c r="AA204" s="500"/>
      <c r="AB204" s="500"/>
      <c r="AC204" s="501"/>
      <c r="AD204" s="500"/>
      <c r="AE204" s="501"/>
      <c r="AF204" s="500"/>
      <c r="AG204" s="501"/>
      <c r="AH204" s="500"/>
      <c r="AI204" s="498"/>
      <c r="AJ204" s="500"/>
      <c r="AK204" s="500"/>
      <c r="AL204" s="500"/>
      <c r="AM204" s="500"/>
      <c r="AN204" s="500"/>
      <c r="AO204" s="500"/>
      <c r="AP204" s="500"/>
      <c r="AQ204" s="500"/>
      <c r="AR204" s="500"/>
      <c r="AS204" s="500"/>
      <c r="AT204" s="500"/>
      <c r="AU204" s="498"/>
      <c r="AV204" s="500"/>
      <c r="AW204" s="500"/>
      <c r="AX204" s="500"/>
      <c r="AY204" s="500"/>
      <c r="AZ204" s="500"/>
      <c r="BA204" s="500"/>
      <c r="BB204" s="500"/>
      <c r="BC204" s="500"/>
      <c r="BD204" s="500"/>
      <c r="BE204" s="500"/>
      <c r="BF204" s="500"/>
      <c r="BG204" s="500"/>
      <c r="BH204" s="500"/>
      <c r="BI204" s="500"/>
      <c r="BJ204" s="500"/>
      <c r="BK204" s="500"/>
      <c r="BL204" s="500"/>
      <c r="BM204" s="500"/>
      <c r="BN204" s="500"/>
      <c r="BO204" s="500"/>
      <c r="BP204" s="500"/>
      <c r="BQ204" s="498"/>
      <c r="BR204" s="498"/>
      <c r="BS204" s="498"/>
      <c r="BT204" s="498"/>
      <c r="BU204" s="498"/>
      <c r="BV204" s="500"/>
      <c r="BW204" s="498"/>
      <c r="BX204" s="498"/>
      <c r="BY204" s="498"/>
      <c r="BZ204" s="498"/>
      <c r="CA204" s="498"/>
      <c r="CB204" s="498"/>
      <c r="CC204" s="498"/>
      <c r="CD204" s="498"/>
      <c r="CE204" s="498"/>
      <c r="CF204" s="498"/>
      <c r="CG204" s="502"/>
      <c r="CH204" s="503"/>
      <c r="CI204" s="502"/>
      <c r="CJ204" s="502"/>
      <c r="CK204" s="502"/>
      <c r="CL204" s="500"/>
      <c r="CM204" s="500"/>
      <c r="CN204" s="500"/>
      <c r="CO204" s="500"/>
    </row>
    <row r="205">
      <c r="A205" s="496"/>
      <c r="B205" s="496"/>
      <c r="C205" s="496"/>
      <c r="D205" s="497"/>
      <c r="E205" s="498"/>
      <c r="F205" s="498"/>
      <c r="G205" s="499"/>
      <c r="H205" s="499"/>
      <c r="I205" s="498"/>
      <c r="J205" s="500"/>
      <c r="K205" s="496"/>
      <c r="L205" s="500"/>
      <c r="M205" s="496"/>
      <c r="N205" s="500"/>
      <c r="O205" s="496"/>
      <c r="P205" s="500"/>
      <c r="Q205" s="498"/>
      <c r="R205" s="500"/>
      <c r="S205" s="498"/>
      <c r="T205" s="496"/>
      <c r="U205" s="498"/>
      <c r="V205" s="496"/>
      <c r="W205" s="498"/>
      <c r="X205" s="500"/>
      <c r="Y205" s="498"/>
      <c r="Z205" s="500"/>
      <c r="AA205" s="500"/>
      <c r="AB205" s="500"/>
      <c r="AC205" s="501"/>
      <c r="AD205" s="500"/>
      <c r="AE205" s="501"/>
      <c r="AF205" s="500"/>
      <c r="AG205" s="501"/>
      <c r="AH205" s="500"/>
      <c r="AI205" s="498"/>
      <c r="AJ205" s="500"/>
      <c r="AK205" s="500"/>
      <c r="AL205" s="500"/>
      <c r="AM205" s="500"/>
      <c r="AN205" s="500"/>
      <c r="AO205" s="500"/>
      <c r="AP205" s="500"/>
      <c r="AQ205" s="500"/>
      <c r="AR205" s="500"/>
      <c r="AS205" s="500"/>
      <c r="AT205" s="500"/>
      <c r="AU205" s="498"/>
      <c r="AV205" s="500"/>
      <c r="AW205" s="500"/>
      <c r="AX205" s="500"/>
      <c r="AY205" s="500"/>
      <c r="AZ205" s="500"/>
      <c r="BA205" s="500"/>
      <c r="BB205" s="500"/>
      <c r="BC205" s="500"/>
      <c r="BD205" s="500"/>
      <c r="BE205" s="500"/>
      <c r="BF205" s="500"/>
      <c r="BG205" s="500"/>
      <c r="BH205" s="500"/>
      <c r="BI205" s="500"/>
      <c r="BJ205" s="500"/>
      <c r="BK205" s="500"/>
      <c r="BL205" s="500"/>
      <c r="BM205" s="500"/>
      <c r="BN205" s="500"/>
      <c r="BO205" s="500"/>
      <c r="BP205" s="500"/>
      <c r="BQ205" s="498"/>
      <c r="BR205" s="498"/>
      <c r="BS205" s="498"/>
      <c r="BT205" s="498"/>
      <c r="BU205" s="498"/>
      <c r="BV205" s="500"/>
      <c r="BW205" s="498"/>
      <c r="BX205" s="498"/>
      <c r="BY205" s="498"/>
      <c r="BZ205" s="498"/>
      <c r="CA205" s="498"/>
      <c r="CB205" s="498"/>
      <c r="CC205" s="498"/>
      <c r="CD205" s="498"/>
      <c r="CE205" s="498"/>
      <c r="CF205" s="498"/>
      <c r="CG205" s="502"/>
      <c r="CH205" s="503"/>
      <c r="CI205" s="502"/>
      <c r="CJ205" s="502"/>
      <c r="CK205" s="502"/>
      <c r="CL205" s="500"/>
      <c r="CM205" s="500"/>
      <c r="CN205" s="500"/>
      <c r="CO205" s="500"/>
    </row>
    <row r="206">
      <c r="A206" s="496"/>
      <c r="B206" s="496"/>
      <c r="C206" s="496"/>
      <c r="D206" s="497"/>
      <c r="E206" s="498"/>
      <c r="F206" s="498"/>
      <c r="G206" s="499"/>
      <c r="H206" s="499"/>
      <c r="I206" s="498"/>
      <c r="J206" s="500"/>
      <c r="K206" s="496"/>
      <c r="L206" s="500"/>
      <c r="M206" s="496"/>
      <c r="N206" s="500"/>
      <c r="O206" s="496"/>
      <c r="P206" s="500"/>
      <c r="Q206" s="498"/>
      <c r="R206" s="500"/>
      <c r="S206" s="498"/>
      <c r="T206" s="496"/>
      <c r="U206" s="498"/>
      <c r="V206" s="496"/>
      <c r="W206" s="498"/>
      <c r="X206" s="500"/>
      <c r="Y206" s="498"/>
      <c r="Z206" s="500"/>
      <c r="AA206" s="500"/>
      <c r="AB206" s="500"/>
      <c r="AC206" s="501"/>
      <c r="AD206" s="500"/>
      <c r="AE206" s="501"/>
      <c r="AF206" s="500"/>
      <c r="AG206" s="501"/>
      <c r="AH206" s="500"/>
      <c r="AI206" s="498"/>
      <c r="AJ206" s="500"/>
      <c r="AK206" s="500"/>
      <c r="AL206" s="500"/>
      <c r="AM206" s="500"/>
      <c r="AN206" s="500"/>
      <c r="AO206" s="500"/>
      <c r="AP206" s="500"/>
      <c r="AQ206" s="500"/>
      <c r="AR206" s="500"/>
      <c r="AS206" s="500"/>
      <c r="AT206" s="500"/>
      <c r="AU206" s="498"/>
      <c r="AV206" s="500"/>
      <c r="AW206" s="500"/>
      <c r="AX206" s="500"/>
      <c r="AY206" s="500"/>
      <c r="AZ206" s="500"/>
      <c r="BA206" s="500"/>
      <c r="BB206" s="500"/>
      <c r="BC206" s="500"/>
      <c r="BD206" s="500"/>
      <c r="BE206" s="500"/>
      <c r="BF206" s="500"/>
      <c r="BG206" s="500"/>
      <c r="BH206" s="500"/>
      <c r="BI206" s="500"/>
      <c r="BJ206" s="500"/>
      <c r="BK206" s="500"/>
      <c r="BL206" s="500"/>
      <c r="BM206" s="500"/>
      <c r="BN206" s="500"/>
      <c r="BO206" s="500"/>
      <c r="BP206" s="500"/>
      <c r="BQ206" s="498"/>
      <c r="BR206" s="498"/>
      <c r="BS206" s="498"/>
      <c r="BT206" s="498"/>
      <c r="BU206" s="498"/>
      <c r="BV206" s="500"/>
      <c r="BW206" s="498"/>
      <c r="BX206" s="498"/>
      <c r="BY206" s="498"/>
      <c r="BZ206" s="498"/>
      <c r="CA206" s="498"/>
      <c r="CB206" s="498"/>
      <c r="CC206" s="498"/>
      <c r="CD206" s="498"/>
      <c r="CE206" s="498"/>
      <c r="CF206" s="498"/>
      <c r="CG206" s="502"/>
      <c r="CH206" s="503"/>
      <c r="CI206" s="502"/>
      <c r="CJ206" s="502"/>
      <c r="CK206" s="502"/>
      <c r="CL206" s="500"/>
      <c r="CM206" s="500"/>
      <c r="CN206" s="500"/>
      <c r="CO206" s="500"/>
    </row>
    <row r="207">
      <c r="A207" s="496"/>
      <c r="B207" s="496"/>
      <c r="C207" s="496"/>
      <c r="D207" s="497"/>
      <c r="E207" s="498"/>
      <c r="F207" s="498"/>
      <c r="G207" s="499"/>
      <c r="H207" s="499"/>
      <c r="I207" s="498"/>
      <c r="J207" s="500"/>
      <c r="K207" s="496"/>
      <c r="L207" s="500"/>
      <c r="M207" s="496"/>
      <c r="N207" s="500"/>
      <c r="O207" s="496"/>
      <c r="P207" s="500"/>
      <c r="Q207" s="498"/>
      <c r="R207" s="500"/>
      <c r="S207" s="498"/>
      <c r="T207" s="496"/>
      <c r="U207" s="498"/>
      <c r="V207" s="496"/>
      <c r="W207" s="498"/>
      <c r="X207" s="500"/>
      <c r="Y207" s="498"/>
      <c r="Z207" s="500"/>
      <c r="AA207" s="500"/>
      <c r="AB207" s="500"/>
      <c r="AC207" s="501"/>
      <c r="AD207" s="500"/>
      <c r="AE207" s="501"/>
      <c r="AF207" s="500"/>
      <c r="AG207" s="501"/>
      <c r="AH207" s="500"/>
      <c r="AI207" s="498"/>
      <c r="AJ207" s="500"/>
      <c r="AK207" s="500"/>
      <c r="AL207" s="500"/>
      <c r="AM207" s="500"/>
      <c r="AN207" s="500"/>
      <c r="AO207" s="500"/>
      <c r="AP207" s="500"/>
      <c r="AQ207" s="500"/>
      <c r="AR207" s="500"/>
      <c r="AS207" s="500"/>
      <c r="AT207" s="500"/>
      <c r="AU207" s="498"/>
      <c r="AV207" s="500"/>
      <c r="AW207" s="500"/>
      <c r="AX207" s="500"/>
      <c r="AY207" s="500"/>
      <c r="AZ207" s="500"/>
      <c r="BA207" s="500"/>
      <c r="BB207" s="500"/>
      <c r="BC207" s="500"/>
      <c r="BD207" s="500"/>
      <c r="BE207" s="500"/>
      <c r="BF207" s="500"/>
      <c r="BG207" s="500"/>
      <c r="BH207" s="500"/>
      <c r="BI207" s="500"/>
      <c r="BJ207" s="500"/>
      <c r="BK207" s="500"/>
      <c r="BL207" s="500"/>
      <c r="BM207" s="500"/>
      <c r="BN207" s="500"/>
      <c r="BO207" s="500"/>
      <c r="BP207" s="500"/>
      <c r="BQ207" s="498"/>
      <c r="BR207" s="498"/>
      <c r="BS207" s="498"/>
      <c r="BT207" s="498"/>
      <c r="BU207" s="498"/>
      <c r="BV207" s="500"/>
      <c r="BW207" s="498"/>
      <c r="BX207" s="498"/>
      <c r="BY207" s="498"/>
      <c r="BZ207" s="498"/>
      <c r="CA207" s="498"/>
      <c r="CB207" s="498"/>
      <c r="CC207" s="498"/>
      <c r="CD207" s="498"/>
      <c r="CE207" s="498"/>
      <c r="CF207" s="498"/>
      <c r="CG207" s="502"/>
      <c r="CH207" s="503"/>
      <c r="CI207" s="502"/>
      <c r="CJ207" s="502"/>
      <c r="CK207" s="502"/>
      <c r="CL207" s="500"/>
      <c r="CM207" s="500"/>
      <c r="CN207" s="500"/>
      <c r="CO207" s="500"/>
    </row>
  </sheetData>
  <mergeCells>
    <mergeCell ref="BF1:BG1"/>
    <mergeCell ref="BD1:BE1"/>
    <mergeCell ref="B3:B8"/>
    <mergeCell ref="B1:B2"/>
    <mergeCell ref="F1:F2"/>
    <mergeCell ref="E1:E2"/>
    <mergeCell ref="D1:D2"/>
    <mergeCell ref="C1:C2"/>
    <mergeCell ref="AF1:AG1"/>
    <mergeCell ref="AD1:AE1"/>
    <mergeCell ref="AB1:AC1"/>
    <mergeCell ref="Z1:AA1"/>
    <mergeCell ref="X1:Y1"/>
    <mergeCell ref="V1:W1"/>
    <mergeCell ref="T1:U1"/>
    <mergeCell ref="H1:I1"/>
    <mergeCell ref="J1:K1"/>
    <mergeCell ref="L1:M1"/>
    <mergeCell ref="N1:O1"/>
    <mergeCell ref="P1:Q1"/>
    <mergeCell ref="R1:S1"/>
    <mergeCell ref="G1:G2"/>
    <mergeCell ref="AH1:AI1"/>
    <mergeCell ref="AJ1:AK1"/>
    <mergeCell ref="A1:A2"/>
    <mergeCell ref="AR1:AS1"/>
    <mergeCell ref="AT1:AU1"/>
    <mergeCell ref="AL1:AM1"/>
    <mergeCell ref="AN1:AO1"/>
    <mergeCell ref="AP1:AQ1"/>
    <mergeCell ref="AV1:AW1"/>
    <mergeCell ref="AX1:AY1"/>
    <mergeCell ref="AZ1:BA1"/>
    <mergeCell ref="BB1:BC1"/>
    <mergeCell ref="BH1:BI1"/>
    <mergeCell ref="BJ1:BK1"/>
    <mergeCell ref="BL1:BM1"/>
    <mergeCell ref="BN1:BO1"/>
    <mergeCell ref="BP1:BQ1"/>
    <mergeCell ref="BR1:BS1"/>
    <mergeCell ref="BT1:BU1"/>
    <mergeCell ref="BT17:BU17"/>
    <mergeCell ref="BR17:BS17"/>
    <mergeCell ref="BP17:BQ17"/>
    <mergeCell ref="BF17:BG17"/>
    <mergeCell ref="BD17:BE17"/>
    <mergeCell ref="BB17:BC17"/>
    <mergeCell ref="AJ17:AK17"/>
    <mergeCell ref="AH17:AI17"/>
    <mergeCell ref="AF17:AG17"/>
    <mergeCell ref="AD17:AE17"/>
    <mergeCell ref="AB17:AC17"/>
    <mergeCell ref="V17:W17"/>
    <mergeCell ref="T17:U17"/>
    <mergeCell ref="R17:S17"/>
    <mergeCell ref="P17:Q17"/>
    <mergeCell ref="N17:O17"/>
    <mergeCell ref="L17:M17"/>
    <mergeCell ref="J17:K17"/>
    <mergeCell ref="X17:Y17"/>
    <mergeCell ref="Z17:AA17"/>
    <mergeCell ref="AR17:AS17"/>
    <mergeCell ref="AP17:AQ17"/>
    <mergeCell ref="AN17:AO17"/>
    <mergeCell ref="AT17:AU17"/>
    <mergeCell ref="AL17:AM17"/>
    <mergeCell ref="AV17:AW17"/>
    <mergeCell ref="AX17:AY17"/>
    <mergeCell ref="AZ17:BA17"/>
    <mergeCell ref="BH17:BI17"/>
    <mergeCell ref="BJ17:BK17"/>
    <mergeCell ref="BL17:BM17"/>
    <mergeCell ref="BN17:BO17"/>
    <mergeCell ref="BV1:BW1"/>
    <mergeCell ref="BV17:BW17"/>
    <mergeCell ref="BX1:BY1"/>
    <mergeCell ref="BX17:BY17"/>
    <mergeCell ref="BZ1:CA1"/>
    <mergeCell ref="BZ17:CA17"/>
    <mergeCell ref="CB1:CC1"/>
    <mergeCell ref="CB17:CC17"/>
    <mergeCell ref="CD1:CE1"/>
    <mergeCell ref="CD17:CE17"/>
    <mergeCell ref="CF1:CG1"/>
    <mergeCell ref="CF17:CG17"/>
    <mergeCell ref="CH1:CI1"/>
    <mergeCell ref="CH17:CI17"/>
    <mergeCell ref="CL1:CL2"/>
    <mergeCell ref="CM1:CM2"/>
    <mergeCell ref="CN1:CN2"/>
    <mergeCell ref="CJ1:CK1"/>
    <mergeCell ref="CJ17:CK17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H3" xSplit="7" ySplit="2"/>
    </sheetView>
  </sheetViews>
  <sheetFormatPr defaultColWidth="14" defaultRowHeight="19"/>
  <cols>
    <col collapsed="false" customWidth="true" hidden="false" max="5" min="5" style="0" width="10"/>
    <col collapsed="false" customWidth="true" hidden="false" max="13" min="13" style="0" width="13"/>
    <col collapsed="false" customWidth="true" hidden="false" max="21" min="21" style="0" width="15"/>
    <col collapsed="false" customWidth="true" hidden="false" max="29" min="29" style="0" width="15"/>
    <col collapsed="false" customWidth="true" hidden="false" max="6" min="6" style="0" width="11"/>
    <col collapsed="false" customWidth="true" hidden="false" max="14" min="14" style="0" width="10"/>
    <col collapsed="false" customWidth="true" hidden="false" max="22" min="22" style="0" width="11"/>
    <col collapsed="false" customWidth="true" hidden="false" max="30" min="30" style="0" width="15"/>
    <col collapsed="false" customWidth="true" hidden="false" max="7" min="7" style="0" width="15"/>
    <col collapsed="false" customWidth="true" hidden="false" max="15" min="15" style="0" width="12"/>
    <col collapsed="false" customWidth="true" hidden="false" max="23" min="23" style="0" width="14"/>
    <col collapsed="false" customWidth="true" hidden="false" max="31" min="31" style="0" width="10"/>
    <col collapsed="false" customWidth="true" hidden="false" max="8" min="8" style="0" width="8"/>
    <col collapsed="false" customWidth="true" hidden="false" max="16" min="16" style="0" width="10"/>
    <col collapsed="false" customWidth="true" hidden="false" max="24" min="24" style="0" width="11"/>
    <col collapsed="false" customWidth="true" hidden="false" max="1" min="1" style="0" width="7"/>
    <col collapsed="false" customWidth="true" hidden="false" max="9" min="9" style="0" width="12"/>
    <col collapsed="false" customWidth="true" hidden="false" max="17" min="17" style="0" width="12"/>
    <col collapsed="false" customWidth="true" hidden="false" max="25" min="25" style="0" width="11"/>
    <col collapsed="false" customWidth="true" hidden="false" max="2" min="2" style="0" width="13"/>
    <col collapsed="false" customWidth="true" hidden="false" max="10" min="10" style="0" width="8"/>
    <col collapsed="false" customWidth="true" hidden="false" max="18" min="18" style="0" width="10"/>
    <col collapsed="false" customWidth="true" hidden="false" max="26" min="26" style="0" width="11"/>
    <col collapsed="false" customWidth="true" hidden="false" max="3" min="3" style="0" width="19"/>
    <col collapsed="false" customWidth="true" hidden="false" max="11" min="11" style="0" width="12"/>
    <col collapsed="false" customWidth="true" hidden="false" max="19" min="19" style="0" width="13"/>
    <col collapsed="false" customWidth="true" hidden="false" max="27" min="27" style="0" width="11"/>
    <col collapsed="false" customWidth="true" hidden="false" max="28" min="28" style="0" width="15"/>
    <col collapsed="false" customWidth="true" hidden="false" max="4" min="4" style="0" width="34"/>
    <col collapsed="false" customWidth="true" hidden="false" max="12" min="12" style="0" width="10"/>
    <col collapsed="false" customWidth="true" hidden="false" max="20" min="20" style="0" width="10"/>
  </cols>
  <sheetData>
    <row r="1">
      <c r="A1" s="505" t="s">
        <v>777</v>
      </c>
      <c r="B1" s="506" t="s">
        <v>778</v>
      </c>
      <c r="C1" s="505" t="s">
        <v>779</v>
      </c>
      <c r="D1" s="507" t="s">
        <v>780</v>
      </c>
      <c r="E1" s="508" t="s">
        <v>781</v>
      </c>
      <c r="F1" s="509" t="s">
        <v>782</v>
      </c>
      <c r="G1" s="510"/>
      <c r="H1" s="511" t="s">
        <v>783</v>
      </c>
      <c r="I1" s="512"/>
      <c r="J1" s="511" t="s">
        <v>784</v>
      </c>
      <c r="K1" s="512"/>
      <c r="L1" s="511" t="s">
        <v>785</v>
      </c>
      <c r="M1" s="513"/>
      <c r="N1" s="514" t="s">
        <v>786</v>
      </c>
      <c r="O1" s="511"/>
      <c r="P1" s="514" t="s">
        <v>787</v>
      </c>
      <c r="Q1" s="514"/>
      <c r="R1" s="514" t="s">
        <v>788</v>
      </c>
      <c r="S1" s="514"/>
      <c r="T1" s="514" t="s">
        <v>789</v>
      </c>
      <c r="U1" s="514"/>
      <c r="V1" s="514" t="s">
        <v>790</v>
      </c>
      <c r="W1" s="514"/>
      <c r="X1" s="514" t="s">
        <v>790</v>
      </c>
      <c r="Y1" s="514"/>
      <c r="Z1" s="514" t="s">
        <v>790</v>
      </c>
      <c r="AA1" s="514"/>
      <c r="AB1" s="515" t="s">
        <v>791</v>
      </c>
      <c r="AC1" s="516" t="s">
        <v>792</v>
      </c>
      <c r="AD1" s="517" t="s">
        <v>793</v>
      </c>
      <c r="AE1" s="518" t="s">
        <v>794</v>
      </c>
    </row>
    <row r="2">
      <c r="A2" s="505"/>
      <c r="B2" s="506"/>
      <c r="C2" s="505"/>
      <c r="D2" s="507"/>
      <c r="E2" s="508"/>
      <c r="F2" s="509" t="s">
        <v>795</v>
      </c>
      <c r="G2" s="513" t="s">
        <v>796</v>
      </c>
      <c r="H2" s="511" t="s">
        <v>795</v>
      </c>
      <c r="I2" s="512" t="s">
        <v>796</v>
      </c>
      <c r="J2" s="511" t="s">
        <v>795</v>
      </c>
      <c r="K2" s="512" t="s">
        <v>796</v>
      </c>
      <c r="L2" s="511" t="s">
        <v>797</v>
      </c>
      <c r="M2" s="513" t="s">
        <v>796</v>
      </c>
      <c r="N2" s="511" t="s">
        <v>797</v>
      </c>
      <c r="O2" s="513" t="s">
        <v>796</v>
      </c>
      <c r="P2" s="511" t="s">
        <v>797</v>
      </c>
      <c r="Q2" s="513" t="s">
        <v>796</v>
      </c>
      <c r="R2" s="511" t="s">
        <v>797</v>
      </c>
      <c r="S2" s="513" t="s">
        <v>796</v>
      </c>
      <c r="T2" s="511" t="s">
        <v>797</v>
      </c>
      <c r="U2" s="513" t="s">
        <v>796</v>
      </c>
      <c r="V2" s="511" t="s">
        <v>797</v>
      </c>
      <c r="W2" s="513" t="s">
        <v>796</v>
      </c>
      <c r="X2" s="511" t="s">
        <v>797</v>
      </c>
      <c r="Y2" s="513" t="s">
        <v>796</v>
      </c>
      <c r="Z2" s="511" t="s">
        <v>797</v>
      </c>
      <c r="AA2" s="513" t="s">
        <v>796</v>
      </c>
      <c r="AB2" s="515"/>
      <c r="AC2" s="516"/>
      <c r="AD2" s="517"/>
      <c r="AE2" s="519"/>
    </row>
    <row r="3">
      <c r="A3" s="520">
        <v>1</v>
      </c>
      <c r="B3" s="521" t="s">
        <v>798</v>
      </c>
      <c r="C3" s="522">
        <v>697884024049500</v>
      </c>
      <c r="D3" s="523" t="s">
        <v>799</v>
      </c>
      <c r="E3" s="524">
        <v>2.2</v>
      </c>
      <c r="F3" s="525">
        <v>5000</v>
      </c>
      <c r="G3" s="526">
        <f t="shared" ref="G3:G14" si="15">E3*F3</f>
      </c>
      <c r="H3" s="527">
        <v>2</v>
      </c>
      <c r="I3" s="528">
        <f t="shared" ref="I3:I14" si="3">H3*E3</f>
      </c>
      <c r="J3" s="527">
        <v>0</v>
      </c>
      <c r="K3" s="528">
        <f t="shared" ref="K3:K10" si="0">J3*E3</f>
      </c>
      <c r="L3" s="527">
        <v>2880</v>
      </c>
      <c r="M3" s="526">
        <f t="shared" ref="M3:M10" si="19">L3*E3</f>
      </c>
      <c r="N3" s="527">
        <v>0</v>
      </c>
      <c r="O3" s="526">
        <f t="shared" ref="O3:O10" si="16">N3*E3</f>
      </c>
      <c r="P3" s="527">
        <v>0</v>
      </c>
      <c r="Q3" s="526">
        <f t="shared" ref="Q3:Q9" si="17">P3*G3</f>
      </c>
      <c r="R3" s="527">
        <v>0</v>
      </c>
      <c r="S3" s="526">
        <f t="shared" ref="S3:S10" si="11">R3*E3</f>
      </c>
      <c r="T3" s="527">
        <v>0</v>
      </c>
      <c r="U3" s="526">
        <f>T3*G3</f>
      </c>
      <c r="V3" s="527">
        <v>271</v>
      </c>
      <c r="W3" s="526">
        <f t="shared" ref="W3:W10" si="1">V3*E3</f>
      </c>
      <c r="X3" s="527">
        <v>1847</v>
      </c>
      <c r="Y3" s="526">
        <f t="shared" ref="Y3:Y14" si="20">X3*E3</f>
      </c>
      <c r="Z3" s="527">
        <v>0</v>
      </c>
      <c r="AA3" s="526">
        <f t="shared" ref="AA3:AA14" si="18">Z3*E3</f>
      </c>
      <c r="AB3" s="529">
        <f t="shared" ref="AB3:AB6" si="13">F3-H3-J3-L3-N3-P3-R3-V3-X3</f>
      </c>
      <c r="AC3" s="530">
        <v>0</v>
      </c>
      <c r="AD3" s="531">
        <f>AB3-AC3</f>
      </c>
      <c r="AE3" s="532"/>
    </row>
    <row r="4">
      <c r="A4" s="533"/>
      <c r="B4" s="521"/>
      <c r="C4" s="534">
        <v>697884024050100</v>
      </c>
      <c r="D4" s="523" t="s">
        <v>800</v>
      </c>
      <c r="E4" s="524">
        <v>3.1</v>
      </c>
      <c r="F4" s="525">
        <v>5000</v>
      </c>
      <c r="G4" s="526">
        <f t="shared" si="15"/>
      </c>
      <c r="H4" s="527">
        <v>2</v>
      </c>
      <c r="I4" s="528">
        <f t="shared" si="3"/>
      </c>
      <c r="J4" s="527">
        <v>0</v>
      </c>
      <c r="K4" s="528">
        <f t="shared" si="0"/>
      </c>
      <c r="L4" s="527">
        <v>2880</v>
      </c>
      <c r="M4" s="526">
        <f t="shared" si="19"/>
      </c>
      <c r="N4" s="527">
        <v>0</v>
      </c>
      <c r="O4" s="526">
        <f t="shared" si="16"/>
      </c>
      <c r="P4" s="527">
        <v>0</v>
      </c>
      <c r="Q4" s="526">
        <f t="shared" si="17"/>
      </c>
      <c r="R4" s="527">
        <v>500</v>
      </c>
      <c r="S4" s="526">
        <f t="shared" si="11"/>
      </c>
      <c r="T4" s="527">
        <v>1494</v>
      </c>
      <c r="U4" s="526">
        <f>T4*E4</f>
      </c>
      <c r="V4" s="527">
        <v>0</v>
      </c>
      <c r="W4" s="526">
        <f t="shared" si="1"/>
      </c>
      <c r="X4" s="527">
        <v>124</v>
      </c>
      <c r="Y4" s="526">
        <f t="shared" si="20"/>
      </c>
      <c r="Z4" s="535">
        <v>0</v>
      </c>
      <c r="AA4" s="526">
        <f t="shared" si="18"/>
      </c>
      <c r="AB4" s="529">
        <f t="shared" si="13"/>
      </c>
      <c r="AC4" s="530">
        <v>0</v>
      </c>
      <c r="AD4" s="530">
        <v>0</v>
      </c>
      <c r="AE4" s="536"/>
    </row>
    <row r="5">
      <c r="A5" s="533"/>
      <c r="B5" s="521"/>
      <c r="C5" s="534">
        <v>697884024051800</v>
      </c>
      <c r="D5" s="523" t="s">
        <v>801</v>
      </c>
      <c r="E5" s="524">
        <v>8.1</v>
      </c>
      <c r="F5" s="525">
        <v>5000</v>
      </c>
      <c r="G5" s="526">
        <f t="shared" si="15"/>
      </c>
      <c r="H5" s="527">
        <v>2</v>
      </c>
      <c r="I5" s="528">
        <f t="shared" si="3"/>
      </c>
      <c r="J5" s="527">
        <v>0</v>
      </c>
      <c r="K5" s="528">
        <f t="shared" si="0"/>
      </c>
      <c r="L5" s="527">
        <v>4608</v>
      </c>
      <c r="M5" s="526">
        <f t="shared" si="19"/>
      </c>
      <c r="N5" s="527">
        <v>0</v>
      </c>
      <c r="O5" s="526">
        <f t="shared" si="16"/>
      </c>
      <c r="P5" s="527">
        <v>0</v>
      </c>
      <c r="Q5" s="526">
        <f t="shared" si="17"/>
      </c>
      <c r="R5" s="527">
        <v>0</v>
      </c>
      <c r="S5" s="526">
        <f t="shared" si="11"/>
      </c>
      <c r="T5" s="527">
        <v>0</v>
      </c>
      <c r="U5" s="526">
        <f t="shared" ref="U5:U7" si="12">T5*G5</f>
      </c>
      <c r="V5" s="527">
        <v>0</v>
      </c>
      <c r="W5" s="526">
        <f t="shared" si="1"/>
      </c>
      <c r="X5" s="527">
        <v>0</v>
      </c>
      <c r="Y5" s="526">
        <f t="shared" si="20"/>
      </c>
      <c r="Z5" s="527">
        <v>0</v>
      </c>
      <c r="AA5" s="526">
        <f t="shared" si="18"/>
      </c>
      <c r="AB5" s="529">
        <f t="shared" si="13"/>
      </c>
      <c r="AC5" s="530">
        <v>390</v>
      </c>
      <c r="AD5" s="531">
        <f t="shared" ref="AD5:AD6" si="2">AB5-AC5</f>
      </c>
      <c r="AE5" s="532"/>
    </row>
    <row r="6">
      <c r="A6" s="537"/>
      <c r="B6" s="538"/>
      <c r="C6" s="539">
        <v>697884024053200</v>
      </c>
      <c r="D6" s="540" t="s">
        <v>802</v>
      </c>
      <c r="E6" s="541">
        <v>16.8</v>
      </c>
      <c r="F6" s="542">
        <v>5000</v>
      </c>
      <c r="G6" s="543">
        <f t="shared" si="15"/>
      </c>
      <c r="H6" s="535">
        <v>2</v>
      </c>
      <c r="I6" s="544">
        <f t="shared" si="3"/>
      </c>
      <c r="J6" s="535">
        <v>0</v>
      </c>
      <c r="K6" s="544">
        <f t="shared" si="0"/>
      </c>
      <c r="L6" s="535">
        <v>4998</v>
      </c>
      <c r="M6" s="543">
        <f t="shared" si="19"/>
      </c>
      <c r="N6" s="535">
        <v>0</v>
      </c>
      <c r="O6" s="543">
        <f t="shared" si="16"/>
      </c>
      <c r="P6" s="535">
        <v>0</v>
      </c>
      <c r="Q6" s="543">
        <f t="shared" si="17"/>
      </c>
      <c r="R6" s="535">
        <v>0</v>
      </c>
      <c r="S6" s="543">
        <f t="shared" si="11"/>
      </c>
      <c r="T6" s="535">
        <v>0</v>
      </c>
      <c r="U6" s="543">
        <f t="shared" si="12"/>
      </c>
      <c r="V6" s="535">
        <v>0</v>
      </c>
      <c r="W6" s="543">
        <f t="shared" si="1"/>
      </c>
      <c r="X6" s="535">
        <v>0</v>
      </c>
      <c r="Y6" s="526">
        <f t="shared" si="20"/>
      </c>
      <c r="Z6" s="535">
        <v>0</v>
      </c>
      <c r="AA6" s="526">
        <f t="shared" si="18"/>
      </c>
      <c r="AB6" s="529">
        <f t="shared" si="13"/>
      </c>
      <c r="AC6" s="545">
        <v>0</v>
      </c>
      <c r="AD6" s="545">
        <f t="shared" si="2"/>
      </c>
      <c r="AE6" s="546"/>
      <c r="AF6" s="547"/>
      <c r="AG6" s="547"/>
      <c r="AH6" s="547"/>
      <c r="AI6" s="547"/>
      <c r="AJ6" s="547"/>
      <c r="AK6" s="547"/>
      <c r="AL6" s="547"/>
      <c r="AM6" s="547"/>
      <c r="AN6" s="547"/>
      <c r="AO6" s="547"/>
      <c r="AP6" s="547"/>
      <c r="AQ6" s="547"/>
      <c r="AR6" s="547"/>
      <c r="AS6" s="547"/>
      <c r="AT6" s="547"/>
      <c r="AU6" s="547"/>
      <c r="AV6" s="547"/>
      <c r="AW6" s="547"/>
      <c r="AX6" s="547"/>
      <c r="AY6" s="547"/>
      <c r="AZ6" s="547"/>
      <c r="BA6" s="547"/>
      <c r="BB6" s="547"/>
      <c r="BC6" s="547"/>
      <c r="BD6" s="547"/>
      <c r="BE6" s="547"/>
      <c r="BF6" s="547"/>
      <c r="BG6" s="547"/>
      <c r="BH6" s="547"/>
      <c r="BI6" s="547"/>
      <c r="BJ6" s="547"/>
      <c r="BK6" s="547"/>
      <c r="BL6" s="547"/>
      <c r="BM6" s="547"/>
      <c r="BN6" s="547"/>
      <c r="BO6" s="547"/>
      <c r="BP6" s="547"/>
      <c r="BQ6" s="547"/>
      <c r="BR6" s="547"/>
      <c r="BS6" s="547"/>
    </row>
    <row r="7">
      <c r="A7" s="533"/>
      <c r="B7" s="521"/>
      <c r="C7" s="534">
        <v>697884024046400</v>
      </c>
      <c r="D7" s="523" t="s">
        <v>803</v>
      </c>
      <c r="E7" s="524">
        <v>18.4</v>
      </c>
      <c r="F7" s="525">
        <v>2000</v>
      </c>
      <c r="G7" s="526">
        <f t="shared" si="15"/>
      </c>
      <c r="H7" s="527">
        <v>2</v>
      </c>
      <c r="I7" s="528">
        <f t="shared" si="3"/>
      </c>
      <c r="J7" s="527">
        <v>300</v>
      </c>
      <c r="K7" s="528">
        <f t="shared" si="0"/>
      </c>
      <c r="L7" s="527">
        <v>0</v>
      </c>
      <c r="M7" s="526">
        <f t="shared" si="19"/>
      </c>
      <c r="N7" s="527">
        <v>100</v>
      </c>
      <c r="O7" s="526">
        <f t="shared" si="16"/>
      </c>
      <c r="P7" s="527">
        <v>0</v>
      </c>
      <c r="Q7" s="526">
        <f t="shared" si="17"/>
      </c>
      <c r="R7" s="527">
        <v>0</v>
      </c>
      <c r="S7" s="526">
        <f t="shared" si="11"/>
      </c>
      <c r="T7" s="527">
        <v>0</v>
      </c>
      <c r="U7" s="526">
        <f t="shared" si="12"/>
      </c>
      <c r="V7" s="527">
        <f>36*6</f>
      </c>
      <c r="W7" s="526">
        <f t="shared" si="1"/>
      </c>
      <c r="X7" s="527">
        <v>0</v>
      </c>
      <c r="Y7" s="526">
        <f t="shared" si="20"/>
      </c>
      <c r="Z7" s="527">
        <v>360</v>
      </c>
      <c r="AA7" s="526">
        <f t="shared" si="18"/>
      </c>
      <c r="AB7" s="529">
        <f>F7-H7-J7-L7-N7-P7-R7-V7-X7-Z7</f>
      </c>
      <c r="AC7" s="530"/>
      <c r="AD7" s="531"/>
      <c r="AE7" s="532"/>
    </row>
    <row r="8">
      <c r="A8" s="533"/>
      <c r="B8" s="521"/>
      <c r="C8" s="534">
        <v>697884024047100</v>
      </c>
      <c r="D8" s="523" t="s">
        <v>804</v>
      </c>
      <c r="E8" s="524">
        <v>21.5</v>
      </c>
      <c r="F8" s="525">
        <v>2000</v>
      </c>
      <c r="G8" s="526">
        <f t="shared" si="15"/>
      </c>
      <c r="H8" s="527">
        <v>2</v>
      </c>
      <c r="I8" s="528">
        <f t="shared" si="3"/>
      </c>
      <c r="J8" s="527">
        <v>200</v>
      </c>
      <c r="K8" s="528">
        <f t="shared" si="0"/>
      </c>
      <c r="L8" s="527">
        <v>0</v>
      </c>
      <c r="M8" s="526">
        <f t="shared" si="19"/>
      </c>
      <c r="N8" s="527">
        <v>100</v>
      </c>
      <c r="O8" s="526">
        <f t="shared" si="16"/>
      </c>
      <c r="P8" s="527">
        <v>0</v>
      </c>
      <c r="Q8" s="526">
        <f t="shared" si="17"/>
      </c>
      <c r="R8" s="527">
        <v>72</v>
      </c>
      <c r="S8" s="526">
        <f t="shared" si="11"/>
      </c>
      <c r="T8" s="527">
        <v>72</v>
      </c>
      <c r="U8" s="526">
        <f t="shared" ref="U8:U9" si="21">T8*E8</f>
      </c>
      <c r="V8" s="527">
        <f>36*25</f>
      </c>
      <c r="W8" s="526">
        <f t="shared" si="1"/>
      </c>
      <c r="X8" s="527">
        <v>0</v>
      </c>
      <c r="Y8" s="526">
        <f t="shared" si="20"/>
      </c>
      <c r="Z8" s="527">
        <v>0</v>
      </c>
      <c r="AA8" s="526">
        <f t="shared" si="18"/>
      </c>
      <c r="AB8" s="529">
        <f>F8-H8-J8-L8-N8-P8-R8-V8-X8-T8</f>
      </c>
      <c r="AC8" s="530">
        <f>AB8</f>
      </c>
      <c r="AD8" s="530">
        <v>0</v>
      </c>
      <c r="AE8" s="532"/>
    </row>
    <row r="9">
      <c r="A9" s="533"/>
      <c r="B9" s="521"/>
      <c r="C9" s="534">
        <v>697884024048800</v>
      </c>
      <c r="D9" s="523" t="s">
        <v>805</v>
      </c>
      <c r="E9" s="524">
        <v>53.7</v>
      </c>
      <c r="F9" s="525">
        <v>1000</v>
      </c>
      <c r="G9" s="526">
        <f t="shared" si="15"/>
      </c>
      <c r="H9" s="527">
        <v>2</v>
      </c>
      <c r="I9" s="528">
        <f t="shared" si="3"/>
      </c>
      <c r="J9" s="527">
        <v>100</v>
      </c>
      <c r="K9" s="528">
        <f t="shared" si="0"/>
      </c>
      <c r="L9" s="527">
        <v>0</v>
      </c>
      <c r="M9" s="526">
        <f t="shared" si="19"/>
      </c>
      <c r="N9" s="527">
        <v>100</v>
      </c>
      <c r="O9" s="526">
        <f t="shared" si="16"/>
      </c>
      <c r="P9" s="527">
        <v>0</v>
      </c>
      <c r="Q9" s="526">
        <f t="shared" si="17"/>
      </c>
      <c r="R9" s="527">
        <v>36</v>
      </c>
      <c r="S9" s="526">
        <f t="shared" si="11"/>
      </c>
      <c r="T9" s="527">
        <v>0</v>
      </c>
      <c r="U9" s="526">
        <f t="shared" si="21"/>
      </c>
      <c r="V9" s="527">
        <f>36*3</f>
      </c>
      <c r="W9" s="526">
        <f t="shared" si="1"/>
      </c>
      <c r="X9" s="527">
        <v>0</v>
      </c>
      <c r="Y9" s="526">
        <f t="shared" si="20"/>
      </c>
      <c r="Z9" s="527">
        <v>0</v>
      </c>
      <c r="AA9" s="526">
        <f t="shared" si="18"/>
      </c>
      <c r="AB9" s="529">
        <f t="shared" ref="AB9:AB14" si="14">F9-H9-J9-L9-N9-P9-R9-V9-X9</f>
      </c>
      <c r="AC9" s="530"/>
      <c r="AD9" s="531"/>
      <c r="AE9" s="532"/>
    </row>
    <row r="10">
      <c r="A10" s="533"/>
      <c r="B10" s="521"/>
      <c r="C10" s="534">
        <v>697884024052500</v>
      </c>
      <c r="D10" s="523" t="s">
        <v>806</v>
      </c>
      <c r="E10" s="524">
        <v>91.9</v>
      </c>
      <c r="F10" s="525">
        <v>2000</v>
      </c>
      <c r="G10" s="526">
        <f t="shared" si="15"/>
      </c>
      <c r="H10" s="527">
        <v>2</v>
      </c>
      <c r="I10" s="528">
        <f t="shared" si="3"/>
      </c>
      <c r="J10" s="527">
        <v>50</v>
      </c>
      <c r="K10" s="528">
        <f t="shared" si="0"/>
      </c>
      <c r="L10" s="527">
        <v>0</v>
      </c>
      <c r="M10" s="526">
        <f t="shared" si="19"/>
      </c>
      <c r="N10" s="527">
        <v>100</v>
      </c>
      <c r="O10" s="526">
        <f t="shared" si="16"/>
      </c>
      <c r="P10" s="527">
        <f>40+100</f>
      </c>
      <c r="Q10" s="526">
        <f>P10*E10</f>
      </c>
      <c r="R10" s="527">
        <v>0</v>
      </c>
      <c r="S10" s="526">
        <f t="shared" si="11"/>
      </c>
      <c r="T10" s="527">
        <v>0</v>
      </c>
      <c r="U10" s="526">
        <f>T10*G10</f>
      </c>
      <c r="V10" s="527">
        <v>60</v>
      </c>
      <c r="W10" s="526">
        <f t="shared" si="1"/>
      </c>
      <c r="X10" s="527">
        <v>0</v>
      </c>
      <c r="Y10" s="526">
        <f t="shared" si="20"/>
      </c>
      <c r="Z10" s="527">
        <v>0</v>
      </c>
      <c r="AA10" s="526">
        <f t="shared" si="18"/>
      </c>
      <c r="AB10" s="529">
        <f t="shared" si="14"/>
      </c>
      <c r="AC10" s="530">
        <f>AB10-AD10</f>
      </c>
      <c r="AD10" s="531">
        <v>998</v>
      </c>
      <c r="AE10" s="532"/>
    </row>
    <row customHeight="true" ht="22" r="11">
      <c r="A11" s="520">
        <v>2</v>
      </c>
      <c r="B11" s="548" t="s">
        <v>807</v>
      </c>
      <c r="C11" s="522">
        <v>697884024049500</v>
      </c>
      <c r="D11" s="523" t="s">
        <v>799</v>
      </c>
      <c r="E11" s="524">
        <v>2.2</v>
      </c>
      <c r="F11" s="549">
        <v>5000</v>
      </c>
      <c r="G11" s="526">
        <f t="shared" si="15"/>
      </c>
      <c r="H11" s="527">
        <v>0</v>
      </c>
      <c r="I11" s="528">
        <f t="shared" si="3"/>
      </c>
      <c r="J11" s="527">
        <v>0</v>
      </c>
      <c r="K11" s="528">
        <f t="shared" ref="K11:K14" si="4">J11*G11</f>
      </c>
      <c r="L11" s="527">
        <v>0</v>
      </c>
      <c r="M11" s="528">
        <f t="shared" ref="M11:M14" si="5">L11*I11</f>
      </c>
      <c r="N11" s="527">
        <v>0</v>
      </c>
      <c r="O11" s="528">
        <f t="shared" ref="O11:O14" si="6">N11*K11</f>
      </c>
      <c r="P11" s="527">
        <v>0</v>
      </c>
      <c r="Q11" s="528">
        <f t="shared" ref="Q11:Q14" si="7">P11*M11</f>
      </c>
      <c r="R11" s="527">
        <v>0</v>
      </c>
      <c r="S11" s="528">
        <f t="shared" ref="S11:S14" si="8">R11*O11</f>
      </c>
      <c r="T11" s="527">
        <v>0</v>
      </c>
      <c r="U11" s="528">
        <f t="shared" ref="U11:U14" si="9">T11*Q11</f>
      </c>
      <c r="V11" s="527">
        <v>0</v>
      </c>
      <c r="W11" s="528">
        <f t="shared" ref="W11:W14" si="10">V11*S11</f>
      </c>
      <c r="X11" s="527">
        <v>5000</v>
      </c>
      <c r="Y11" s="526">
        <f t="shared" si="20"/>
      </c>
      <c r="Z11" s="527">
        <v>0</v>
      </c>
      <c r="AA11" s="526">
        <f t="shared" si="18"/>
      </c>
      <c r="AB11" s="529">
        <f t="shared" si="14"/>
      </c>
      <c r="AC11" s="530">
        <v>0</v>
      </c>
      <c r="AD11" s="531">
        <v>5000</v>
      </c>
      <c r="AE11" s="532"/>
    </row>
    <row customHeight="true" ht="22" r="12">
      <c r="A12" s="520"/>
      <c r="B12" s="548"/>
      <c r="C12" s="534">
        <v>697884024050100</v>
      </c>
      <c r="D12" s="523" t="s">
        <v>800</v>
      </c>
      <c r="E12" s="524">
        <v>3.1</v>
      </c>
      <c r="F12" s="549">
        <v>10000</v>
      </c>
      <c r="G12" s="526">
        <f t="shared" si="15"/>
      </c>
      <c r="H12" s="527">
        <v>0</v>
      </c>
      <c r="I12" s="528">
        <f t="shared" si="3"/>
      </c>
      <c r="J12" s="527">
        <v>0</v>
      </c>
      <c r="K12" s="528">
        <f t="shared" si="4"/>
      </c>
      <c r="L12" s="527">
        <v>0</v>
      </c>
      <c r="M12" s="528">
        <f t="shared" si="5"/>
      </c>
      <c r="N12" s="527">
        <v>0</v>
      </c>
      <c r="O12" s="528">
        <f t="shared" si="6"/>
      </c>
      <c r="P12" s="527">
        <v>0</v>
      </c>
      <c r="Q12" s="528">
        <f t="shared" si="7"/>
      </c>
      <c r="R12" s="527">
        <v>0</v>
      </c>
      <c r="S12" s="528">
        <f t="shared" si="8"/>
      </c>
      <c r="T12" s="527">
        <v>0</v>
      </c>
      <c r="U12" s="528">
        <f t="shared" si="9"/>
      </c>
      <c r="V12" s="527">
        <v>0</v>
      </c>
      <c r="W12" s="528">
        <f t="shared" si="10"/>
      </c>
      <c r="X12" s="527">
        <v>10000</v>
      </c>
      <c r="Y12" s="526">
        <f t="shared" si="20"/>
      </c>
      <c r="Z12" s="527">
        <v>0</v>
      </c>
      <c r="AA12" s="526">
        <f t="shared" si="18"/>
      </c>
      <c r="AB12" s="529">
        <f t="shared" si="14"/>
      </c>
      <c r="AC12" s="530">
        <v>0</v>
      </c>
      <c r="AD12" s="531">
        <v>10000</v>
      </c>
      <c r="AE12" s="532"/>
    </row>
    <row customHeight="true" ht="22" r="13">
      <c r="A13" s="520">
        <v>3</v>
      </c>
      <c r="B13" s="548" t="s">
        <v>808</v>
      </c>
      <c r="C13" s="522">
        <v>697884024049500</v>
      </c>
      <c r="D13" s="523" t="s">
        <v>799</v>
      </c>
      <c r="E13" s="524">
        <v>2.2</v>
      </c>
      <c r="F13" s="549">
        <v>153</v>
      </c>
      <c r="G13" s="526">
        <f t="shared" si="15"/>
      </c>
      <c r="H13" s="527">
        <v>0</v>
      </c>
      <c r="I13" s="528">
        <f t="shared" si="3"/>
      </c>
      <c r="J13" s="527">
        <v>0</v>
      </c>
      <c r="K13" s="528">
        <f t="shared" si="4"/>
      </c>
      <c r="L13" s="527">
        <v>0</v>
      </c>
      <c r="M13" s="528">
        <f t="shared" si="5"/>
      </c>
      <c r="N13" s="527">
        <v>0</v>
      </c>
      <c r="O13" s="528">
        <f t="shared" si="6"/>
      </c>
      <c r="P13" s="527">
        <v>0</v>
      </c>
      <c r="Q13" s="528">
        <f t="shared" si="7"/>
      </c>
      <c r="R13" s="527">
        <v>0</v>
      </c>
      <c r="S13" s="528">
        <f t="shared" si="8"/>
      </c>
      <c r="T13" s="527">
        <v>0</v>
      </c>
      <c r="U13" s="528">
        <f t="shared" si="9"/>
      </c>
      <c r="V13" s="527">
        <v>0</v>
      </c>
      <c r="W13" s="528">
        <f t="shared" si="10"/>
      </c>
      <c r="X13" s="527">
        <v>153</v>
      </c>
      <c r="Y13" s="526">
        <f t="shared" si="20"/>
      </c>
      <c r="Z13" s="527">
        <v>0</v>
      </c>
      <c r="AA13" s="526">
        <f t="shared" si="18"/>
      </c>
      <c r="AB13" s="529">
        <f t="shared" si="14"/>
      </c>
      <c r="AC13" s="530">
        <v>0</v>
      </c>
      <c r="AD13" s="531">
        <v>5000</v>
      </c>
      <c r="AE13" s="532"/>
    </row>
    <row customHeight="true" ht="22" r="14">
      <c r="A14" s="520"/>
      <c r="B14" s="548"/>
      <c r="C14" s="534">
        <v>697884024050100</v>
      </c>
      <c r="D14" s="523" t="s">
        <v>800</v>
      </c>
      <c r="E14" s="524">
        <v>3.1</v>
      </c>
      <c r="F14" s="549">
        <v>117</v>
      </c>
      <c r="G14" s="526">
        <f t="shared" si="15"/>
      </c>
      <c r="H14" s="527">
        <v>0</v>
      </c>
      <c r="I14" s="528">
        <f t="shared" si="3"/>
      </c>
      <c r="J14" s="527">
        <v>0</v>
      </c>
      <c r="K14" s="528">
        <f t="shared" si="4"/>
      </c>
      <c r="L14" s="527">
        <v>0</v>
      </c>
      <c r="M14" s="528">
        <f t="shared" si="5"/>
      </c>
      <c r="N14" s="527">
        <v>0</v>
      </c>
      <c r="O14" s="528">
        <f t="shared" si="6"/>
      </c>
      <c r="P14" s="527">
        <v>0</v>
      </c>
      <c r="Q14" s="528">
        <f t="shared" si="7"/>
      </c>
      <c r="R14" s="527">
        <v>0</v>
      </c>
      <c r="S14" s="528">
        <f t="shared" si="8"/>
      </c>
      <c r="T14" s="527">
        <v>0</v>
      </c>
      <c r="U14" s="528">
        <f t="shared" si="9"/>
      </c>
      <c r="V14" s="527">
        <v>0</v>
      </c>
      <c r="W14" s="528">
        <f t="shared" si="10"/>
      </c>
      <c r="X14" s="527">
        <v>117</v>
      </c>
      <c r="Y14" s="526">
        <f t="shared" si="20"/>
      </c>
      <c r="Z14" s="527">
        <v>0</v>
      </c>
      <c r="AA14" s="526">
        <f t="shared" si="18"/>
      </c>
      <c r="AB14" s="529">
        <f t="shared" si="14"/>
      </c>
      <c r="AC14" s="530">
        <v>0</v>
      </c>
      <c r="AD14" s="531">
        <v>10000</v>
      </c>
      <c r="AE14" s="532"/>
    </row>
    <row r="15">
      <c r="A15" s="550" t="s">
        <v>809</v>
      </c>
      <c r="B15" s="550"/>
      <c r="C15" s="550"/>
      <c r="D15" s="550"/>
      <c r="E15" s="551"/>
      <c r="F15" s="552">
        <f>SUM(F3:F14)</f>
      </c>
      <c r="G15" s="552">
        <f>SUM(G3:G14)</f>
      </c>
      <c r="H15" s="552">
        <f>SUM(H3:H10)</f>
      </c>
      <c r="I15" s="552">
        <f>SUM(I3:I10)</f>
      </c>
      <c r="J15" s="552">
        <f>SUM(J3:J10)</f>
      </c>
      <c r="K15" s="552">
        <f>SUM(K3:K10)</f>
      </c>
      <c r="L15" s="552">
        <f>SUM(L3:L10)</f>
      </c>
      <c r="M15" s="553">
        <f>SUM(M3:M10)</f>
      </c>
      <c r="N15" s="552">
        <f>SUM(N3:N10)</f>
      </c>
      <c r="O15" s="553">
        <f>SUM(O3:O10)</f>
      </c>
      <c r="P15" s="552">
        <f>SUM(P3:P10)</f>
      </c>
      <c r="Q15" s="553">
        <f>SUM(Q3:Q10)</f>
      </c>
      <c r="R15" s="552">
        <f>SUM(R3:R10)</f>
      </c>
      <c r="S15" s="553">
        <f>SUM(S3:S10)</f>
      </c>
      <c r="T15" s="552">
        <f>SUM(T3:T10)</f>
      </c>
      <c r="U15" s="553">
        <f>SUM(U3:U10)</f>
      </c>
      <c r="V15" s="554">
        <f>SUM(V3:V14)</f>
      </c>
      <c r="W15" s="553">
        <f>SUM(W3:W14)</f>
      </c>
      <c r="X15" s="554">
        <f>SUM(X3:X14)</f>
      </c>
      <c r="Y15" s="553">
        <f>SUM(Y3:Y14)</f>
      </c>
      <c r="Z15" s="554">
        <f>SUM(Z3:Z14)</f>
      </c>
      <c r="AA15" s="553">
        <f>SUM(AA3:AA14)</f>
      </c>
      <c r="AB15" s="555">
        <f>SUM(AB3:AB14)</f>
      </c>
      <c r="AC15" s="555">
        <f>SUM(AC3:AC14)</f>
      </c>
      <c r="AD15" s="555">
        <f>SUM(AD3:AD14)</f>
      </c>
      <c r="AE15" s="556"/>
      <c r="AF15" s="556"/>
      <c r="AG15" s="556"/>
      <c r="AH15" s="556"/>
      <c r="AI15" s="556"/>
      <c r="AJ15" s="556"/>
      <c r="AK15" s="556"/>
      <c r="AL15" s="556"/>
      <c r="AM15" s="556"/>
      <c r="AN15" s="556"/>
      <c r="AO15" s="556"/>
      <c r="AP15" s="556"/>
      <c r="AQ15" s="556"/>
      <c r="AR15" s="556"/>
      <c r="AS15" s="556"/>
      <c r="AT15" s="556"/>
      <c r="AU15" s="556"/>
      <c r="AV15" s="556"/>
      <c r="AW15" s="556"/>
      <c r="AX15" s="556"/>
      <c r="AY15" s="556"/>
      <c r="AZ15" s="556"/>
      <c r="BA15" s="556"/>
      <c r="BB15" s="556"/>
      <c r="BC15" s="556"/>
      <c r="BD15" s="556"/>
      <c r="BE15" s="556"/>
      <c r="BF15" s="556"/>
      <c r="BG15" s="556"/>
      <c r="BH15" s="556"/>
      <c r="BI15" s="556"/>
      <c r="BJ15" s="556"/>
      <c r="BK15" s="556"/>
      <c r="BL15" s="556"/>
      <c r="BM15" s="556"/>
      <c r="BN15" s="556"/>
      <c r="BO15" s="556"/>
      <c r="BP15" s="556"/>
      <c r="BQ15" s="556"/>
      <c r="BR15" s="556"/>
      <c r="BS15" s="556"/>
    </row>
    <row customHeight="true" ht="54" r="16">
      <c r="A16" s="505" t="s">
        <v>794</v>
      </c>
      <c r="B16" s="557"/>
      <c r="C16" s="557"/>
      <c r="D16" s="557"/>
      <c r="E16" s="558"/>
      <c r="F16" s="509"/>
      <c r="G16" s="559"/>
      <c r="H16" s="560" t="s">
        <v>810</v>
      </c>
      <c r="I16" s="561"/>
      <c r="J16" s="560" t="s">
        <v>811</v>
      </c>
      <c r="K16" s="561"/>
      <c r="L16" s="560" t="s">
        <v>812</v>
      </c>
      <c r="M16" s="562"/>
      <c r="N16" s="560" t="s">
        <v>813</v>
      </c>
      <c r="O16" s="560"/>
      <c r="P16" s="560" t="s">
        <v>814</v>
      </c>
      <c r="Q16" s="560"/>
      <c r="R16" s="560" t="s">
        <v>815</v>
      </c>
      <c r="S16" s="560"/>
      <c r="T16" s="560" t="s">
        <v>816</v>
      </c>
      <c r="U16" s="560"/>
      <c r="V16" s="560" t="s">
        <v>817</v>
      </c>
      <c r="W16" s="560"/>
      <c r="X16" s="560" t="s">
        <v>818</v>
      </c>
      <c r="Y16" s="560"/>
      <c r="Z16" s="563" t="s">
        <v>819</v>
      </c>
      <c r="AA16" s="560"/>
      <c r="AB16" s="564"/>
      <c r="AC16" s="565"/>
      <c r="AD16" s="565"/>
      <c r="AE16" s="532"/>
    </row>
    <row r="17">
      <c r="A17" s="533"/>
      <c r="F17" s="533"/>
      <c r="G17" s="533"/>
      <c r="H17" s="533"/>
      <c r="I17" s="566"/>
      <c r="J17" s="567"/>
      <c r="K17" s="568"/>
      <c r="L17" s="533"/>
      <c r="M17" s="566"/>
      <c r="N17" s="566"/>
      <c r="O17" s="566"/>
      <c r="P17" s="566"/>
      <c r="Q17" s="566"/>
      <c r="R17" s="566"/>
      <c r="S17" s="566"/>
      <c r="T17" s="566"/>
      <c r="U17" s="566"/>
      <c r="V17" s="566"/>
      <c r="W17" s="566"/>
      <c r="X17" s="566"/>
      <c r="Y17" s="566"/>
      <c r="Z17" s="566"/>
      <c r="AA17" s="566"/>
      <c r="AB17" s="569"/>
      <c r="AC17" s="569"/>
      <c r="AD17" s="569"/>
      <c r="AE17" s="532"/>
    </row>
    <row r="18">
      <c r="A18" s="533"/>
      <c r="F18" s="533"/>
      <c r="G18" s="533"/>
      <c r="H18" s="533"/>
      <c r="I18" s="566"/>
      <c r="K18" s="568"/>
      <c r="L18" s="533"/>
      <c r="M18" s="566"/>
      <c r="N18" s="566"/>
      <c r="O18" s="566"/>
      <c r="P18" s="566"/>
      <c r="Q18" s="566"/>
      <c r="R18" s="566"/>
      <c r="S18" s="566"/>
      <c r="T18" s="566"/>
      <c r="U18" s="566"/>
      <c r="V18" s="566"/>
      <c r="W18" s="566"/>
      <c r="X18" s="566"/>
      <c r="Y18" s="566"/>
      <c r="Z18" s="566"/>
      <c r="AA18" s="566"/>
      <c r="AB18" s="569"/>
      <c r="AC18" s="569"/>
      <c r="AD18" s="569"/>
      <c r="AE18" s="532"/>
    </row>
    <row r="19">
      <c r="A19" s="533"/>
      <c r="F19" s="533"/>
      <c r="G19" s="533"/>
      <c r="H19" s="533"/>
      <c r="I19" s="566"/>
      <c r="K19" s="568"/>
      <c r="L19" s="533"/>
      <c r="M19" s="566"/>
      <c r="N19" s="566"/>
      <c r="O19" s="566"/>
      <c r="P19" s="566"/>
      <c r="Q19" s="566"/>
      <c r="R19" s="566"/>
      <c r="S19" s="566"/>
      <c r="T19" s="566"/>
      <c r="U19" s="566"/>
      <c r="V19" s="566"/>
      <c r="W19" s="566"/>
      <c r="X19" s="566"/>
      <c r="Y19" s="566"/>
      <c r="Z19" s="566"/>
      <c r="AA19" s="566"/>
      <c r="AB19" s="569"/>
      <c r="AC19" s="569"/>
      <c r="AD19" s="569"/>
      <c r="AE19" s="532"/>
    </row>
    <row r="20">
      <c r="A20" s="533"/>
      <c r="F20" s="533"/>
      <c r="G20" s="533"/>
      <c r="H20" s="533"/>
      <c r="I20" s="566"/>
      <c r="K20" s="568"/>
      <c r="L20" s="533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66"/>
      <c r="AB20" s="569"/>
      <c r="AC20" s="569"/>
      <c r="AD20" s="569"/>
      <c r="AE20" s="532"/>
    </row>
    <row r="21">
      <c r="A21" s="533"/>
      <c r="F21" s="533"/>
      <c r="G21" s="533"/>
      <c r="H21" s="533"/>
      <c r="I21" s="566"/>
      <c r="K21" s="568"/>
      <c r="L21" s="533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66"/>
      <c r="AB21" s="569"/>
      <c r="AC21" s="569"/>
      <c r="AD21" s="569"/>
      <c r="AE21" s="532"/>
    </row>
    <row r="22">
      <c r="A22" s="533"/>
      <c r="F22" s="533"/>
      <c r="G22" s="533"/>
      <c r="H22" s="533"/>
      <c r="I22" s="566"/>
      <c r="K22" s="568"/>
      <c r="L22" s="533"/>
      <c r="M22" s="566"/>
      <c r="N22" s="566"/>
      <c r="O22" s="566"/>
      <c r="P22" s="566"/>
      <c r="Q22" s="566"/>
      <c r="R22" s="566"/>
      <c r="S22" s="566"/>
      <c r="T22" s="566"/>
      <c r="U22" s="566"/>
      <c r="V22" s="566"/>
      <c r="W22" s="566"/>
      <c r="X22" s="566"/>
      <c r="Y22" s="566"/>
      <c r="Z22" s="566"/>
      <c r="AA22" s="566"/>
      <c r="AB22" s="569"/>
      <c r="AC22" s="569"/>
      <c r="AD22" s="569"/>
      <c r="AE22" s="532"/>
    </row>
    <row r="23">
      <c r="A23" s="533"/>
      <c r="F23" s="533"/>
      <c r="G23" s="533"/>
      <c r="H23" s="533"/>
      <c r="I23" s="566"/>
      <c r="K23" s="568"/>
      <c r="L23" s="533"/>
      <c r="M23" s="566"/>
      <c r="N23" s="566"/>
      <c r="O23" s="566"/>
      <c r="P23" s="566"/>
      <c r="Q23" s="566"/>
      <c r="R23" s="566"/>
      <c r="S23" s="566"/>
      <c r="T23" s="566"/>
      <c r="U23" s="566"/>
      <c r="V23" s="566"/>
      <c r="W23" s="566"/>
      <c r="X23" s="566"/>
      <c r="Y23" s="566"/>
      <c r="Z23" s="566"/>
      <c r="AA23" s="566"/>
      <c r="AB23" s="569"/>
      <c r="AC23" s="569"/>
      <c r="AD23" s="569"/>
      <c r="AE23" s="532"/>
    </row>
    <row r="24">
      <c r="A24" s="533"/>
      <c r="F24" s="533"/>
      <c r="G24" s="533"/>
      <c r="H24" s="533"/>
      <c r="I24" s="566"/>
      <c r="K24" s="568"/>
      <c r="L24" s="533"/>
      <c r="M24" s="566"/>
      <c r="N24" s="566"/>
      <c r="O24" s="566"/>
      <c r="P24" s="566"/>
      <c r="Q24" s="566"/>
      <c r="R24" s="566"/>
      <c r="S24" s="566"/>
      <c r="T24" s="566"/>
      <c r="U24" s="566"/>
      <c r="V24" s="566"/>
      <c r="W24" s="566"/>
      <c r="X24" s="566"/>
      <c r="Y24" s="566"/>
      <c r="Z24" s="566"/>
      <c r="AA24" s="566"/>
      <c r="AB24" s="569"/>
      <c r="AC24" s="569"/>
      <c r="AD24" s="569"/>
      <c r="AE24" s="532"/>
    </row>
    <row r="25">
      <c r="A25" s="533"/>
      <c r="F25" s="533"/>
      <c r="G25" s="533"/>
      <c r="H25" s="533"/>
      <c r="I25" s="566"/>
      <c r="K25" s="568"/>
      <c r="L25" s="533"/>
      <c r="M25" s="566"/>
      <c r="N25" s="566"/>
      <c r="O25" s="566"/>
      <c r="P25" s="566"/>
      <c r="Q25" s="566"/>
      <c r="R25" s="566"/>
      <c r="S25" s="566"/>
      <c r="T25" s="566"/>
      <c r="U25" s="566"/>
      <c r="V25" s="566"/>
      <c r="W25" s="566"/>
      <c r="X25" s="566"/>
      <c r="Y25" s="566"/>
      <c r="Z25" s="566"/>
      <c r="AA25" s="566"/>
      <c r="AB25" s="569"/>
      <c r="AC25" s="569"/>
      <c r="AD25" s="569"/>
      <c r="AE25" s="532"/>
    </row>
    <row r="26">
      <c r="A26" s="533"/>
      <c r="F26" s="533"/>
      <c r="G26" s="533"/>
      <c r="H26" s="533"/>
      <c r="I26" s="566"/>
      <c r="K26" s="568"/>
      <c r="L26" s="533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66"/>
      <c r="AB26" s="569"/>
      <c r="AC26" s="569"/>
      <c r="AD26" s="569"/>
      <c r="AE26" s="532"/>
    </row>
    <row r="27">
      <c r="A27" s="533"/>
      <c r="F27" s="533"/>
      <c r="G27" s="533"/>
      <c r="H27" s="533"/>
      <c r="I27" s="566"/>
      <c r="K27" s="568"/>
      <c r="L27" s="533"/>
      <c r="M27" s="566"/>
      <c r="N27" s="566"/>
      <c r="O27" s="566"/>
      <c r="P27" s="566"/>
      <c r="Q27" s="566"/>
      <c r="R27" s="566"/>
      <c r="S27" s="566"/>
      <c r="T27" s="566"/>
      <c r="U27" s="566"/>
      <c r="V27" s="566"/>
      <c r="W27" s="566"/>
      <c r="X27" s="566"/>
      <c r="Y27" s="566"/>
      <c r="Z27" s="566"/>
      <c r="AA27" s="566"/>
      <c r="AB27" s="569"/>
      <c r="AC27" s="569"/>
      <c r="AD27" s="569"/>
      <c r="AE27" s="532"/>
    </row>
    <row r="28">
      <c r="A28" s="533"/>
      <c r="F28" s="533"/>
      <c r="G28" s="533"/>
      <c r="H28" s="533"/>
      <c r="I28" s="566"/>
      <c r="K28" s="568"/>
      <c r="L28" s="533"/>
      <c r="M28" s="566"/>
      <c r="N28" s="566"/>
      <c r="O28" s="566"/>
      <c r="P28" s="566"/>
      <c r="Q28" s="566"/>
      <c r="R28" s="566"/>
      <c r="S28" s="566"/>
      <c r="T28" s="566"/>
      <c r="U28" s="566"/>
      <c r="V28" s="566"/>
      <c r="W28" s="566"/>
      <c r="X28" s="566"/>
      <c r="Y28" s="566"/>
      <c r="Z28" s="566"/>
      <c r="AA28" s="566"/>
      <c r="AB28" s="569"/>
      <c r="AC28" s="569"/>
      <c r="AD28" s="569"/>
      <c r="AE28" s="532"/>
    </row>
    <row r="29">
      <c r="A29" s="533"/>
      <c r="F29" s="533"/>
      <c r="G29" s="533"/>
      <c r="H29" s="533"/>
      <c r="I29" s="566"/>
      <c r="K29" s="568"/>
      <c r="L29" s="533"/>
      <c r="M29" s="566"/>
      <c r="N29" s="566"/>
      <c r="O29" s="566"/>
      <c r="P29" s="566"/>
      <c r="Q29" s="566"/>
      <c r="R29" s="566"/>
      <c r="S29" s="566"/>
      <c r="T29" s="566"/>
      <c r="U29" s="566"/>
      <c r="V29" s="566"/>
      <c r="W29" s="566"/>
      <c r="X29" s="566"/>
      <c r="Y29" s="566"/>
      <c r="Z29" s="566"/>
      <c r="AA29" s="566"/>
      <c r="AB29" s="569"/>
      <c r="AC29" s="569"/>
      <c r="AD29" s="569"/>
      <c r="AE29" s="532"/>
    </row>
    <row r="30">
      <c r="A30" s="533"/>
      <c r="F30" s="533"/>
      <c r="G30" s="533"/>
      <c r="H30" s="533"/>
      <c r="I30" s="566"/>
      <c r="K30" s="568"/>
      <c r="L30" s="533"/>
      <c r="M30" s="566"/>
      <c r="N30" s="566"/>
      <c r="O30" s="566"/>
      <c r="P30" s="566"/>
      <c r="Q30" s="566"/>
      <c r="R30" s="566"/>
      <c r="S30" s="566"/>
      <c r="T30" s="566"/>
      <c r="U30" s="566"/>
      <c r="V30" s="566"/>
      <c r="W30" s="566"/>
      <c r="X30" s="566"/>
      <c r="Y30" s="566"/>
      <c r="Z30" s="566"/>
      <c r="AA30" s="566"/>
      <c r="AB30" s="569"/>
      <c r="AC30" s="569"/>
      <c r="AD30" s="569"/>
      <c r="AE30" s="532"/>
    </row>
    <row r="31">
      <c r="A31" s="533"/>
      <c r="F31" s="533"/>
      <c r="G31" s="533"/>
      <c r="H31" s="533"/>
      <c r="I31" s="566"/>
      <c r="K31" s="568"/>
      <c r="L31" s="533"/>
      <c r="M31" s="566"/>
      <c r="N31" s="566"/>
      <c r="O31" s="566"/>
      <c r="P31" s="566"/>
      <c r="Q31" s="566"/>
      <c r="R31" s="566"/>
      <c r="S31" s="566"/>
      <c r="T31" s="566"/>
      <c r="U31" s="566"/>
      <c r="V31" s="566"/>
      <c r="W31" s="566"/>
      <c r="X31" s="566"/>
      <c r="Y31" s="566"/>
      <c r="Z31" s="566"/>
      <c r="AA31" s="566"/>
      <c r="AB31" s="569"/>
      <c r="AC31" s="569"/>
      <c r="AD31" s="569"/>
      <c r="AE31" s="532"/>
    </row>
    <row r="32">
      <c r="A32" s="533"/>
      <c r="F32" s="533"/>
      <c r="G32" s="533"/>
      <c r="H32" s="533"/>
      <c r="I32" s="566"/>
      <c r="K32" s="568"/>
      <c r="L32" s="533"/>
      <c r="M32" s="566"/>
      <c r="N32" s="566"/>
      <c r="O32" s="566"/>
      <c r="P32" s="566"/>
      <c r="Q32" s="566"/>
      <c r="R32" s="566"/>
      <c r="S32" s="566"/>
      <c r="T32" s="566"/>
      <c r="U32" s="566"/>
      <c r="V32" s="566"/>
      <c r="W32" s="566"/>
      <c r="X32" s="566"/>
      <c r="Y32" s="566"/>
      <c r="Z32" s="566"/>
      <c r="AA32" s="566"/>
      <c r="AB32" s="569"/>
      <c r="AC32" s="569"/>
      <c r="AD32" s="569"/>
      <c r="AE32" s="532"/>
    </row>
    <row r="33">
      <c r="A33" s="533"/>
      <c r="F33" s="533"/>
      <c r="G33" s="533"/>
      <c r="H33" s="533"/>
      <c r="I33" s="566"/>
      <c r="K33" s="568"/>
      <c r="L33" s="533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66"/>
      <c r="AB33" s="569"/>
      <c r="AC33" s="569"/>
      <c r="AD33" s="569"/>
      <c r="AE33" s="532"/>
    </row>
    <row r="34">
      <c r="A34" s="533"/>
      <c r="F34" s="533"/>
      <c r="G34" s="533"/>
      <c r="H34" s="533"/>
      <c r="I34" s="566"/>
      <c r="K34" s="568"/>
      <c r="L34" s="533"/>
      <c r="M34" s="566"/>
      <c r="N34" s="566"/>
      <c r="O34" s="566"/>
      <c r="P34" s="566"/>
      <c r="Q34" s="566"/>
      <c r="R34" s="566"/>
      <c r="S34" s="566"/>
      <c r="T34" s="566"/>
      <c r="U34" s="566"/>
      <c r="V34" s="566"/>
      <c r="W34" s="566"/>
      <c r="X34" s="566"/>
      <c r="Y34" s="566"/>
      <c r="Z34" s="566"/>
      <c r="AA34" s="566"/>
      <c r="AB34" s="569"/>
      <c r="AC34" s="569"/>
      <c r="AD34" s="569"/>
      <c r="AE34" s="532"/>
    </row>
    <row r="35">
      <c r="A35" s="533"/>
      <c r="F35" s="533"/>
      <c r="G35" s="533"/>
      <c r="H35" s="533"/>
      <c r="I35" s="566"/>
      <c r="K35" s="568"/>
      <c r="L35" s="533"/>
      <c r="M35" s="566"/>
      <c r="N35" s="566"/>
      <c r="O35" s="566"/>
      <c r="P35" s="566"/>
      <c r="Q35" s="566"/>
      <c r="R35" s="566"/>
      <c r="S35" s="566"/>
      <c r="T35" s="566"/>
      <c r="U35" s="566"/>
      <c r="V35" s="566"/>
      <c r="W35" s="566"/>
      <c r="X35" s="566"/>
      <c r="Y35" s="566"/>
      <c r="Z35" s="566"/>
      <c r="AA35" s="566"/>
      <c r="AB35" s="569"/>
      <c r="AC35" s="569"/>
      <c r="AD35" s="569"/>
      <c r="AE35" s="532"/>
    </row>
    <row r="36">
      <c r="A36" s="533"/>
      <c r="F36" s="533"/>
      <c r="G36" s="533"/>
      <c r="H36" s="533"/>
      <c r="I36" s="566"/>
      <c r="K36" s="568"/>
      <c r="L36" s="533"/>
      <c r="M36" s="566"/>
      <c r="N36" s="566"/>
      <c r="O36" s="566"/>
      <c r="P36" s="566"/>
      <c r="Q36" s="566"/>
      <c r="R36" s="566"/>
      <c r="S36" s="566"/>
      <c r="T36" s="566"/>
      <c r="U36" s="566"/>
      <c r="V36" s="566"/>
      <c r="W36" s="566"/>
      <c r="X36" s="566"/>
      <c r="Y36" s="566"/>
      <c r="Z36" s="566"/>
      <c r="AA36" s="566"/>
      <c r="AB36" s="569"/>
      <c r="AC36" s="569"/>
      <c r="AD36" s="569"/>
      <c r="AE36" s="532"/>
    </row>
    <row r="37">
      <c r="A37" s="533"/>
      <c r="F37" s="533"/>
      <c r="G37" s="533"/>
      <c r="H37" s="533"/>
      <c r="I37" s="566"/>
      <c r="K37" s="568"/>
      <c r="L37" s="533"/>
      <c r="M37" s="566"/>
      <c r="N37" s="566"/>
      <c r="O37" s="566"/>
      <c r="P37" s="566"/>
      <c r="Q37" s="566"/>
      <c r="R37" s="566"/>
      <c r="S37" s="566"/>
      <c r="T37" s="566"/>
      <c r="U37" s="566"/>
      <c r="V37" s="566"/>
      <c r="W37" s="566"/>
      <c r="X37" s="566"/>
      <c r="Y37" s="566"/>
      <c r="Z37" s="566"/>
      <c r="AA37" s="566"/>
      <c r="AB37" s="569"/>
      <c r="AC37" s="569"/>
      <c r="AD37" s="569"/>
      <c r="AE37" s="532"/>
    </row>
    <row r="38">
      <c r="A38" s="533"/>
      <c r="F38" s="533"/>
      <c r="G38" s="533"/>
      <c r="H38" s="533"/>
      <c r="I38" s="566"/>
      <c r="K38" s="568"/>
      <c r="L38" s="533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66"/>
      <c r="AB38" s="569"/>
      <c r="AC38" s="569"/>
      <c r="AD38" s="569"/>
      <c r="AE38" s="532"/>
    </row>
    <row r="39">
      <c r="A39" s="533"/>
      <c r="F39" s="533"/>
      <c r="G39" s="533"/>
      <c r="H39" s="533"/>
      <c r="I39" s="566"/>
      <c r="K39" s="568"/>
      <c r="L39" s="533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9"/>
      <c r="AC39" s="569"/>
      <c r="AD39" s="569"/>
      <c r="AE39" s="532"/>
    </row>
    <row r="40">
      <c r="A40" s="533"/>
      <c r="F40" s="533"/>
      <c r="G40" s="533"/>
      <c r="H40" s="533"/>
      <c r="I40" s="566"/>
      <c r="K40" s="568"/>
      <c r="L40" s="533"/>
      <c r="M40" s="566"/>
      <c r="N40" s="566"/>
      <c r="O40" s="566"/>
      <c r="P40" s="566"/>
      <c r="Q40" s="566"/>
      <c r="R40" s="566"/>
      <c r="S40" s="566"/>
      <c r="T40" s="566"/>
      <c r="U40" s="566"/>
      <c r="V40" s="566"/>
      <c r="W40" s="566"/>
      <c r="X40" s="566"/>
      <c r="Y40" s="566"/>
      <c r="Z40" s="566"/>
      <c r="AA40" s="566"/>
      <c r="AB40" s="569"/>
      <c r="AC40" s="569"/>
      <c r="AD40" s="569"/>
      <c r="AE40" s="532"/>
    </row>
    <row r="41">
      <c r="A41" s="533"/>
      <c r="F41" s="533"/>
      <c r="G41" s="533"/>
      <c r="H41" s="533"/>
      <c r="I41" s="566"/>
      <c r="K41" s="568"/>
      <c r="L41" s="533"/>
      <c r="M41" s="566"/>
      <c r="N41" s="566"/>
      <c r="O41" s="566"/>
      <c r="P41" s="566"/>
      <c r="Q41" s="566"/>
      <c r="R41" s="566"/>
      <c r="S41" s="566"/>
      <c r="T41" s="566"/>
      <c r="U41" s="566"/>
      <c r="V41" s="566"/>
      <c r="W41" s="566"/>
      <c r="X41" s="566"/>
      <c r="Y41" s="566"/>
      <c r="Z41" s="566"/>
      <c r="AA41" s="566"/>
      <c r="AB41" s="569"/>
      <c r="AC41" s="569"/>
      <c r="AD41" s="569"/>
      <c r="AE41" s="532"/>
    </row>
    <row r="42">
      <c r="A42" s="533"/>
      <c r="F42" s="533"/>
      <c r="G42" s="533"/>
      <c r="H42" s="533"/>
      <c r="I42" s="566"/>
      <c r="K42" s="568"/>
      <c r="L42" s="533"/>
      <c r="M42" s="566"/>
      <c r="N42" s="566"/>
      <c r="O42" s="566"/>
      <c r="P42" s="566"/>
      <c r="Q42" s="566"/>
      <c r="R42" s="566"/>
      <c r="S42" s="566"/>
      <c r="T42" s="566"/>
      <c r="U42" s="566"/>
      <c r="V42" s="566"/>
      <c r="W42" s="566"/>
      <c r="X42" s="566"/>
      <c r="Y42" s="566"/>
      <c r="Z42" s="566"/>
      <c r="AA42" s="566"/>
      <c r="AB42" s="569"/>
      <c r="AC42" s="569"/>
      <c r="AD42" s="569"/>
      <c r="AE42" s="532"/>
    </row>
    <row r="43">
      <c r="A43" s="533"/>
      <c r="F43" s="533"/>
      <c r="G43" s="533"/>
      <c r="H43" s="533"/>
      <c r="I43" s="566"/>
      <c r="K43" s="568"/>
      <c r="L43" s="533"/>
      <c r="M43" s="566"/>
      <c r="N43" s="566"/>
      <c r="O43" s="566"/>
      <c r="P43" s="566"/>
      <c r="Q43" s="566"/>
      <c r="R43" s="566"/>
      <c r="S43" s="566"/>
      <c r="T43" s="566"/>
      <c r="U43" s="566"/>
      <c r="V43" s="566"/>
      <c r="W43" s="566"/>
      <c r="X43" s="566"/>
      <c r="Y43" s="566"/>
      <c r="Z43" s="566"/>
      <c r="AA43" s="566"/>
      <c r="AB43" s="569"/>
      <c r="AC43" s="569"/>
      <c r="AD43" s="569"/>
      <c r="AE43" s="532"/>
    </row>
    <row r="44">
      <c r="A44" s="533"/>
      <c r="F44" s="533"/>
      <c r="G44" s="533"/>
      <c r="H44" s="533"/>
      <c r="I44" s="566"/>
      <c r="K44" s="568"/>
      <c r="L44" s="533"/>
      <c r="M44" s="566"/>
      <c r="N44" s="566"/>
      <c r="O44" s="566"/>
      <c r="P44" s="566"/>
      <c r="Q44" s="566"/>
      <c r="R44" s="566"/>
      <c r="S44" s="566"/>
      <c r="T44" s="566"/>
      <c r="U44" s="566"/>
      <c r="V44" s="566"/>
      <c r="W44" s="566"/>
      <c r="X44" s="566"/>
      <c r="Y44" s="566"/>
      <c r="Z44" s="566"/>
      <c r="AA44" s="566"/>
      <c r="AB44" s="569"/>
      <c r="AC44" s="569"/>
      <c r="AD44" s="569"/>
      <c r="AE44" s="532"/>
    </row>
    <row r="45">
      <c r="A45" s="533"/>
      <c r="F45" s="533"/>
      <c r="G45" s="533"/>
      <c r="H45" s="533"/>
      <c r="I45" s="566"/>
      <c r="K45" s="568"/>
      <c r="L45" s="533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66"/>
      <c r="AB45" s="569"/>
      <c r="AC45" s="569"/>
      <c r="AD45" s="569"/>
      <c r="AE45" s="532"/>
    </row>
    <row r="46">
      <c r="A46" s="533"/>
      <c r="F46" s="533"/>
      <c r="G46" s="533"/>
      <c r="H46" s="533"/>
      <c r="I46" s="566"/>
      <c r="K46" s="568"/>
      <c r="L46" s="533"/>
      <c r="M46" s="566"/>
      <c r="N46" s="566"/>
      <c r="O46" s="566"/>
      <c r="P46" s="566"/>
      <c r="Q46" s="566"/>
      <c r="R46" s="566"/>
      <c r="S46" s="566"/>
      <c r="T46" s="566"/>
      <c r="U46" s="566"/>
      <c r="V46" s="566"/>
      <c r="W46" s="566"/>
      <c r="X46" s="566"/>
      <c r="Y46" s="566"/>
      <c r="Z46" s="566"/>
      <c r="AA46" s="566"/>
      <c r="AB46" s="569"/>
      <c r="AC46" s="569"/>
      <c r="AD46" s="569"/>
      <c r="AE46" s="532"/>
    </row>
    <row r="47">
      <c r="A47" s="533"/>
      <c r="F47" s="533"/>
      <c r="G47" s="533"/>
      <c r="H47" s="533"/>
      <c r="I47" s="566"/>
      <c r="K47" s="568"/>
      <c r="L47" s="533"/>
      <c r="M47" s="566"/>
      <c r="N47" s="566"/>
      <c r="O47" s="566"/>
      <c r="P47" s="566"/>
      <c r="Q47" s="566"/>
      <c r="R47" s="566"/>
      <c r="S47" s="566"/>
      <c r="T47" s="566"/>
      <c r="U47" s="566"/>
      <c r="V47" s="566"/>
      <c r="W47" s="566"/>
      <c r="X47" s="566"/>
      <c r="Y47" s="566"/>
      <c r="Z47" s="566"/>
      <c r="AA47" s="566"/>
      <c r="AB47" s="569"/>
      <c r="AC47" s="569"/>
      <c r="AD47" s="569"/>
      <c r="AE47" s="532"/>
    </row>
    <row r="48">
      <c r="A48" s="533"/>
      <c r="F48" s="533"/>
      <c r="G48" s="533"/>
      <c r="H48" s="533"/>
      <c r="I48" s="566"/>
      <c r="K48" s="568"/>
      <c r="L48" s="533"/>
      <c r="M48" s="566"/>
      <c r="N48" s="566"/>
      <c r="O48" s="566"/>
      <c r="P48" s="566"/>
      <c r="Q48" s="566"/>
      <c r="R48" s="566"/>
      <c r="S48" s="566"/>
      <c r="T48" s="566"/>
      <c r="U48" s="566"/>
      <c r="V48" s="566"/>
      <c r="W48" s="566"/>
      <c r="X48" s="566"/>
      <c r="Y48" s="566"/>
      <c r="Z48" s="566"/>
      <c r="AA48" s="566"/>
      <c r="AB48" s="569"/>
      <c r="AC48" s="569"/>
      <c r="AD48" s="569"/>
      <c r="AE48" s="532"/>
    </row>
    <row r="49">
      <c r="A49" s="533"/>
      <c r="F49" s="533"/>
      <c r="G49" s="533"/>
      <c r="H49" s="533"/>
      <c r="I49" s="566"/>
      <c r="K49" s="568"/>
      <c r="L49" s="533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66"/>
      <c r="AB49" s="569"/>
      <c r="AC49" s="569"/>
      <c r="AD49" s="569"/>
      <c r="AE49" s="532"/>
    </row>
    <row r="50">
      <c r="A50" s="533"/>
      <c r="F50" s="533"/>
      <c r="G50" s="533"/>
      <c r="H50" s="533"/>
      <c r="I50" s="566"/>
      <c r="K50" s="568"/>
      <c r="L50" s="533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66"/>
      <c r="AB50" s="569"/>
      <c r="AC50" s="569"/>
      <c r="AD50" s="569"/>
      <c r="AE50" s="532"/>
    </row>
    <row r="51">
      <c r="A51" s="533"/>
      <c r="F51" s="533"/>
      <c r="G51" s="533"/>
      <c r="H51" s="533"/>
      <c r="I51" s="566"/>
      <c r="K51" s="568"/>
      <c r="L51" s="533"/>
      <c r="M51" s="566"/>
      <c r="N51" s="566"/>
      <c r="O51" s="566"/>
      <c r="P51" s="566"/>
      <c r="Q51" s="566"/>
      <c r="R51" s="566"/>
      <c r="S51" s="566"/>
      <c r="T51" s="566"/>
      <c r="U51" s="566"/>
      <c r="V51" s="566"/>
      <c r="W51" s="566"/>
      <c r="X51" s="566"/>
      <c r="Y51" s="566"/>
      <c r="Z51" s="566"/>
      <c r="AA51" s="566"/>
      <c r="AB51" s="569"/>
      <c r="AC51" s="569"/>
      <c r="AD51" s="569"/>
      <c r="AE51" s="532"/>
    </row>
    <row r="52">
      <c r="A52" s="533"/>
      <c r="F52" s="533"/>
      <c r="G52" s="533"/>
      <c r="H52" s="533"/>
      <c r="I52" s="566"/>
      <c r="K52" s="568"/>
      <c r="L52" s="533"/>
      <c r="M52" s="566"/>
      <c r="N52" s="566"/>
      <c r="O52" s="566"/>
      <c r="P52" s="566"/>
      <c r="Q52" s="566"/>
      <c r="R52" s="566"/>
      <c r="S52" s="566"/>
      <c r="T52" s="566"/>
      <c r="U52" s="566"/>
      <c r="V52" s="566"/>
      <c r="W52" s="566"/>
      <c r="X52" s="566"/>
      <c r="Y52" s="566"/>
      <c r="Z52" s="566"/>
      <c r="AA52" s="566"/>
      <c r="AB52" s="569"/>
      <c r="AC52" s="569"/>
      <c r="AD52" s="569"/>
      <c r="AE52" s="532"/>
    </row>
    <row r="53">
      <c r="A53" s="533"/>
      <c r="F53" s="533"/>
      <c r="G53" s="533"/>
      <c r="H53" s="533"/>
      <c r="I53" s="566"/>
      <c r="K53" s="568"/>
      <c r="L53" s="533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566"/>
      <c r="X53" s="566"/>
      <c r="Y53" s="566"/>
      <c r="Z53" s="566"/>
      <c r="AA53" s="566"/>
      <c r="AB53" s="569"/>
      <c r="AC53" s="569"/>
      <c r="AD53" s="569"/>
      <c r="AE53" s="532"/>
    </row>
    <row r="54">
      <c r="A54" s="533"/>
      <c r="F54" s="533"/>
      <c r="G54" s="533"/>
      <c r="H54" s="533"/>
      <c r="I54" s="566"/>
      <c r="K54" s="568"/>
      <c r="L54" s="533"/>
      <c r="M54" s="566"/>
      <c r="N54" s="566"/>
      <c r="O54" s="566"/>
      <c r="P54" s="566"/>
      <c r="Q54" s="566"/>
      <c r="R54" s="566"/>
      <c r="S54" s="566"/>
      <c r="T54" s="566"/>
      <c r="U54" s="566"/>
      <c r="V54" s="566"/>
      <c r="W54" s="566"/>
      <c r="X54" s="566"/>
      <c r="Y54" s="566"/>
      <c r="Z54" s="566"/>
      <c r="AA54" s="566"/>
      <c r="AB54" s="569"/>
      <c r="AC54" s="569"/>
      <c r="AD54" s="569"/>
      <c r="AE54" s="532"/>
    </row>
    <row r="55">
      <c r="A55" s="533"/>
      <c r="F55" s="533"/>
      <c r="G55" s="533"/>
      <c r="H55" s="533"/>
      <c r="I55" s="566"/>
      <c r="K55" s="568"/>
      <c r="L55" s="533"/>
      <c r="M55" s="566"/>
      <c r="N55" s="566"/>
      <c r="O55" s="566"/>
      <c r="P55" s="566"/>
      <c r="Q55" s="566"/>
      <c r="R55" s="566"/>
      <c r="S55" s="566"/>
      <c r="T55" s="566"/>
      <c r="U55" s="566"/>
      <c r="V55" s="566"/>
      <c r="W55" s="566"/>
      <c r="X55" s="566"/>
      <c r="Y55" s="566"/>
      <c r="Z55" s="566"/>
      <c r="AA55" s="566"/>
      <c r="AB55" s="569"/>
      <c r="AC55" s="569"/>
      <c r="AD55" s="569"/>
      <c r="AE55" s="532"/>
    </row>
    <row r="56">
      <c r="A56" s="533"/>
      <c r="F56" s="533"/>
      <c r="G56" s="533"/>
      <c r="H56" s="533"/>
      <c r="I56" s="566"/>
      <c r="K56" s="568"/>
      <c r="L56" s="533"/>
      <c r="M56" s="566"/>
      <c r="N56" s="566"/>
      <c r="O56" s="566"/>
      <c r="P56" s="566"/>
      <c r="Q56" s="566"/>
      <c r="R56" s="566"/>
      <c r="S56" s="566"/>
      <c r="T56" s="566"/>
      <c r="U56" s="566"/>
      <c r="V56" s="566"/>
      <c r="W56" s="566"/>
      <c r="X56" s="566"/>
      <c r="Y56" s="566"/>
      <c r="Z56" s="566"/>
      <c r="AA56" s="566"/>
      <c r="AB56" s="569"/>
      <c r="AC56" s="569"/>
      <c r="AD56" s="569"/>
      <c r="AE56" s="532"/>
    </row>
    <row r="57">
      <c r="A57" s="533"/>
      <c r="F57" s="533"/>
      <c r="G57" s="533"/>
      <c r="H57" s="533"/>
      <c r="I57" s="566"/>
      <c r="K57" s="568"/>
      <c r="L57" s="533"/>
      <c r="M57" s="566"/>
      <c r="N57" s="566"/>
      <c r="O57" s="566"/>
      <c r="P57" s="566"/>
      <c r="Q57" s="566"/>
      <c r="R57" s="566"/>
      <c r="S57" s="566"/>
      <c r="T57" s="566"/>
      <c r="U57" s="566"/>
      <c r="V57" s="566"/>
      <c r="W57" s="566"/>
      <c r="X57" s="566"/>
      <c r="Y57" s="566"/>
      <c r="Z57" s="566"/>
      <c r="AA57" s="566"/>
      <c r="AB57" s="569"/>
      <c r="AC57" s="569"/>
      <c r="AD57" s="569"/>
      <c r="AE57" s="532"/>
    </row>
    <row r="58">
      <c r="A58" s="533"/>
      <c r="F58" s="533"/>
      <c r="G58" s="533"/>
      <c r="H58" s="533"/>
      <c r="I58" s="566"/>
      <c r="K58" s="568"/>
      <c r="L58" s="533"/>
      <c r="M58" s="566"/>
      <c r="N58" s="566"/>
      <c r="O58" s="566"/>
      <c r="P58" s="566"/>
      <c r="Q58" s="566"/>
      <c r="R58" s="566"/>
      <c r="S58" s="566"/>
      <c r="T58" s="566"/>
      <c r="U58" s="566"/>
      <c r="V58" s="566"/>
      <c r="W58" s="566"/>
      <c r="X58" s="566"/>
      <c r="Y58" s="566"/>
      <c r="Z58" s="566"/>
      <c r="AA58" s="566"/>
      <c r="AB58" s="569"/>
      <c r="AC58" s="569"/>
      <c r="AD58" s="569"/>
      <c r="AE58" s="532"/>
    </row>
    <row r="59">
      <c r="A59" s="533"/>
      <c r="F59" s="533"/>
      <c r="G59" s="533"/>
      <c r="H59" s="533"/>
      <c r="I59" s="566"/>
      <c r="K59" s="568"/>
      <c r="L59" s="533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66"/>
      <c r="AB59" s="569"/>
      <c r="AC59" s="569"/>
      <c r="AD59" s="569"/>
      <c r="AE59" s="532"/>
    </row>
    <row r="60">
      <c r="A60" s="533"/>
      <c r="F60" s="533"/>
      <c r="G60" s="533"/>
      <c r="H60" s="533"/>
      <c r="I60" s="566"/>
      <c r="K60" s="568"/>
      <c r="L60" s="533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6"/>
      <c r="Z60" s="566"/>
      <c r="AA60" s="566"/>
      <c r="AB60" s="569"/>
      <c r="AC60" s="569"/>
      <c r="AD60" s="569"/>
      <c r="AE60" s="532"/>
    </row>
    <row r="61">
      <c r="A61" s="533"/>
      <c r="F61" s="533"/>
      <c r="G61" s="533"/>
      <c r="H61" s="533"/>
      <c r="I61" s="566"/>
      <c r="K61" s="568"/>
      <c r="L61" s="533"/>
      <c r="M61" s="566"/>
      <c r="N61" s="566"/>
      <c r="O61" s="566"/>
      <c r="P61" s="566"/>
      <c r="Q61" s="566"/>
      <c r="R61" s="566"/>
      <c r="S61" s="566"/>
      <c r="T61" s="566"/>
      <c r="U61" s="566"/>
      <c r="V61" s="566"/>
      <c r="W61" s="566"/>
      <c r="X61" s="566"/>
      <c r="Y61" s="566"/>
      <c r="Z61" s="566"/>
      <c r="AA61" s="566"/>
      <c r="AB61" s="569"/>
      <c r="AC61" s="569"/>
      <c r="AD61" s="569"/>
      <c r="AE61" s="532"/>
    </row>
    <row r="62">
      <c r="A62" s="533"/>
      <c r="F62" s="533"/>
      <c r="G62" s="533"/>
      <c r="H62" s="533"/>
      <c r="I62" s="566"/>
      <c r="K62" s="568"/>
      <c r="L62" s="533"/>
      <c r="M62" s="566"/>
      <c r="N62" s="566"/>
      <c r="O62" s="566"/>
      <c r="P62" s="566"/>
      <c r="Q62" s="566"/>
      <c r="R62" s="566"/>
      <c r="S62" s="566"/>
      <c r="T62" s="566"/>
      <c r="U62" s="566"/>
      <c r="V62" s="566"/>
      <c r="W62" s="566"/>
      <c r="X62" s="566"/>
      <c r="Y62" s="566"/>
      <c r="Z62" s="566"/>
      <c r="AA62" s="566"/>
      <c r="AB62" s="569"/>
      <c r="AC62" s="569"/>
      <c r="AD62" s="569"/>
      <c r="AE62" s="532"/>
    </row>
    <row r="63">
      <c r="A63" s="533"/>
      <c r="F63" s="533"/>
      <c r="G63" s="533"/>
      <c r="H63" s="533"/>
      <c r="I63" s="566"/>
      <c r="K63" s="568"/>
      <c r="L63" s="533"/>
      <c r="M63" s="566"/>
      <c r="N63" s="566"/>
      <c r="O63" s="566"/>
      <c r="P63" s="566"/>
      <c r="Q63" s="566"/>
      <c r="R63" s="566"/>
      <c r="S63" s="566"/>
      <c r="T63" s="566"/>
      <c r="U63" s="566"/>
      <c r="V63" s="566"/>
      <c r="W63" s="566"/>
      <c r="X63" s="566"/>
      <c r="Y63" s="566"/>
      <c r="Z63" s="566"/>
      <c r="AA63" s="566"/>
      <c r="AB63" s="569"/>
      <c r="AC63" s="569"/>
      <c r="AD63" s="569"/>
      <c r="AE63" s="532"/>
    </row>
    <row r="64">
      <c r="A64" s="533"/>
      <c r="F64" s="533"/>
      <c r="G64" s="533"/>
      <c r="H64" s="533"/>
      <c r="I64" s="566"/>
      <c r="K64" s="568"/>
      <c r="L64" s="533"/>
      <c r="M64" s="566"/>
      <c r="N64" s="566"/>
      <c r="O64" s="566"/>
      <c r="P64" s="566"/>
      <c r="Q64" s="566"/>
      <c r="R64" s="566"/>
      <c r="S64" s="566"/>
      <c r="T64" s="566"/>
      <c r="U64" s="566"/>
      <c r="V64" s="566"/>
      <c r="W64" s="566"/>
      <c r="X64" s="566"/>
      <c r="Y64" s="566"/>
      <c r="Z64" s="566"/>
      <c r="AA64" s="566"/>
      <c r="AB64" s="569"/>
      <c r="AC64" s="569"/>
      <c r="AD64" s="569"/>
      <c r="AE64" s="532"/>
    </row>
    <row r="65">
      <c r="A65" s="533"/>
      <c r="F65" s="533"/>
      <c r="G65" s="533"/>
      <c r="H65" s="533"/>
      <c r="I65" s="566"/>
      <c r="K65" s="568"/>
      <c r="L65" s="533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66"/>
      <c r="AB65" s="569"/>
      <c r="AC65" s="569"/>
      <c r="AD65" s="569"/>
      <c r="AE65" s="532"/>
    </row>
    <row r="66">
      <c r="A66" s="533"/>
      <c r="F66" s="533"/>
      <c r="G66" s="533"/>
      <c r="H66" s="533"/>
      <c r="I66" s="566"/>
      <c r="K66" s="568"/>
      <c r="L66" s="533"/>
      <c r="M66" s="566"/>
      <c r="N66" s="566"/>
      <c r="O66" s="566"/>
      <c r="P66" s="566"/>
      <c r="Q66" s="566"/>
      <c r="R66" s="566"/>
      <c r="S66" s="566"/>
      <c r="T66" s="566"/>
      <c r="U66" s="566"/>
      <c r="V66" s="566"/>
      <c r="W66" s="566"/>
      <c r="X66" s="566"/>
      <c r="Y66" s="566"/>
      <c r="Z66" s="566"/>
      <c r="AA66" s="566"/>
      <c r="AB66" s="569"/>
      <c r="AC66" s="569"/>
      <c r="AD66" s="569"/>
      <c r="AE66" s="532"/>
    </row>
    <row r="67">
      <c r="A67" s="533"/>
      <c r="F67" s="533"/>
      <c r="G67" s="533"/>
      <c r="H67" s="533"/>
      <c r="I67" s="566"/>
      <c r="K67" s="568"/>
      <c r="L67" s="533"/>
      <c r="M67" s="566"/>
      <c r="N67" s="566"/>
      <c r="O67" s="566"/>
      <c r="P67" s="566"/>
      <c r="Q67" s="566"/>
      <c r="R67" s="566"/>
      <c r="S67" s="566"/>
      <c r="T67" s="566"/>
      <c r="U67" s="566"/>
      <c r="V67" s="566"/>
      <c r="W67" s="566"/>
      <c r="X67" s="566"/>
      <c r="Y67" s="566"/>
      <c r="Z67" s="566"/>
      <c r="AA67" s="566"/>
      <c r="AB67" s="569"/>
      <c r="AC67" s="569"/>
      <c r="AD67" s="569"/>
      <c r="AE67" s="532"/>
    </row>
    <row r="68">
      <c r="A68" s="533"/>
      <c r="F68" s="533"/>
      <c r="G68" s="533"/>
      <c r="H68" s="533"/>
      <c r="I68" s="566"/>
      <c r="K68" s="568"/>
      <c r="L68" s="533"/>
      <c r="M68" s="566"/>
      <c r="N68" s="566"/>
      <c r="O68" s="566"/>
      <c r="P68" s="566"/>
      <c r="Q68" s="566"/>
      <c r="R68" s="566"/>
      <c r="S68" s="566"/>
      <c r="T68" s="566"/>
      <c r="U68" s="566"/>
      <c r="V68" s="566"/>
      <c r="W68" s="566"/>
      <c r="X68" s="566"/>
      <c r="Y68" s="566"/>
      <c r="Z68" s="566"/>
      <c r="AA68" s="566"/>
      <c r="AB68" s="569"/>
      <c r="AC68" s="569"/>
      <c r="AD68" s="569"/>
      <c r="AE68" s="532"/>
    </row>
    <row r="69">
      <c r="A69" s="533"/>
      <c r="F69" s="533"/>
      <c r="G69" s="533"/>
      <c r="H69" s="533"/>
      <c r="I69" s="566"/>
      <c r="K69" s="568"/>
      <c r="L69" s="533"/>
      <c r="M69" s="566"/>
      <c r="N69" s="566"/>
      <c r="O69" s="566"/>
      <c r="P69" s="566"/>
      <c r="Q69" s="566"/>
      <c r="R69" s="566"/>
      <c r="S69" s="566"/>
      <c r="T69" s="566"/>
      <c r="U69" s="566"/>
      <c r="V69" s="566"/>
      <c r="W69" s="566"/>
      <c r="X69" s="566"/>
      <c r="Y69" s="566"/>
      <c r="Z69" s="566"/>
      <c r="AA69" s="566"/>
      <c r="AB69" s="569"/>
      <c r="AC69" s="569"/>
      <c r="AD69" s="569"/>
      <c r="AE69" s="532"/>
    </row>
    <row r="70">
      <c r="A70" s="533"/>
      <c r="F70" s="533"/>
      <c r="G70" s="533"/>
      <c r="H70" s="533"/>
      <c r="I70" s="566"/>
      <c r="K70" s="568"/>
      <c r="L70" s="533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66"/>
      <c r="AB70" s="569"/>
      <c r="AC70" s="569"/>
      <c r="AD70" s="569"/>
      <c r="AE70" s="532"/>
    </row>
    <row r="71">
      <c r="A71" s="533"/>
      <c r="F71" s="533"/>
      <c r="G71" s="533"/>
      <c r="H71" s="533"/>
      <c r="I71" s="566"/>
      <c r="K71" s="568"/>
      <c r="L71" s="533"/>
      <c r="M71" s="566"/>
      <c r="N71" s="566"/>
      <c r="O71" s="566"/>
      <c r="P71" s="566"/>
      <c r="Q71" s="566"/>
      <c r="R71" s="566"/>
      <c r="S71" s="566"/>
      <c r="T71" s="566"/>
      <c r="U71" s="566"/>
      <c r="V71" s="566"/>
      <c r="W71" s="566"/>
      <c r="X71" s="566"/>
      <c r="Y71" s="566"/>
      <c r="Z71" s="566"/>
      <c r="AA71" s="566"/>
      <c r="AB71" s="569"/>
      <c r="AC71" s="569"/>
      <c r="AD71" s="569"/>
      <c r="AE71" s="532"/>
    </row>
    <row r="72">
      <c r="A72" s="533"/>
      <c r="F72" s="533"/>
      <c r="G72" s="533"/>
      <c r="H72" s="533"/>
      <c r="I72" s="566"/>
      <c r="K72" s="568"/>
      <c r="L72" s="533"/>
      <c r="M72" s="566"/>
      <c r="N72" s="566"/>
      <c r="O72" s="566"/>
      <c r="P72" s="566"/>
      <c r="Q72" s="566"/>
      <c r="R72" s="566"/>
      <c r="S72" s="566"/>
      <c r="T72" s="566"/>
      <c r="U72" s="566"/>
      <c r="V72" s="566"/>
      <c r="W72" s="566"/>
      <c r="X72" s="566"/>
      <c r="Y72" s="566"/>
      <c r="Z72" s="566"/>
      <c r="AA72" s="566"/>
      <c r="AB72" s="569"/>
      <c r="AC72" s="569"/>
      <c r="AD72" s="569"/>
      <c r="AE72" s="532"/>
    </row>
    <row r="73">
      <c r="A73" s="533"/>
      <c r="F73" s="533"/>
      <c r="G73" s="533"/>
      <c r="H73" s="533"/>
      <c r="I73" s="566"/>
      <c r="K73" s="568"/>
      <c r="L73" s="533"/>
      <c r="M73" s="566"/>
      <c r="N73" s="566"/>
      <c r="O73" s="566"/>
      <c r="P73" s="566"/>
      <c r="Q73" s="566"/>
      <c r="R73" s="566"/>
      <c r="S73" s="566"/>
      <c r="T73" s="566"/>
      <c r="U73" s="566"/>
      <c r="V73" s="566"/>
      <c r="W73" s="566"/>
      <c r="X73" s="566"/>
      <c r="Y73" s="566"/>
      <c r="Z73" s="566"/>
      <c r="AA73" s="566"/>
      <c r="AB73" s="569"/>
      <c r="AC73" s="569"/>
      <c r="AD73" s="569"/>
      <c r="AE73" s="532"/>
    </row>
    <row r="74">
      <c r="A74" s="533"/>
      <c r="F74" s="533"/>
      <c r="G74" s="533"/>
      <c r="H74" s="533"/>
      <c r="I74" s="566"/>
      <c r="K74" s="568"/>
      <c r="L74" s="533"/>
      <c r="M74" s="566"/>
      <c r="N74" s="566"/>
      <c r="O74" s="566"/>
      <c r="P74" s="566"/>
      <c r="Q74" s="566"/>
      <c r="R74" s="566"/>
      <c r="S74" s="566"/>
      <c r="T74" s="566"/>
      <c r="U74" s="566"/>
      <c r="V74" s="566"/>
      <c r="W74" s="566"/>
      <c r="X74" s="566"/>
      <c r="Y74" s="566"/>
      <c r="Z74" s="566"/>
      <c r="AA74" s="566"/>
      <c r="AB74" s="569"/>
      <c r="AC74" s="569"/>
      <c r="AD74" s="569"/>
      <c r="AE74" s="532"/>
    </row>
    <row r="75">
      <c r="A75" s="533"/>
      <c r="F75" s="533"/>
      <c r="G75" s="533"/>
      <c r="H75" s="533"/>
      <c r="I75" s="566"/>
      <c r="K75" s="568"/>
      <c r="L75" s="533"/>
      <c r="M75" s="566"/>
      <c r="N75" s="566"/>
      <c r="O75" s="566"/>
      <c r="P75" s="566"/>
      <c r="Q75" s="566"/>
      <c r="R75" s="566"/>
      <c r="S75" s="566"/>
      <c r="T75" s="566"/>
      <c r="U75" s="566"/>
      <c r="V75" s="566"/>
      <c r="W75" s="566"/>
      <c r="X75" s="566"/>
      <c r="Y75" s="566"/>
      <c r="Z75" s="566"/>
      <c r="AA75" s="566"/>
      <c r="AB75" s="569"/>
      <c r="AC75" s="569"/>
      <c r="AD75" s="569"/>
      <c r="AE75" s="532"/>
    </row>
    <row r="76">
      <c r="A76" s="533"/>
      <c r="F76" s="533"/>
      <c r="G76" s="533"/>
      <c r="H76" s="533"/>
      <c r="I76" s="566"/>
      <c r="K76" s="568"/>
      <c r="L76" s="533"/>
      <c r="M76" s="566"/>
      <c r="N76" s="566"/>
      <c r="O76" s="566"/>
      <c r="P76" s="566"/>
      <c r="Q76" s="566"/>
      <c r="R76" s="566"/>
      <c r="S76" s="566"/>
      <c r="T76" s="566"/>
      <c r="U76" s="566"/>
      <c r="V76" s="566"/>
      <c r="W76" s="566"/>
      <c r="X76" s="566"/>
      <c r="Y76" s="566"/>
      <c r="Z76" s="566"/>
      <c r="AA76" s="566"/>
      <c r="AB76" s="569"/>
      <c r="AC76" s="569"/>
      <c r="AD76" s="569"/>
      <c r="AE76" s="532"/>
    </row>
    <row r="77">
      <c r="A77" s="533"/>
      <c r="F77" s="533"/>
      <c r="G77" s="533"/>
      <c r="H77" s="533"/>
      <c r="I77" s="566"/>
      <c r="K77" s="568"/>
      <c r="L77" s="533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66"/>
      <c r="AB77" s="569"/>
      <c r="AC77" s="569"/>
      <c r="AD77" s="569"/>
      <c r="AE77" s="532"/>
    </row>
    <row r="78">
      <c r="A78" s="533"/>
      <c r="F78" s="533"/>
      <c r="G78" s="533"/>
      <c r="H78" s="533"/>
      <c r="I78" s="566"/>
      <c r="K78" s="568"/>
      <c r="L78" s="533"/>
      <c r="M78" s="566"/>
      <c r="N78" s="566"/>
      <c r="O78" s="566"/>
      <c r="P78" s="566"/>
      <c r="Q78" s="566"/>
      <c r="R78" s="566"/>
      <c r="S78" s="566"/>
      <c r="T78" s="566"/>
      <c r="U78" s="566"/>
      <c r="V78" s="566"/>
      <c r="W78" s="566"/>
      <c r="X78" s="566"/>
      <c r="Y78" s="566"/>
      <c r="Z78" s="566"/>
      <c r="AA78" s="566"/>
      <c r="AB78" s="569"/>
      <c r="AC78" s="569"/>
      <c r="AD78" s="569"/>
      <c r="AE78" s="532"/>
    </row>
    <row r="79">
      <c r="A79" s="533"/>
      <c r="F79" s="533"/>
      <c r="G79" s="533"/>
      <c r="H79" s="533"/>
      <c r="I79" s="566"/>
      <c r="K79" s="568"/>
      <c r="L79" s="533"/>
      <c r="M79" s="566"/>
      <c r="N79" s="566"/>
      <c r="O79" s="566"/>
      <c r="P79" s="566"/>
      <c r="Q79" s="566"/>
      <c r="R79" s="566"/>
      <c r="S79" s="566"/>
      <c r="T79" s="566"/>
      <c r="U79" s="566"/>
      <c r="V79" s="566"/>
      <c r="W79" s="566"/>
      <c r="X79" s="566"/>
      <c r="Y79" s="566"/>
      <c r="Z79" s="566"/>
      <c r="AA79" s="566"/>
      <c r="AB79" s="569"/>
      <c r="AC79" s="569"/>
      <c r="AD79" s="569"/>
      <c r="AE79" s="532"/>
    </row>
    <row r="80">
      <c r="A80" s="533"/>
      <c r="F80" s="533"/>
      <c r="G80" s="533"/>
      <c r="H80" s="533"/>
      <c r="I80" s="566"/>
      <c r="K80" s="568"/>
      <c r="L80" s="533"/>
      <c r="M80" s="566"/>
      <c r="N80" s="566"/>
      <c r="O80" s="566"/>
      <c r="P80" s="566"/>
      <c r="Q80" s="566"/>
      <c r="R80" s="566"/>
      <c r="S80" s="566"/>
      <c r="T80" s="566"/>
      <c r="U80" s="566"/>
      <c r="V80" s="566"/>
      <c r="W80" s="566"/>
      <c r="X80" s="566"/>
      <c r="Y80" s="566"/>
      <c r="Z80" s="566"/>
      <c r="AA80" s="566"/>
      <c r="AB80" s="569"/>
      <c r="AC80" s="569"/>
      <c r="AD80" s="569"/>
      <c r="AE80" s="532"/>
    </row>
    <row r="81">
      <c r="A81" s="533"/>
      <c r="F81" s="533"/>
      <c r="G81" s="533"/>
      <c r="H81" s="533"/>
      <c r="I81" s="566"/>
      <c r="K81" s="568"/>
      <c r="L81" s="533"/>
      <c r="M81" s="566"/>
      <c r="N81" s="566"/>
      <c r="O81" s="566"/>
      <c r="P81" s="566"/>
      <c r="Q81" s="566"/>
      <c r="R81" s="566"/>
      <c r="S81" s="566"/>
      <c r="T81" s="566"/>
      <c r="U81" s="566"/>
      <c r="V81" s="566"/>
      <c r="W81" s="566"/>
      <c r="X81" s="566"/>
      <c r="Y81" s="566"/>
      <c r="Z81" s="566"/>
      <c r="AA81" s="566"/>
      <c r="AB81" s="569"/>
      <c r="AC81" s="569"/>
      <c r="AD81" s="569"/>
      <c r="AE81" s="532"/>
    </row>
    <row r="82">
      <c r="A82" s="533"/>
      <c r="F82" s="533"/>
      <c r="G82" s="533"/>
      <c r="H82" s="533"/>
      <c r="I82" s="566"/>
      <c r="K82" s="568"/>
      <c r="L82" s="533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66"/>
      <c r="AB82" s="569"/>
      <c r="AC82" s="569"/>
      <c r="AD82" s="569"/>
      <c r="AE82" s="532"/>
    </row>
    <row r="83">
      <c r="A83" s="533"/>
      <c r="F83" s="533"/>
      <c r="G83" s="533"/>
      <c r="H83" s="533"/>
      <c r="I83" s="566"/>
      <c r="K83" s="568"/>
      <c r="L83" s="533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66"/>
      <c r="AB83" s="569"/>
      <c r="AC83" s="569"/>
      <c r="AD83" s="569"/>
      <c r="AE83" s="532"/>
    </row>
    <row r="84">
      <c r="A84" s="533"/>
      <c r="F84" s="533"/>
      <c r="G84" s="533"/>
      <c r="H84" s="533"/>
      <c r="I84" s="566"/>
      <c r="K84" s="568"/>
      <c r="L84" s="533"/>
      <c r="M84" s="566"/>
      <c r="N84" s="566"/>
      <c r="O84" s="566"/>
      <c r="P84" s="566"/>
      <c r="Q84" s="566"/>
      <c r="R84" s="566"/>
      <c r="S84" s="566"/>
      <c r="T84" s="566"/>
      <c r="U84" s="566"/>
      <c r="V84" s="566"/>
      <c r="W84" s="566"/>
      <c r="X84" s="566"/>
      <c r="Y84" s="566"/>
      <c r="Z84" s="566"/>
      <c r="AA84" s="566"/>
      <c r="AB84" s="569"/>
      <c r="AC84" s="569"/>
      <c r="AD84" s="569"/>
      <c r="AE84" s="532"/>
    </row>
    <row r="85">
      <c r="A85" s="533"/>
      <c r="F85" s="533"/>
      <c r="G85" s="533"/>
      <c r="H85" s="533"/>
      <c r="I85" s="566"/>
      <c r="K85" s="568"/>
      <c r="L85" s="533"/>
      <c r="M85" s="566"/>
      <c r="N85" s="566"/>
      <c r="O85" s="566"/>
      <c r="P85" s="566"/>
      <c r="Q85" s="566"/>
      <c r="R85" s="566"/>
      <c r="S85" s="566"/>
      <c r="T85" s="566"/>
      <c r="U85" s="566"/>
      <c r="V85" s="566"/>
      <c r="W85" s="566"/>
      <c r="X85" s="566"/>
      <c r="Y85" s="566"/>
      <c r="Z85" s="566"/>
      <c r="AA85" s="566"/>
      <c r="AB85" s="569"/>
      <c r="AC85" s="569"/>
      <c r="AD85" s="569"/>
      <c r="AE85" s="532"/>
    </row>
    <row r="86">
      <c r="A86" s="533"/>
      <c r="F86" s="533"/>
      <c r="G86" s="533"/>
      <c r="H86" s="533"/>
      <c r="I86" s="566"/>
      <c r="K86" s="568"/>
      <c r="L86" s="533"/>
      <c r="M86" s="566"/>
      <c r="N86" s="566"/>
      <c r="O86" s="566"/>
      <c r="P86" s="566"/>
      <c r="Q86" s="566"/>
      <c r="R86" s="566"/>
      <c r="S86" s="566"/>
      <c r="T86" s="566"/>
      <c r="U86" s="566"/>
      <c r="V86" s="566"/>
      <c r="W86" s="566"/>
      <c r="X86" s="566"/>
      <c r="Y86" s="566"/>
      <c r="Z86" s="566"/>
      <c r="AA86" s="566"/>
      <c r="AB86" s="569"/>
      <c r="AC86" s="569"/>
      <c r="AD86" s="569"/>
      <c r="AE86" s="532"/>
    </row>
    <row r="87">
      <c r="A87" s="533"/>
      <c r="F87" s="533"/>
      <c r="G87" s="533"/>
      <c r="H87" s="533"/>
      <c r="I87" s="566"/>
      <c r="K87" s="568"/>
      <c r="L87" s="533"/>
      <c r="M87" s="566"/>
      <c r="N87" s="566"/>
      <c r="O87" s="566"/>
      <c r="P87" s="566"/>
      <c r="Q87" s="566"/>
      <c r="R87" s="566"/>
      <c r="S87" s="566"/>
      <c r="T87" s="566"/>
      <c r="U87" s="566"/>
      <c r="V87" s="566"/>
      <c r="W87" s="566"/>
      <c r="X87" s="566"/>
      <c r="Y87" s="566"/>
      <c r="Z87" s="566"/>
      <c r="AA87" s="566"/>
      <c r="AB87" s="569"/>
      <c r="AC87" s="569"/>
      <c r="AD87" s="569"/>
      <c r="AE87" s="532"/>
    </row>
    <row r="88">
      <c r="A88" s="533"/>
      <c r="F88" s="533"/>
      <c r="G88" s="533"/>
      <c r="H88" s="533"/>
      <c r="I88" s="566"/>
      <c r="K88" s="568"/>
      <c r="L88" s="533"/>
      <c r="M88" s="566"/>
      <c r="N88" s="566"/>
      <c r="O88" s="566"/>
      <c r="P88" s="566"/>
      <c r="Q88" s="566"/>
      <c r="R88" s="566"/>
      <c r="S88" s="566"/>
      <c r="T88" s="566"/>
      <c r="U88" s="566"/>
      <c r="V88" s="566"/>
      <c r="W88" s="566"/>
      <c r="X88" s="566"/>
      <c r="Y88" s="566"/>
      <c r="Z88" s="566"/>
      <c r="AA88" s="566"/>
      <c r="AB88" s="569"/>
      <c r="AC88" s="569"/>
      <c r="AD88" s="569"/>
      <c r="AE88" s="532"/>
    </row>
    <row r="89">
      <c r="A89" s="533"/>
      <c r="F89" s="533"/>
      <c r="G89" s="533"/>
      <c r="H89" s="533"/>
      <c r="I89" s="566"/>
      <c r="K89" s="568"/>
      <c r="L89" s="533"/>
      <c r="M89" s="566"/>
      <c r="N89" s="566"/>
      <c r="O89" s="566"/>
      <c r="P89" s="566"/>
      <c r="Q89" s="566"/>
      <c r="R89" s="566"/>
      <c r="S89" s="566"/>
      <c r="T89" s="566"/>
      <c r="U89" s="566"/>
      <c r="V89" s="566"/>
      <c r="W89" s="566"/>
      <c r="X89" s="566"/>
      <c r="Y89" s="566"/>
      <c r="Z89" s="566"/>
      <c r="AA89" s="566"/>
      <c r="AB89" s="569"/>
      <c r="AC89" s="569"/>
      <c r="AD89" s="569"/>
      <c r="AE89" s="532"/>
    </row>
    <row r="90">
      <c r="A90" s="533"/>
      <c r="F90" s="533"/>
      <c r="G90" s="533"/>
      <c r="H90" s="533"/>
      <c r="I90" s="566"/>
      <c r="K90" s="568"/>
      <c r="L90" s="533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66"/>
      <c r="AB90" s="569"/>
      <c r="AC90" s="569"/>
      <c r="AD90" s="569"/>
      <c r="AE90" s="532"/>
    </row>
    <row r="91">
      <c r="A91" s="533"/>
      <c r="F91" s="533"/>
      <c r="G91" s="533"/>
      <c r="H91" s="533"/>
      <c r="I91" s="566"/>
      <c r="K91" s="568"/>
      <c r="L91" s="533"/>
      <c r="M91" s="566"/>
      <c r="N91" s="566"/>
      <c r="O91" s="566"/>
      <c r="P91" s="566"/>
      <c r="Q91" s="566"/>
      <c r="R91" s="566"/>
      <c r="S91" s="566"/>
      <c r="T91" s="566"/>
      <c r="U91" s="566"/>
      <c r="V91" s="566"/>
      <c r="W91" s="566"/>
      <c r="X91" s="566"/>
      <c r="Y91" s="566"/>
      <c r="Z91" s="566"/>
      <c r="AA91" s="566"/>
      <c r="AB91" s="569"/>
      <c r="AC91" s="569"/>
      <c r="AD91" s="569"/>
      <c r="AE91" s="532"/>
    </row>
    <row r="92">
      <c r="A92" s="533"/>
      <c r="F92" s="533"/>
      <c r="G92" s="533"/>
      <c r="H92" s="533"/>
      <c r="I92" s="566"/>
      <c r="K92" s="568"/>
      <c r="L92" s="533"/>
      <c r="M92" s="566"/>
      <c r="N92" s="566"/>
      <c r="O92" s="566"/>
      <c r="P92" s="566"/>
      <c r="Q92" s="566"/>
      <c r="R92" s="566"/>
      <c r="S92" s="566"/>
      <c r="T92" s="566"/>
      <c r="U92" s="566"/>
      <c r="V92" s="566"/>
      <c r="W92" s="566"/>
      <c r="X92" s="566"/>
      <c r="Y92" s="566"/>
      <c r="Z92" s="566"/>
      <c r="AA92" s="566"/>
      <c r="AB92" s="569"/>
      <c r="AC92" s="569"/>
      <c r="AD92" s="569"/>
      <c r="AE92" s="532"/>
    </row>
    <row r="93">
      <c r="A93" s="533"/>
      <c r="F93" s="533"/>
      <c r="G93" s="533"/>
      <c r="H93" s="533"/>
      <c r="I93" s="566"/>
      <c r="K93" s="568"/>
      <c r="L93" s="533"/>
      <c r="M93" s="566"/>
      <c r="N93" s="566"/>
      <c r="O93" s="566"/>
      <c r="P93" s="566"/>
      <c r="Q93" s="566"/>
      <c r="R93" s="566"/>
      <c r="S93" s="566"/>
      <c r="T93" s="566"/>
      <c r="U93" s="566"/>
      <c r="V93" s="566"/>
      <c r="W93" s="566"/>
      <c r="X93" s="566"/>
      <c r="Y93" s="566"/>
      <c r="Z93" s="566"/>
      <c r="AA93" s="566"/>
      <c r="AB93" s="569"/>
      <c r="AC93" s="569"/>
      <c r="AD93" s="569"/>
      <c r="AE93" s="532"/>
    </row>
    <row r="94">
      <c r="A94" s="533"/>
      <c r="F94" s="533"/>
      <c r="G94" s="533"/>
      <c r="H94" s="533"/>
      <c r="I94" s="566"/>
      <c r="K94" s="568"/>
      <c r="L94" s="533"/>
      <c r="M94" s="566"/>
      <c r="N94" s="566"/>
      <c r="O94" s="566"/>
      <c r="P94" s="566"/>
      <c r="Q94" s="566"/>
      <c r="R94" s="566"/>
      <c r="S94" s="566"/>
      <c r="T94" s="566"/>
      <c r="U94" s="566"/>
      <c r="V94" s="566"/>
      <c r="W94" s="566"/>
      <c r="X94" s="566"/>
      <c r="Y94" s="566"/>
      <c r="Z94" s="566"/>
      <c r="AA94" s="566"/>
      <c r="AB94" s="569"/>
      <c r="AC94" s="569"/>
      <c r="AD94" s="569"/>
      <c r="AE94" s="532"/>
    </row>
    <row r="95">
      <c r="A95" s="533"/>
      <c r="F95" s="533"/>
      <c r="G95" s="533"/>
      <c r="H95" s="533"/>
      <c r="I95" s="566"/>
      <c r="K95" s="568"/>
      <c r="L95" s="533"/>
      <c r="M95" s="566"/>
      <c r="N95" s="566"/>
      <c r="O95" s="566"/>
      <c r="P95" s="566"/>
      <c r="Q95" s="566"/>
      <c r="R95" s="566"/>
      <c r="S95" s="566"/>
      <c r="T95" s="566"/>
      <c r="U95" s="566"/>
      <c r="V95" s="566"/>
      <c r="W95" s="566"/>
      <c r="X95" s="566"/>
      <c r="Y95" s="566"/>
      <c r="Z95" s="566"/>
      <c r="AA95" s="566"/>
      <c r="AB95" s="569"/>
      <c r="AC95" s="569"/>
      <c r="AD95" s="569"/>
      <c r="AE95" s="532"/>
    </row>
    <row r="96">
      <c r="A96" s="533"/>
      <c r="F96" s="533"/>
      <c r="G96" s="533"/>
      <c r="H96" s="533"/>
      <c r="I96" s="566"/>
      <c r="K96" s="568"/>
      <c r="L96" s="533"/>
      <c r="M96" s="566"/>
      <c r="N96" s="566"/>
      <c r="O96" s="566"/>
      <c r="P96" s="566"/>
      <c r="Q96" s="566"/>
      <c r="R96" s="566"/>
      <c r="S96" s="566"/>
      <c r="T96" s="566"/>
      <c r="U96" s="566"/>
      <c r="V96" s="566"/>
      <c r="W96" s="566"/>
      <c r="X96" s="566"/>
      <c r="Y96" s="566"/>
      <c r="Z96" s="566"/>
      <c r="AA96" s="566"/>
      <c r="AB96" s="569"/>
      <c r="AC96" s="569"/>
      <c r="AD96" s="569"/>
      <c r="AE96" s="532"/>
    </row>
    <row r="97">
      <c r="A97" s="533"/>
      <c r="F97" s="533"/>
      <c r="G97" s="533"/>
      <c r="H97" s="533"/>
      <c r="I97" s="566"/>
      <c r="K97" s="568"/>
      <c r="L97" s="533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66"/>
      <c r="AB97" s="569"/>
      <c r="AC97" s="569"/>
      <c r="AD97" s="569"/>
      <c r="AE97" s="532"/>
    </row>
    <row r="98">
      <c r="A98" s="533"/>
      <c r="F98" s="533"/>
      <c r="G98" s="533"/>
      <c r="H98" s="533"/>
      <c r="I98" s="566"/>
      <c r="K98" s="568"/>
      <c r="L98" s="533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66"/>
      <c r="AB98" s="569"/>
      <c r="AC98" s="569"/>
      <c r="AD98" s="569"/>
      <c r="AE98" s="532"/>
    </row>
    <row r="99">
      <c r="A99" s="533"/>
      <c r="F99" s="533"/>
      <c r="G99" s="533"/>
      <c r="H99" s="533"/>
      <c r="I99" s="566"/>
      <c r="K99" s="568"/>
      <c r="L99" s="533"/>
      <c r="M99" s="566"/>
      <c r="N99" s="566"/>
      <c r="O99" s="566"/>
      <c r="P99" s="566"/>
      <c r="Q99" s="566"/>
      <c r="R99" s="566"/>
      <c r="S99" s="566"/>
      <c r="T99" s="566"/>
      <c r="U99" s="566"/>
      <c r="V99" s="566"/>
      <c r="W99" s="566"/>
      <c r="X99" s="566"/>
      <c r="Y99" s="566"/>
      <c r="Z99" s="566"/>
      <c r="AA99" s="566"/>
      <c r="AB99" s="569"/>
      <c r="AC99" s="569"/>
      <c r="AD99" s="569"/>
      <c r="AE99" s="532"/>
    </row>
    <row r="100">
      <c r="A100" s="533"/>
      <c r="F100" s="533"/>
      <c r="G100" s="533"/>
      <c r="H100" s="533"/>
      <c r="I100" s="566"/>
      <c r="K100" s="568"/>
      <c r="L100" s="533"/>
      <c r="M100" s="566"/>
      <c r="N100" s="566"/>
      <c r="O100" s="566"/>
      <c r="P100" s="566"/>
      <c r="Q100" s="566"/>
      <c r="R100" s="566"/>
      <c r="S100" s="566"/>
      <c r="T100" s="566"/>
      <c r="U100" s="566"/>
      <c r="V100" s="566"/>
      <c r="W100" s="566"/>
      <c r="X100" s="566"/>
      <c r="Y100" s="566"/>
      <c r="Z100" s="566"/>
      <c r="AA100" s="566"/>
      <c r="AB100" s="569"/>
      <c r="AC100" s="569"/>
      <c r="AD100" s="569"/>
      <c r="AE100" s="532"/>
    </row>
    <row r="101">
      <c r="A101" s="533"/>
      <c r="F101" s="533"/>
      <c r="G101" s="533"/>
      <c r="H101" s="533"/>
      <c r="I101" s="566"/>
      <c r="K101" s="568"/>
      <c r="L101" s="533"/>
      <c r="M101" s="566"/>
      <c r="N101" s="566"/>
      <c r="O101" s="566"/>
      <c r="P101" s="566"/>
      <c r="Q101" s="566"/>
      <c r="R101" s="566"/>
      <c r="S101" s="566"/>
      <c r="T101" s="566"/>
      <c r="U101" s="566"/>
      <c r="V101" s="566"/>
      <c r="W101" s="566"/>
      <c r="X101" s="566"/>
      <c r="Y101" s="566"/>
      <c r="Z101" s="566"/>
      <c r="AA101" s="566"/>
      <c r="AB101" s="569"/>
      <c r="AC101" s="569"/>
      <c r="AD101" s="569"/>
      <c r="AE101" s="532"/>
    </row>
    <row r="102">
      <c r="A102" s="533"/>
      <c r="F102" s="533"/>
      <c r="G102" s="533"/>
      <c r="H102" s="533"/>
      <c r="I102" s="566"/>
      <c r="K102" s="568"/>
      <c r="L102" s="533"/>
      <c r="M102" s="566"/>
      <c r="N102" s="566"/>
      <c r="O102" s="566"/>
      <c r="P102" s="566"/>
      <c r="Q102" s="566"/>
      <c r="R102" s="566"/>
      <c r="S102" s="566"/>
      <c r="T102" s="566"/>
      <c r="U102" s="566"/>
      <c r="V102" s="566"/>
      <c r="W102" s="566"/>
      <c r="X102" s="566"/>
      <c r="Y102" s="566"/>
      <c r="Z102" s="566"/>
      <c r="AA102" s="566"/>
      <c r="AB102" s="569"/>
      <c r="AC102" s="569"/>
      <c r="AD102" s="569"/>
      <c r="AE102" s="532"/>
    </row>
    <row r="103">
      <c r="A103" s="533"/>
      <c r="F103" s="533"/>
      <c r="G103" s="533"/>
      <c r="H103" s="533"/>
      <c r="I103" s="566"/>
      <c r="K103" s="568"/>
      <c r="L103" s="533"/>
      <c r="M103" s="566"/>
      <c r="N103" s="566"/>
      <c r="O103" s="566"/>
      <c r="P103" s="566"/>
      <c r="Q103" s="566"/>
      <c r="R103" s="566"/>
      <c r="S103" s="566"/>
      <c r="T103" s="566"/>
      <c r="U103" s="566"/>
      <c r="V103" s="566"/>
      <c r="W103" s="566"/>
      <c r="X103" s="566"/>
      <c r="Y103" s="566"/>
      <c r="Z103" s="566"/>
      <c r="AA103" s="566"/>
      <c r="AB103" s="569"/>
      <c r="AC103" s="569"/>
      <c r="AD103" s="569"/>
      <c r="AE103" s="532"/>
    </row>
    <row r="104">
      <c r="A104" s="533"/>
      <c r="F104" s="533"/>
      <c r="G104" s="533"/>
      <c r="H104" s="533"/>
      <c r="I104" s="566"/>
      <c r="K104" s="568"/>
      <c r="L104" s="533"/>
      <c r="M104" s="566"/>
      <c r="N104" s="566"/>
      <c r="O104" s="566"/>
      <c r="P104" s="566"/>
      <c r="Q104" s="566"/>
      <c r="R104" s="566"/>
      <c r="S104" s="566"/>
      <c r="T104" s="566"/>
      <c r="U104" s="566"/>
      <c r="V104" s="566"/>
      <c r="W104" s="566"/>
      <c r="X104" s="566"/>
      <c r="Y104" s="566"/>
      <c r="Z104" s="566"/>
      <c r="AA104" s="566"/>
      <c r="AB104" s="569"/>
      <c r="AC104" s="569"/>
      <c r="AD104" s="569"/>
      <c r="AE104" s="532"/>
    </row>
    <row r="105">
      <c r="A105" s="533"/>
      <c r="F105" s="533"/>
      <c r="G105" s="533"/>
      <c r="H105" s="533"/>
      <c r="I105" s="566"/>
      <c r="K105" s="568"/>
      <c r="L105" s="533"/>
      <c r="M105" s="566"/>
      <c r="N105" s="566"/>
      <c r="O105" s="566"/>
      <c r="P105" s="566"/>
      <c r="Q105" s="566"/>
      <c r="R105" s="566"/>
      <c r="S105" s="566"/>
      <c r="T105" s="566"/>
      <c r="U105" s="566"/>
      <c r="V105" s="566"/>
      <c r="W105" s="566"/>
      <c r="X105" s="566"/>
      <c r="Y105" s="566"/>
      <c r="Z105" s="566"/>
      <c r="AA105" s="566"/>
      <c r="AB105" s="569"/>
      <c r="AC105" s="569"/>
      <c r="AD105" s="569"/>
      <c r="AE105" s="532"/>
    </row>
    <row r="106">
      <c r="A106" s="533"/>
      <c r="F106" s="533"/>
      <c r="G106" s="533"/>
      <c r="H106" s="533"/>
      <c r="I106" s="566"/>
      <c r="K106" s="568"/>
      <c r="L106" s="533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66"/>
      <c r="AB106" s="569"/>
      <c r="AC106" s="569"/>
      <c r="AD106" s="569"/>
      <c r="AE106" s="532"/>
    </row>
    <row r="107">
      <c r="A107" s="533"/>
      <c r="F107" s="533"/>
      <c r="G107" s="533"/>
      <c r="H107" s="533"/>
      <c r="I107" s="566"/>
      <c r="K107" s="568"/>
      <c r="L107" s="533"/>
      <c r="M107" s="566"/>
      <c r="N107" s="566"/>
      <c r="O107" s="566"/>
      <c r="P107" s="566"/>
      <c r="Q107" s="566"/>
      <c r="R107" s="566"/>
      <c r="S107" s="566"/>
      <c r="T107" s="566"/>
      <c r="U107" s="566"/>
      <c r="V107" s="566"/>
      <c r="W107" s="566"/>
      <c r="X107" s="566"/>
      <c r="Y107" s="566"/>
      <c r="Z107" s="566"/>
      <c r="AA107" s="566"/>
      <c r="AB107" s="569"/>
      <c r="AC107" s="569"/>
      <c r="AD107" s="569"/>
      <c r="AE107" s="532"/>
    </row>
    <row r="108">
      <c r="A108" s="533"/>
      <c r="F108" s="533"/>
      <c r="G108" s="533"/>
      <c r="H108" s="533"/>
      <c r="I108" s="566"/>
      <c r="K108" s="568"/>
      <c r="L108" s="533"/>
      <c r="M108" s="566"/>
      <c r="N108" s="566"/>
      <c r="O108" s="566"/>
      <c r="P108" s="566"/>
      <c r="Q108" s="566"/>
      <c r="R108" s="566"/>
      <c r="S108" s="566"/>
      <c r="T108" s="566"/>
      <c r="U108" s="566"/>
      <c r="V108" s="566"/>
      <c r="W108" s="566"/>
      <c r="X108" s="566"/>
      <c r="Y108" s="566"/>
      <c r="Z108" s="566"/>
      <c r="AA108" s="566"/>
      <c r="AB108" s="569"/>
      <c r="AC108" s="569"/>
      <c r="AD108" s="569"/>
      <c r="AE108" s="532"/>
    </row>
    <row r="109">
      <c r="A109" s="533"/>
      <c r="F109" s="533"/>
      <c r="G109" s="533"/>
      <c r="H109" s="533"/>
      <c r="I109" s="566"/>
      <c r="K109" s="568"/>
      <c r="L109" s="533"/>
      <c r="M109" s="566"/>
      <c r="N109" s="566"/>
      <c r="O109" s="566"/>
      <c r="P109" s="566"/>
      <c r="Q109" s="566"/>
      <c r="R109" s="566"/>
      <c r="S109" s="566"/>
      <c r="T109" s="566"/>
      <c r="U109" s="566"/>
      <c r="V109" s="566"/>
      <c r="W109" s="566"/>
      <c r="X109" s="566"/>
      <c r="Y109" s="566"/>
      <c r="Z109" s="566"/>
      <c r="AA109" s="566"/>
      <c r="AB109" s="569"/>
      <c r="AC109" s="569"/>
      <c r="AD109" s="569"/>
      <c r="AE109" s="532"/>
    </row>
    <row r="110">
      <c r="A110" s="533"/>
      <c r="F110" s="533"/>
      <c r="G110" s="533"/>
      <c r="H110" s="533"/>
      <c r="I110" s="566"/>
      <c r="K110" s="568"/>
      <c r="L110" s="533"/>
      <c r="M110" s="566"/>
      <c r="N110" s="566"/>
      <c r="O110" s="566"/>
      <c r="P110" s="566"/>
      <c r="Q110" s="566"/>
      <c r="R110" s="566"/>
      <c r="S110" s="566"/>
      <c r="T110" s="566"/>
      <c r="U110" s="566"/>
      <c r="V110" s="566"/>
      <c r="W110" s="566"/>
      <c r="X110" s="566"/>
      <c r="Y110" s="566"/>
      <c r="Z110" s="566"/>
      <c r="AA110" s="566"/>
      <c r="AB110" s="569"/>
      <c r="AC110" s="569"/>
      <c r="AD110" s="569"/>
      <c r="AE110" s="532"/>
    </row>
    <row r="111">
      <c r="A111" s="533"/>
      <c r="F111" s="533"/>
      <c r="G111" s="533"/>
      <c r="H111" s="533"/>
      <c r="I111" s="566"/>
      <c r="K111" s="568"/>
      <c r="L111" s="533"/>
      <c r="M111" s="566"/>
      <c r="N111" s="566"/>
      <c r="O111" s="566"/>
      <c r="P111" s="566"/>
      <c r="Q111" s="566"/>
      <c r="R111" s="566"/>
      <c r="S111" s="566"/>
      <c r="T111" s="566"/>
      <c r="U111" s="566"/>
      <c r="V111" s="566"/>
      <c r="W111" s="566"/>
      <c r="X111" s="566"/>
      <c r="Y111" s="566"/>
      <c r="Z111" s="566"/>
      <c r="AA111" s="566"/>
      <c r="AB111" s="569"/>
      <c r="AC111" s="569"/>
      <c r="AD111" s="569"/>
      <c r="AE111" s="532"/>
    </row>
    <row r="112">
      <c r="A112" s="533"/>
      <c r="F112" s="533"/>
      <c r="G112" s="533"/>
      <c r="H112" s="533"/>
      <c r="I112" s="566"/>
      <c r="K112" s="568"/>
      <c r="L112" s="533"/>
      <c r="M112" s="566"/>
      <c r="N112" s="566"/>
      <c r="O112" s="566"/>
      <c r="P112" s="566"/>
      <c r="Q112" s="566"/>
      <c r="R112" s="566"/>
      <c r="S112" s="566"/>
      <c r="T112" s="566"/>
      <c r="U112" s="566"/>
      <c r="V112" s="566"/>
      <c r="W112" s="566"/>
      <c r="X112" s="566"/>
      <c r="Y112" s="566"/>
      <c r="Z112" s="566"/>
      <c r="AA112" s="566"/>
      <c r="AB112" s="569"/>
      <c r="AC112" s="569"/>
      <c r="AD112" s="569"/>
      <c r="AE112" s="532"/>
    </row>
    <row r="113">
      <c r="A113" s="533"/>
      <c r="F113" s="533"/>
      <c r="G113" s="533"/>
      <c r="H113" s="533"/>
      <c r="I113" s="566"/>
      <c r="K113" s="568"/>
      <c r="L113" s="533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66"/>
      <c r="AB113" s="569"/>
      <c r="AC113" s="569"/>
      <c r="AD113" s="569"/>
      <c r="AE113" s="532"/>
    </row>
    <row r="114">
      <c r="A114" s="533"/>
      <c r="F114" s="533"/>
      <c r="G114" s="533"/>
      <c r="H114" s="533"/>
      <c r="I114" s="566"/>
      <c r="K114" s="568"/>
      <c r="L114" s="533"/>
      <c r="M114" s="566"/>
      <c r="N114" s="566"/>
      <c r="O114" s="566"/>
      <c r="P114" s="566"/>
      <c r="Q114" s="566"/>
      <c r="R114" s="566"/>
      <c r="S114" s="566"/>
      <c r="T114" s="566"/>
      <c r="U114" s="566"/>
      <c r="V114" s="566"/>
      <c r="W114" s="566"/>
      <c r="X114" s="566"/>
      <c r="Y114" s="566"/>
      <c r="Z114" s="566"/>
      <c r="AA114" s="566"/>
      <c r="AB114" s="569"/>
      <c r="AC114" s="569"/>
      <c r="AD114" s="569"/>
      <c r="AE114" s="532"/>
    </row>
    <row r="115">
      <c r="A115" s="533"/>
      <c r="F115" s="533"/>
      <c r="G115" s="533"/>
      <c r="H115" s="533"/>
      <c r="I115" s="566"/>
      <c r="K115" s="568"/>
      <c r="L115" s="533"/>
      <c r="M115" s="566"/>
      <c r="N115" s="566"/>
      <c r="O115" s="566"/>
      <c r="P115" s="566"/>
      <c r="Q115" s="566"/>
      <c r="R115" s="566"/>
      <c r="S115" s="566"/>
      <c r="T115" s="566"/>
      <c r="U115" s="566"/>
      <c r="V115" s="566"/>
      <c r="W115" s="566"/>
      <c r="X115" s="566"/>
      <c r="Y115" s="566"/>
      <c r="Z115" s="566"/>
      <c r="AA115" s="566"/>
      <c r="AB115" s="569"/>
      <c r="AC115" s="569"/>
      <c r="AD115" s="569"/>
      <c r="AE115" s="532"/>
    </row>
    <row r="116">
      <c r="A116" s="533"/>
      <c r="F116" s="533"/>
      <c r="G116" s="533"/>
      <c r="H116" s="533"/>
      <c r="I116" s="566"/>
      <c r="K116" s="568"/>
      <c r="L116" s="533"/>
      <c r="M116" s="566"/>
      <c r="N116" s="566"/>
      <c r="O116" s="566"/>
      <c r="P116" s="566"/>
      <c r="Q116" s="566"/>
      <c r="R116" s="566"/>
      <c r="S116" s="566"/>
      <c r="T116" s="566"/>
      <c r="U116" s="566"/>
      <c r="V116" s="566"/>
      <c r="W116" s="566"/>
      <c r="X116" s="566"/>
      <c r="Y116" s="566"/>
      <c r="Z116" s="566"/>
      <c r="AA116" s="566"/>
      <c r="AB116" s="569"/>
      <c r="AC116" s="569"/>
      <c r="AD116" s="569"/>
      <c r="AE116" s="532"/>
    </row>
    <row r="117">
      <c r="A117" s="533"/>
      <c r="F117" s="533"/>
      <c r="G117" s="533"/>
      <c r="H117" s="533"/>
      <c r="I117" s="566"/>
      <c r="K117" s="568"/>
      <c r="L117" s="533"/>
      <c r="M117" s="566"/>
      <c r="N117" s="566"/>
      <c r="O117" s="566"/>
      <c r="P117" s="566"/>
      <c r="Q117" s="566"/>
      <c r="R117" s="566"/>
      <c r="S117" s="566"/>
      <c r="T117" s="566"/>
      <c r="U117" s="566"/>
      <c r="V117" s="566"/>
      <c r="W117" s="566"/>
      <c r="X117" s="566"/>
      <c r="Y117" s="566"/>
      <c r="Z117" s="566"/>
      <c r="AA117" s="566"/>
      <c r="AB117" s="569"/>
      <c r="AC117" s="569"/>
      <c r="AD117" s="569"/>
      <c r="AE117" s="532"/>
    </row>
    <row r="118">
      <c r="A118" s="533"/>
      <c r="F118" s="533"/>
      <c r="G118" s="533"/>
      <c r="H118" s="533"/>
      <c r="I118" s="566"/>
      <c r="K118" s="568"/>
      <c r="L118" s="533"/>
      <c r="M118" s="566"/>
      <c r="N118" s="566"/>
      <c r="O118" s="566"/>
      <c r="P118" s="566"/>
      <c r="Q118" s="566"/>
      <c r="R118" s="566"/>
      <c r="S118" s="566"/>
      <c r="T118" s="566"/>
      <c r="U118" s="566"/>
      <c r="V118" s="566"/>
      <c r="W118" s="566"/>
      <c r="X118" s="566"/>
      <c r="Y118" s="566"/>
      <c r="Z118" s="566"/>
      <c r="AA118" s="566"/>
      <c r="AB118" s="569"/>
      <c r="AC118" s="569"/>
      <c r="AD118" s="569"/>
      <c r="AE118" s="532"/>
    </row>
    <row r="119">
      <c r="A119" s="533"/>
      <c r="F119" s="533"/>
      <c r="G119" s="533"/>
      <c r="H119" s="533"/>
      <c r="I119" s="566"/>
      <c r="K119" s="568"/>
      <c r="L119" s="533"/>
      <c r="M119" s="566"/>
      <c r="N119" s="566"/>
      <c r="O119" s="566"/>
      <c r="P119" s="566"/>
      <c r="Q119" s="566"/>
      <c r="R119" s="566"/>
      <c r="S119" s="566"/>
      <c r="T119" s="566"/>
      <c r="U119" s="566"/>
      <c r="V119" s="566"/>
      <c r="W119" s="566"/>
      <c r="X119" s="566"/>
      <c r="Y119" s="566"/>
      <c r="Z119" s="566"/>
      <c r="AA119" s="566"/>
      <c r="AB119" s="569"/>
      <c r="AC119" s="569"/>
      <c r="AD119" s="569"/>
      <c r="AE119" s="532"/>
    </row>
    <row r="120">
      <c r="A120" s="533"/>
      <c r="F120" s="533"/>
      <c r="G120" s="533"/>
      <c r="H120" s="533"/>
      <c r="I120" s="566"/>
      <c r="K120" s="568"/>
      <c r="L120" s="533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66"/>
      <c r="AB120" s="569"/>
      <c r="AC120" s="569"/>
      <c r="AD120" s="569"/>
      <c r="AE120" s="532"/>
    </row>
    <row r="121">
      <c r="A121" s="533"/>
      <c r="F121" s="533"/>
      <c r="G121" s="533"/>
      <c r="H121" s="533"/>
      <c r="I121" s="566"/>
      <c r="K121" s="568"/>
      <c r="L121" s="533"/>
      <c r="M121" s="566"/>
      <c r="N121" s="566"/>
      <c r="O121" s="566"/>
      <c r="P121" s="566"/>
      <c r="Q121" s="566"/>
      <c r="R121" s="566"/>
      <c r="S121" s="566"/>
      <c r="T121" s="566"/>
      <c r="U121" s="566"/>
      <c r="V121" s="566"/>
      <c r="W121" s="566"/>
      <c r="X121" s="566"/>
      <c r="Y121" s="566"/>
      <c r="Z121" s="566"/>
      <c r="AA121" s="566"/>
      <c r="AB121" s="569"/>
      <c r="AC121" s="569"/>
      <c r="AD121" s="569"/>
      <c r="AE121" s="532"/>
    </row>
    <row r="122">
      <c r="A122" s="533"/>
      <c r="F122" s="533"/>
      <c r="G122" s="533"/>
      <c r="H122" s="533"/>
      <c r="I122" s="566"/>
      <c r="K122" s="568"/>
      <c r="L122" s="533"/>
      <c r="M122" s="566"/>
      <c r="N122" s="566"/>
      <c r="O122" s="566"/>
      <c r="P122" s="566"/>
      <c r="Q122" s="566"/>
      <c r="R122" s="566"/>
      <c r="S122" s="566"/>
      <c r="T122" s="566"/>
      <c r="U122" s="566"/>
      <c r="V122" s="566"/>
      <c r="W122" s="566"/>
      <c r="X122" s="566"/>
      <c r="Y122" s="566"/>
      <c r="Z122" s="566"/>
      <c r="AA122" s="566"/>
      <c r="AB122" s="569"/>
      <c r="AC122" s="569"/>
      <c r="AD122" s="569"/>
      <c r="AE122" s="532"/>
    </row>
    <row r="123">
      <c r="A123" s="533"/>
      <c r="F123" s="533"/>
      <c r="G123" s="533"/>
      <c r="H123" s="533"/>
      <c r="I123" s="566"/>
      <c r="K123" s="568"/>
      <c r="L123" s="533"/>
      <c r="M123" s="566"/>
      <c r="N123" s="566"/>
      <c r="O123" s="566"/>
      <c r="P123" s="566"/>
      <c r="Q123" s="566"/>
      <c r="R123" s="566"/>
      <c r="S123" s="566"/>
      <c r="T123" s="566"/>
      <c r="U123" s="566"/>
      <c r="V123" s="566"/>
      <c r="W123" s="566"/>
      <c r="X123" s="566"/>
      <c r="Y123" s="566"/>
      <c r="Z123" s="566"/>
      <c r="AA123" s="566"/>
      <c r="AB123" s="569"/>
      <c r="AC123" s="569"/>
      <c r="AD123" s="569"/>
      <c r="AE123" s="532"/>
    </row>
    <row r="124">
      <c r="A124" s="533"/>
      <c r="F124" s="533"/>
      <c r="G124" s="533"/>
      <c r="H124" s="533"/>
      <c r="I124" s="566"/>
      <c r="K124" s="568"/>
      <c r="L124" s="533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66"/>
      <c r="AB124" s="569"/>
      <c r="AC124" s="569"/>
      <c r="AD124" s="569"/>
      <c r="AE124" s="532"/>
    </row>
    <row r="125">
      <c r="A125" s="533"/>
      <c r="F125" s="533"/>
      <c r="G125" s="533"/>
      <c r="H125" s="533"/>
      <c r="I125" s="566"/>
      <c r="K125" s="568"/>
      <c r="L125" s="533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66"/>
      <c r="AB125" s="569"/>
      <c r="AC125" s="569"/>
      <c r="AD125" s="569"/>
      <c r="AE125" s="532"/>
    </row>
    <row r="126">
      <c r="A126" s="533"/>
      <c r="F126" s="533"/>
      <c r="G126" s="533"/>
      <c r="H126" s="533"/>
      <c r="I126" s="566"/>
      <c r="K126" s="568"/>
      <c r="L126" s="533"/>
      <c r="M126" s="566"/>
      <c r="N126" s="566"/>
      <c r="O126" s="566"/>
      <c r="P126" s="566"/>
      <c r="Q126" s="566"/>
      <c r="R126" s="566"/>
      <c r="S126" s="566"/>
      <c r="T126" s="566"/>
      <c r="U126" s="566"/>
      <c r="V126" s="566"/>
      <c r="W126" s="566"/>
      <c r="X126" s="566"/>
      <c r="Y126" s="566"/>
      <c r="Z126" s="566"/>
      <c r="AA126" s="566"/>
      <c r="AB126" s="569"/>
      <c r="AC126" s="569"/>
      <c r="AD126" s="569"/>
      <c r="AE126" s="532"/>
    </row>
    <row r="127">
      <c r="A127" s="533"/>
      <c r="F127" s="533"/>
      <c r="G127" s="533"/>
      <c r="H127" s="533"/>
      <c r="I127" s="566"/>
      <c r="K127" s="568"/>
      <c r="L127" s="533"/>
      <c r="M127" s="566"/>
      <c r="N127" s="566"/>
      <c r="O127" s="566"/>
      <c r="P127" s="566"/>
      <c r="Q127" s="566"/>
      <c r="R127" s="566"/>
      <c r="S127" s="566"/>
      <c r="T127" s="566"/>
      <c r="U127" s="566"/>
      <c r="V127" s="566"/>
      <c r="W127" s="566"/>
      <c r="X127" s="566"/>
      <c r="Y127" s="566"/>
      <c r="Z127" s="566"/>
      <c r="AA127" s="566"/>
      <c r="AB127" s="569"/>
      <c r="AC127" s="569"/>
      <c r="AD127" s="569"/>
      <c r="AE127" s="532"/>
    </row>
    <row r="128">
      <c r="A128" s="533"/>
      <c r="F128" s="533"/>
      <c r="G128" s="533"/>
      <c r="H128" s="533"/>
      <c r="I128" s="566"/>
      <c r="K128" s="568"/>
      <c r="L128" s="533"/>
      <c r="M128" s="566"/>
      <c r="N128" s="566"/>
      <c r="O128" s="566"/>
      <c r="P128" s="566"/>
      <c r="Q128" s="566"/>
      <c r="R128" s="566"/>
      <c r="S128" s="566"/>
      <c r="T128" s="566"/>
      <c r="U128" s="566"/>
      <c r="V128" s="566"/>
      <c r="W128" s="566"/>
      <c r="X128" s="566"/>
      <c r="Y128" s="566"/>
      <c r="Z128" s="566"/>
      <c r="AA128" s="566"/>
      <c r="AB128" s="569"/>
      <c r="AC128" s="569"/>
      <c r="AD128" s="569"/>
      <c r="AE128" s="532"/>
    </row>
    <row r="129">
      <c r="A129" s="533"/>
      <c r="F129" s="533"/>
      <c r="G129" s="533"/>
      <c r="H129" s="533"/>
      <c r="I129" s="566"/>
      <c r="K129" s="568"/>
      <c r="L129" s="533"/>
      <c r="M129" s="566"/>
      <c r="N129" s="566"/>
      <c r="O129" s="566"/>
      <c r="P129" s="566"/>
      <c r="Q129" s="566"/>
      <c r="R129" s="566"/>
      <c r="S129" s="566"/>
      <c r="T129" s="566"/>
      <c r="U129" s="566"/>
      <c r="V129" s="566"/>
      <c r="W129" s="566"/>
      <c r="X129" s="566"/>
      <c r="Y129" s="566"/>
      <c r="Z129" s="566"/>
      <c r="AA129" s="566"/>
      <c r="AB129" s="569"/>
      <c r="AC129" s="569"/>
      <c r="AD129" s="569"/>
      <c r="AE129" s="532"/>
    </row>
    <row r="130">
      <c r="A130" s="533"/>
      <c r="F130" s="533"/>
      <c r="G130" s="533"/>
      <c r="H130" s="533"/>
      <c r="I130" s="566"/>
      <c r="K130" s="568"/>
      <c r="L130" s="533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66"/>
      <c r="AB130" s="569"/>
      <c r="AC130" s="569"/>
      <c r="AD130" s="569"/>
      <c r="AE130" s="532"/>
    </row>
    <row r="131">
      <c r="A131" s="533"/>
      <c r="F131" s="533"/>
      <c r="G131" s="533"/>
      <c r="H131" s="533"/>
      <c r="I131" s="566"/>
      <c r="K131" s="568"/>
      <c r="L131" s="533"/>
      <c r="M131" s="566"/>
      <c r="N131" s="566"/>
      <c r="O131" s="566"/>
      <c r="P131" s="566"/>
      <c r="Q131" s="566"/>
      <c r="R131" s="566"/>
      <c r="S131" s="566"/>
      <c r="T131" s="566"/>
      <c r="U131" s="566"/>
      <c r="V131" s="566"/>
      <c r="W131" s="566"/>
      <c r="X131" s="566"/>
      <c r="Y131" s="566"/>
      <c r="Z131" s="566"/>
      <c r="AA131" s="566"/>
      <c r="AB131" s="569"/>
      <c r="AC131" s="569"/>
      <c r="AD131" s="569"/>
      <c r="AE131" s="532"/>
    </row>
    <row r="132">
      <c r="A132" s="533"/>
      <c r="F132" s="533"/>
      <c r="G132" s="533"/>
      <c r="H132" s="533"/>
      <c r="I132" s="566"/>
      <c r="K132" s="568"/>
      <c r="L132" s="533"/>
      <c r="M132" s="566"/>
      <c r="N132" s="566"/>
      <c r="O132" s="566"/>
      <c r="P132" s="566"/>
      <c r="Q132" s="566"/>
      <c r="R132" s="566"/>
      <c r="S132" s="566"/>
      <c r="T132" s="566"/>
      <c r="U132" s="566"/>
      <c r="V132" s="566"/>
      <c r="W132" s="566"/>
      <c r="X132" s="566"/>
      <c r="Y132" s="566"/>
      <c r="Z132" s="566"/>
      <c r="AA132" s="566"/>
      <c r="AB132" s="569"/>
      <c r="AC132" s="569"/>
      <c r="AD132" s="569"/>
      <c r="AE132" s="532"/>
    </row>
    <row r="133">
      <c r="A133" s="533"/>
      <c r="F133" s="533"/>
      <c r="G133" s="533"/>
      <c r="H133" s="533"/>
      <c r="I133" s="566"/>
      <c r="K133" s="568"/>
      <c r="L133" s="533"/>
      <c r="M133" s="566"/>
      <c r="N133" s="566"/>
      <c r="O133" s="566"/>
      <c r="P133" s="566"/>
      <c r="Q133" s="566"/>
      <c r="R133" s="566"/>
      <c r="S133" s="566"/>
      <c r="T133" s="566"/>
      <c r="U133" s="566"/>
      <c r="V133" s="566"/>
      <c r="W133" s="566"/>
      <c r="X133" s="566"/>
      <c r="Y133" s="566"/>
      <c r="Z133" s="566"/>
      <c r="AA133" s="566"/>
      <c r="AB133" s="569"/>
      <c r="AC133" s="569"/>
      <c r="AD133" s="569"/>
      <c r="AE133" s="532"/>
    </row>
    <row r="134">
      <c r="A134" s="533"/>
      <c r="F134" s="533"/>
      <c r="G134" s="533"/>
      <c r="H134" s="533"/>
      <c r="I134" s="566"/>
      <c r="K134" s="568"/>
      <c r="L134" s="533"/>
      <c r="M134" s="566"/>
      <c r="N134" s="566"/>
      <c r="O134" s="566"/>
      <c r="P134" s="566"/>
      <c r="Q134" s="566"/>
      <c r="R134" s="566"/>
      <c r="S134" s="566"/>
      <c r="T134" s="566"/>
      <c r="U134" s="566"/>
      <c r="V134" s="566"/>
      <c r="W134" s="566"/>
      <c r="X134" s="566"/>
      <c r="Y134" s="566"/>
      <c r="Z134" s="566"/>
      <c r="AA134" s="566"/>
      <c r="AB134" s="569"/>
      <c r="AC134" s="569"/>
      <c r="AD134" s="569"/>
      <c r="AE134" s="532"/>
    </row>
    <row r="135">
      <c r="A135" s="533"/>
      <c r="F135" s="533"/>
      <c r="G135" s="533"/>
      <c r="H135" s="533"/>
      <c r="I135" s="566"/>
      <c r="K135" s="568"/>
      <c r="L135" s="533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66"/>
      <c r="AB135" s="569"/>
      <c r="AC135" s="569"/>
      <c r="AD135" s="569"/>
      <c r="AE135" s="532"/>
    </row>
    <row r="136">
      <c r="A136" s="533"/>
      <c r="F136" s="533"/>
      <c r="G136" s="533"/>
      <c r="H136" s="533"/>
      <c r="I136" s="566"/>
      <c r="K136" s="568"/>
      <c r="L136" s="533"/>
      <c r="M136" s="566"/>
      <c r="N136" s="566"/>
      <c r="O136" s="566"/>
      <c r="P136" s="566"/>
      <c r="Q136" s="566"/>
      <c r="R136" s="566"/>
      <c r="S136" s="566"/>
      <c r="T136" s="566"/>
      <c r="U136" s="566"/>
      <c r="V136" s="566"/>
      <c r="W136" s="566"/>
      <c r="X136" s="566"/>
      <c r="Y136" s="566"/>
      <c r="Z136" s="566"/>
      <c r="AA136" s="566"/>
      <c r="AB136" s="569"/>
      <c r="AC136" s="569"/>
      <c r="AD136" s="569"/>
      <c r="AE136" s="532"/>
    </row>
    <row r="137">
      <c r="A137" s="533"/>
      <c r="F137" s="533"/>
      <c r="G137" s="533"/>
      <c r="H137" s="533"/>
      <c r="I137" s="566"/>
      <c r="K137" s="568"/>
      <c r="L137" s="533"/>
      <c r="M137" s="566"/>
      <c r="N137" s="566"/>
      <c r="O137" s="566"/>
      <c r="P137" s="566"/>
      <c r="Q137" s="566"/>
      <c r="R137" s="566"/>
      <c r="S137" s="566"/>
      <c r="T137" s="566"/>
      <c r="U137" s="566"/>
      <c r="V137" s="566"/>
      <c r="W137" s="566"/>
      <c r="X137" s="566"/>
      <c r="Y137" s="566"/>
      <c r="Z137" s="566"/>
      <c r="AA137" s="566"/>
      <c r="AB137" s="569"/>
      <c r="AC137" s="569"/>
      <c r="AD137" s="569"/>
      <c r="AE137" s="532"/>
    </row>
    <row r="138">
      <c r="A138" s="533"/>
      <c r="F138" s="533"/>
      <c r="G138" s="533"/>
      <c r="H138" s="533"/>
      <c r="I138" s="566"/>
      <c r="K138" s="568"/>
      <c r="L138" s="533"/>
      <c r="M138" s="566"/>
      <c r="N138" s="566"/>
      <c r="O138" s="566"/>
      <c r="P138" s="566"/>
      <c r="Q138" s="566"/>
      <c r="R138" s="566"/>
      <c r="S138" s="566"/>
      <c r="T138" s="566"/>
      <c r="U138" s="566"/>
      <c r="V138" s="566"/>
      <c r="W138" s="566"/>
      <c r="X138" s="566"/>
      <c r="Y138" s="566"/>
      <c r="Z138" s="566"/>
      <c r="AA138" s="566"/>
      <c r="AB138" s="569"/>
      <c r="AC138" s="569"/>
      <c r="AD138" s="569"/>
      <c r="AE138" s="532"/>
    </row>
    <row r="139">
      <c r="A139" s="533"/>
      <c r="F139" s="533"/>
      <c r="G139" s="533"/>
      <c r="H139" s="533"/>
      <c r="I139" s="566"/>
      <c r="K139" s="568"/>
      <c r="L139" s="533"/>
      <c r="M139" s="566"/>
      <c r="N139" s="566"/>
      <c r="O139" s="566"/>
      <c r="P139" s="566"/>
      <c r="Q139" s="566"/>
      <c r="R139" s="566"/>
      <c r="S139" s="566"/>
      <c r="T139" s="566"/>
      <c r="U139" s="566"/>
      <c r="V139" s="566"/>
      <c r="W139" s="566"/>
      <c r="X139" s="566"/>
      <c r="Y139" s="566"/>
      <c r="Z139" s="566"/>
      <c r="AA139" s="566"/>
      <c r="AB139" s="569"/>
      <c r="AC139" s="569"/>
      <c r="AD139" s="569"/>
      <c r="AE139" s="532"/>
    </row>
    <row r="140">
      <c r="A140" s="533"/>
      <c r="F140" s="533"/>
      <c r="G140" s="533"/>
      <c r="H140" s="533"/>
      <c r="I140" s="566"/>
      <c r="K140" s="568"/>
      <c r="L140" s="533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66"/>
      <c r="AB140" s="569"/>
      <c r="AC140" s="569"/>
      <c r="AD140" s="569"/>
      <c r="AE140" s="532"/>
    </row>
    <row r="141">
      <c r="A141" s="533"/>
      <c r="F141" s="533"/>
      <c r="G141" s="533"/>
      <c r="H141" s="533"/>
      <c r="I141" s="566"/>
      <c r="K141" s="568"/>
      <c r="L141" s="533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66"/>
      <c r="AB141" s="569"/>
      <c r="AC141" s="569"/>
      <c r="AD141" s="569"/>
      <c r="AE141" s="532"/>
    </row>
    <row r="142">
      <c r="A142" s="533"/>
      <c r="F142" s="533"/>
      <c r="G142" s="533"/>
      <c r="H142" s="533"/>
      <c r="I142" s="566"/>
      <c r="K142" s="568"/>
      <c r="L142" s="533"/>
      <c r="M142" s="566"/>
      <c r="N142" s="566"/>
      <c r="O142" s="566"/>
      <c r="P142" s="566"/>
      <c r="Q142" s="566"/>
      <c r="R142" s="566"/>
      <c r="S142" s="566"/>
      <c r="T142" s="566"/>
      <c r="U142" s="566"/>
      <c r="V142" s="566"/>
      <c r="W142" s="566"/>
      <c r="X142" s="566"/>
      <c r="Y142" s="566"/>
      <c r="Z142" s="566"/>
      <c r="AA142" s="566"/>
      <c r="AB142" s="569"/>
      <c r="AC142" s="569"/>
      <c r="AD142" s="569"/>
      <c r="AE142" s="532"/>
    </row>
    <row r="143">
      <c r="A143" s="533"/>
      <c r="F143" s="533"/>
      <c r="G143" s="533"/>
      <c r="H143" s="533"/>
      <c r="I143" s="566"/>
      <c r="K143" s="568"/>
      <c r="L143" s="533"/>
      <c r="M143" s="566"/>
      <c r="N143" s="566"/>
      <c r="O143" s="566"/>
      <c r="P143" s="566"/>
      <c r="Q143" s="566"/>
      <c r="R143" s="566"/>
      <c r="S143" s="566"/>
      <c r="T143" s="566"/>
      <c r="U143" s="566"/>
      <c r="V143" s="566"/>
      <c r="W143" s="566"/>
      <c r="X143" s="566"/>
      <c r="Y143" s="566"/>
      <c r="Z143" s="566"/>
      <c r="AA143" s="566"/>
      <c r="AB143" s="569"/>
      <c r="AC143" s="569"/>
      <c r="AD143" s="569"/>
      <c r="AE143" s="532"/>
    </row>
    <row r="144">
      <c r="A144" s="533"/>
      <c r="F144" s="533"/>
      <c r="G144" s="533"/>
      <c r="H144" s="533"/>
      <c r="I144" s="566"/>
      <c r="K144" s="568"/>
      <c r="L144" s="533"/>
      <c r="M144" s="566"/>
      <c r="N144" s="566"/>
      <c r="O144" s="566"/>
      <c r="P144" s="566"/>
      <c r="Q144" s="566"/>
      <c r="R144" s="566"/>
      <c r="S144" s="566"/>
      <c r="T144" s="566"/>
      <c r="U144" s="566"/>
      <c r="V144" s="566"/>
      <c r="W144" s="566"/>
      <c r="X144" s="566"/>
      <c r="Y144" s="566"/>
      <c r="Z144" s="566"/>
      <c r="AA144" s="566"/>
      <c r="AB144" s="569"/>
      <c r="AC144" s="569"/>
      <c r="AD144" s="569"/>
      <c r="AE144" s="532"/>
    </row>
    <row r="145">
      <c r="A145" s="533"/>
      <c r="F145" s="533"/>
      <c r="G145" s="533"/>
      <c r="H145" s="533"/>
      <c r="I145" s="566"/>
      <c r="K145" s="568"/>
      <c r="L145" s="533"/>
      <c r="M145" s="566"/>
      <c r="N145" s="566"/>
      <c r="O145" s="566"/>
      <c r="P145" s="566"/>
      <c r="Q145" s="566"/>
      <c r="R145" s="566"/>
      <c r="S145" s="566"/>
      <c r="T145" s="566"/>
      <c r="U145" s="566"/>
      <c r="V145" s="566"/>
      <c r="W145" s="566"/>
      <c r="X145" s="566"/>
      <c r="Y145" s="566"/>
      <c r="Z145" s="566"/>
      <c r="AA145" s="566"/>
      <c r="AB145" s="569"/>
      <c r="AC145" s="569"/>
      <c r="AD145" s="569"/>
      <c r="AE145" s="532"/>
    </row>
    <row r="146">
      <c r="A146" s="533"/>
      <c r="F146" s="533"/>
      <c r="G146" s="533"/>
      <c r="H146" s="533"/>
      <c r="I146" s="566"/>
      <c r="K146" s="568"/>
      <c r="L146" s="533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66"/>
      <c r="AB146" s="569"/>
      <c r="AC146" s="569"/>
      <c r="AD146" s="569"/>
      <c r="AE146" s="532"/>
    </row>
    <row r="147">
      <c r="A147" s="533"/>
      <c r="F147" s="533"/>
      <c r="G147" s="533"/>
      <c r="H147" s="533"/>
      <c r="I147" s="566"/>
      <c r="K147" s="568"/>
      <c r="L147" s="533"/>
      <c r="M147" s="566"/>
      <c r="N147" s="566"/>
      <c r="O147" s="566"/>
      <c r="P147" s="566"/>
      <c r="Q147" s="566"/>
      <c r="R147" s="566"/>
      <c r="S147" s="566"/>
      <c r="T147" s="566"/>
      <c r="U147" s="566"/>
      <c r="V147" s="566"/>
      <c r="W147" s="566"/>
      <c r="X147" s="566"/>
      <c r="Y147" s="566"/>
      <c r="Z147" s="566"/>
      <c r="AA147" s="566"/>
      <c r="AB147" s="569"/>
      <c r="AC147" s="569"/>
      <c r="AD147" s="569"/>
      <c r="AE147" s="532"/>
    </row>
    <row r="148">
      <c r="A148" s="533"/>
      <c r="F148" s="533"/>
      <c r="G148" s="533"/>
      <c r="H148" s="533"/>
      <c r="I148" s="566"/>
      <c r="K148" s="568"/>
      <c r="L148" s="533"/>
      <c r="M148" s="566"/>
      <c r="N148" s="566"/>
      <c r="O148" s="566"/>
      <c r="P148" s="566"/>
      <c r="Q148" s="566"/>
      <c r="R148" s="566"/>
      <c r="S148" s="566"/>
      <c r="T148" s="566"/>
      <c r="U148" s="566"/>
      <c r="V148" s="566"/>
      <c r="W148" s="566"/>
      <c r="X148" s="566"/>
      <c r="Y148" s="566"/>
      <c r="Z148" s="566"/>
      <c r="AA148" s="566"/>
      <c r="AB148" s="569"/>
      <c r="AC148" s="569"/>
      <c r="AD148" s="569"/>
      <c r="AE148" s="532"/>
    </row>
    <row r="149">
      <c r="A149" s="533"/>
      <c r="F149" s="533"/>
      <c r="G149" s="533"/>
      <c r="H149" s="533"/>
      <c r="I149" s="566"/>
      <c r="K149" s="568"/>
      <c r="L149" s="533"/>
      <c r="M149" s="566"/>
      <c r="N149" s="566"/>
      <c r="O149" s="566"/>
      <c r="P149" s="566"/>
      <c r="Q149" s="566"/>
      <c r="R149" s="566"/>
      <c r="S149" s="566"/>
      <c r="T149" s="566"/>
      <c r="U149" s="566"/>
      <c r="V149" s="566"/>
      <c r="W149" s="566"/>
      <c r="X149" s="566"/>
      <c r="Y149" s="566"/>
      <c r="Z149" s="566"/>
      <c r="AA149" s="566"/>
      <c r="AB149" s="569"/>
      <c r="AC149" s="569"/>
      <c r="AD149" s="569"/>
      <c r="AE149" s="532"/>
    </row>
    <row r="150">
      <c r="A150" s="533"/>
      <c r="F150" s="533"/>
      <c r="G150" s="533"/>
      <c r="H150" s="533"/>
      <c r="I150" s="566"/>
      <c r="K150" s="568"/>
      <c r="L150" s="533"/>
      <c r="M150" s="566"/>
      <c r="N150" s="566"/>
      <c r="O150" s="566"/>
      <c r="P150" s="566"/>
      <c r="Q150" s="566"/>
      <c r="R150" s="566"/>
      <c r="S150" s="566"/>
      <c r="T150" s="566"/>
      <c r="U150" s="566"/>
      <c r="V150" s="566"/>
      <c r="W150" s="566"/>
      <c r="X150" s="566"/>
      <c r="Y150" s="566"/>
      <c r="Z150" s="566"/>
      <c r="AA150" s="566"/>
      <c r="AB150" s="569"/>
      <c r="AC150" s="569"/>
      <c r="AD150" s="569"/>
      <c r="AE150" s="532"/>
    </row>
    <row r="151">
      <c r="A151" s="533"/>
      <c r="F151" s="533"/>
      <c r="G151" s="533"/>
      <c r="H151" s="533"/>
      <c r="I151" s="566"/>
      <c r="K151" s="568"/>
      <c r="L151" s="533"/>
      <c r="M151" s="566"/>
      <c r="N151" s="566"/>
      <c r="O151" s="566"/>
      <c r="P151" s="566"/>
      <c r="Q151" s="566"/>
      <c r="R151" s="566"/>
      <c r="S151" s="566"/>
      <c r="T151" s="566"/>
      <c r="U151" s="566"/>
      <c r="V151" s="566"/>
      <c r="W151" s="566"/>
      <c r="X151" s="566"/>
      <c r="Y151" s="566"/>
      <c r="Z151" s="566"/>
      <c r="AA151" s="566"/>
      <c r="AB151" s="569"/>
      <c r="AC151" s="569"/>
      <c r="AD151" s="569"/>
      <c r="AE151" s="532"/>
    </row>
    <row r="152">
      <c r="A152" s="533"/>
      <c r="F152" s="533"/>
      <c r="G152" s="533"/>
      <c r="H152" s="533"/>
      <c r="I152" s="566"/>
      <c r="K152" s="568"/>
      <c r="L152" s="533"/>
      <c r="M152" s="566"/>
      <c r="N152" s="566"/>
      <c r="O152" s="566"/>
      <c r="P152" s="566"/>
      <c r="Q152" s="566"/>
      <c r="R152" s="566"/>
      <c r="S152" s="566"/>
      <c r="T152" s="566"/>
      <c r="U152" s="566"/>
      <c r="V152" s="566"/>
      <c r="W152" s="566"/>
      <c r="X152" s="566"/>
      <c r="Y152" s="566"/>
      <c r="Z152" s="566"/>
      <c r="AA152" s="566"/>
      <c r="AB152" s="569"/>
      <c r="AC152" s="569"/>
      <c r="AD152" s="569"/>
      <c r="AE152" s="532"/>
    </row>
    <row r="153">
      <c r="A153" s="533"/>
      <c r="F153" s="533"/>
      <c r="G153" s="533"/>
      <c r="H153" s="533"/>
      <c r="I153" s="566"/>
      <c r="K153" s="568"/>
      <c r="L153" s="533"/>
      <c r="M153" s="566"/>
      <c r="N153" s="566"/>
      <c r="O153" s="566"/>
      <c r="P153" s="566"/>
      <c r="Q153" s="566"/>
      <c r="R153" s="566"/>
      <c r="S153" s="566"/>
      <c r="T153" s="566"/>
      <c r="U153" s="566"/>
      <c r="V153" s="566"/>
      <c r="W153" s="566"/>
      <c r="X153" s="566"/>
      <c r="Y153" s="566"/>
      <c r="Z153" s="566"/>
      <c r="AA153" s="566"/>
      <c r="AB153" s="569"/>
      <c r="AC153" s="569"/>
      <c r="AD153" s="569"/>
      <c r="AE153" s="532"/>
    </row>
    <row r="154">
      <c r="A154" s="533"/>
      <c r="F154" s="533"/>
      <c r="G154" s="533"/>
      <c r="H154" s="533"/>
      <c r="I154" s="566"/>
      <c r="K154" s="568"/>
      <c r="L154" s="533"/>
      <c r="M154" s="566"/>
      <c r="N154" s="566"/>
      <c r="O154" s="566"/>
      <c r="P154" s="566"/>
      <c r="Q154" s="566"/>
      <c r="R154" s="566"/>
      <c r="S154" s="566"/>
      <c r="T154" s="566"/>
      <c r="U154" s="566"/>
      <c r="V154" s="566"/>
      <c r="W154" s="566"/>
      <c r="X154" s="566"/>
      <c r="Y154" s="566"/>
      <c r="Z154" s="566"/>
      <c r="AA154" s="566"/>
      <c r="AB154" s="569"/>
      <c r="AC154" s="569"/>
      <c r="AD154" s="569"/>
      <c r="AE154" s="532"/>
    </row>
    <row r="155">
      <c r="A155" s="533"/>
      <c r="F155" s="533"/>
      <c r="G155" s="533"/>
      <c r="H155" s="533"/>
      <c r="I155" s="566"/>
      <c r="K155" s="568"/>
      <c r="L155" s="533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66"/>
      <c r="AB155" s="569"/>
      <c r="AC155" s="569"/>
      <c r="AD155" s="569"/>
      <c r="AE155" s="532"/>
    </row>
    <row r="156">
      <c r="A156" s="533"/>
      <c r="F156" s="533"/>
      <c r="G156" s="533"/>
      <c r="H156" s="533"/>
      <c r="I156" s="566"/>
      <c r="K156" s="568"/>
      <c r="L156" s="533"/>
      <c r="M156" s="566"/>
      <c r="N156" s="566"/>
      <c r="O156" s="566"/>
      <c r="P156" s="566"/>
      <c r="Q156" s="566"/>
      <c r="R156" s="566"/>
      <c r="S156" s="566"/>
      <c r="T156" s="566"/>
      <c r="U156" s="566"/>
      <c r="V156" s="566"/>
      <c r="W156" s="566"/>
      <c r="X156" s="566"/>
      <c r="Y156" s="566"/>
      <c r="Z156" s="566"/>
      <c r="AA156" s="566"/>
      <c r="AB156" s="569"/>
      <c r="AC156" s="569"/>
      <c r="AD156" s="569"/>
      <c r="AE156" s="532"/>
    </row>
    <row r="157">
      <c r="A157" s="533"/>
      <c r="F157" s="533"/>
      <c r="G157" s="533"/>
      <c r="H157" s="533"/>
      <c r="I157" s="566"/>
      <c r="K157" s="568"/>
      <c r="L157" s="533"/>
      <c r="M157" s="566"/>
      <c r="N157" s="566"/>
      <c r="O157" s="566"/>
      <c r="P157" s="566"/>
      <c r="Q157" s="566"/>
      <c r="R157" s="566"/>
      <c r="S157" s="566"/>
      <c r="T157" s="566"/>
      <c r="U157" s="566"/>
      <c r="V157" s="566"/>
      <c r="W157" s="566"/>
      <c r="X157" s="566"/>
      <c r="Y157" s="566"/>
      <c r="Z157" s="566"/>
      <c r="AA157" s="566"/>
      <c r="AB157" s="569"/>
      <c r="AC157" s="569"/>
      <c r="AD157" s="569"/>
      <c r="AE157" s="532"/>
    </row>
    <row r="158">
      <c r="A158" s="533"/>
      <c r="F158" s="533"/>
      <c r="G158" s="533"/>
      <c r="H158" s="533"/>
      <c r="I158" s="566"/>
      <c r="K158" s="568"/>
      <c r="L158" s="533"/>
      <c r="M158" s="566"/>
      <c r="N158" s="566"/>
      <c r="O158" s="566"/>
      <c r="P158" s="566"/>
      <c r="Q158" s="566"/>
      <c r="R158" s="566"/>
      <c r="S158" s="566"/>
      <c r="T158" s="566"/>
      <c r="U158" s="566"/>
      <c r="V158" s="566"/>
      <c r="W158" s="566"/>
      <c r="X158" s="566"/>
      <c r="Y158" s="566"/>
      <c r="Z158" s="566"/>
      <c r="AA158" s="566"/>
      <c r="AB158" s="569"/>
      <c r="AC158" s="569"/>
      <c r="AD158" s="569"/>
      <c r="AE158" s="532"/>
    </row>
    <row r="159">
      <c r="A159" s="533"/>
      <c r="F159" s="533"/>
      <c r="G159" s="533"/>
      <c r="H159" s="533"/>
      <c r="I159" s="566"/>
      <c r="K159" s="568"/>
      <c r="L159" s="533"/>
      <c r="M159" s="566"/>
      <c r="N159" s="566"/>
      <c r="O159" s="566"/>
      <c r="P159" s="566"/>
      <c r="Q159" s="566"/>
      <c r="R159" s="566"/>
      <c r="S159" s="566"/>
      <c r="T159" s="566"/>
      <c r="U159" s="566"/>
      <c r="V159" s="566"/>
      <c r="W159" s="566"/>
      <c r="X159" s="566"/>
      <c r="Y159" s="566"/>
      <c r="Z159" s="566"/>
      <c r="AA159" s="566"/>
      <c r="AB159" s="569"/>
      <c r="AC159" s="569"/>
      <c r="AD159" s="569"/>
      <c r="AE159" s="532"/>
    </row>
    <row r="160">
      <c r="A160" s="533"/>
      <c r="F160" s="533"/>
      <c r="G160" s="533"/>
      <c r="H160" s="533"/>
      <c r="I160" s="566"/>
      <c r="K160" s="568"/>
      <c r="L160" s="533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66"/>
      <c r="AB160" s="569"/>
      <c r="AC160" s="569"/>
      <c r="AD160" s="569"/>
      <c r="AE160" s="532"/>
    </row>
    <row r="161">
      <c r="A161" s="533"/>
      <c r="F161" s="533"/>
      <c r="G161" s="533"/>
      <c r="H161" s="533"/>
      <c r="I161" s="566"/>
      <c r="K161" s="568"/>
      <c r="L161" s="533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66"/>
      <c r="AB161" s="569"/>
      <c r="AC161" s="569"/>
      <c r="AD161" s="569"/>
      <c r="AE161" s="532"/>
    </row>
    <row r="162">
      <c r="A162" s="533"/>
      <c r="F162" s="533"/>
      <c r="G162" s="533"/>
      <c r="H162" s="533"/>
      <c r="I162" s="566"/>
      <c r="K162" s="568"/>
      <c r="L162" s="533"/>
      <c r="M162" s="566"/>
      <c r="N162" s="566"/>
      <c r="O162" s="566"/>
      <c r="P162" s="566"/>
      <c r="Q162" s="566"/>
      <c r="R162" s="566"/>
      <c r="S162" s="566"/>
      <c r="T162" s="566"/>
      <c r="U162" s="566"/>
      <c r="V162" s="566"/>
      <c r="W162" s="566"/>
      <c r="X162" s="566"/>
      <c r="Y162" s="566"/>
      <c r="Z162" s="566"/>
      <c r="AA162" s="566"/>
      <c r="AB162" s="569"/>
      <c r="AC162" s="569"/>
      <c r="AD162" s="569"/>
      <c r="AE162" s="532"/>
    </row>
    <row r="163">
      <c r="A163" s="533"/>
      <c r="F163" s="533"/>
      <c r="G163" s="533"/>
      <c r="H163" s="533"/>
      <c r="I163" s="566"/>
      <c r="K163" s="568"/>
      <c r="L163" s="533"/>
      <c r="M163" s="566"/>
      <c r="N163" s="566"/>
      <c r="O163" s="566"/>
      <c r="P163" s="566"/>
      <c r="Q163" s="566"/>
      <c r="R163" s="566"/>
      <c r="S163" s="566"/>
      <c r="T163" s="566"/>
      <c r="U163" s="566"/>
      <c r="V163" s="566"/>
      <c r="W163" s="566"/>
      <c r="X163" s="566"/>
      <c r="Y163" s="566"/>
      <c r="Z163" s="566"/>
      <c r="AA163" s="566"/>
      <c r="AB163" s="569"/>
      <c r="AC163" s="569"/>
      <c r="AD163" s="569"/>
      <c r="AE163" s="532"/>
    </row>
    <row r="164">
      <c r="A164" s="533"/>
      <c r="F164" s="533"/>
      <c r="G164" s="533"/>
      <c r="H164" s="533"/>
      <c r="I164" s="566"/>
      <c r="K164" s="568"/>
      <c r="L164" s="533"/>
      <c r="M164" s="566"/>
      <c r="N164" s="566"/>
      <c r="O164" s="566"/>
      <c r="P164" s="566"/>
      <c r="Q164" s="566"/>
      <c r="R164" s="566"/>
      <c r="S164" s="566"/>
      <c r="T164" s="566"/>
      <c r="U164" s="566"/>
      <c r="V164" s="566"/>
      <c r="W164" s="566"/>
      <c r="X164" s="566"/>
      <c r="Y164" s="566"/>
      <c r="Z164" s="566"/>
      <c r="AA164" s="566"/>
      <c r="AB164" s="569"/>
      <c r="AC164" s="569"/>
      <c r="AD164" s="569"/>
      <c r="AE164" s="532"/>
    </row>
    <row r="165">
      <c r="A165" s="533"/>
      <c r="F165" s="533"/>
      <c r="G165" s="533"/>
      <c r="H165" s="533"/>
      <c r="I165" s="566"/>
      <c r="K165" s="568"/>
      <c r="L165" s="533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66"/>
      <c r="AB165" s="569"/>
      <c r="AC165" s="569"/>
      <c r="AD165" s="569"/>
      <c r="AE165" s="532"/>
    </row>
    <row r="166">
      <c r="A166" s="533"/>
      <c r="F166" s="533"/>
      <c r="G166" s="533"/>
      <c r="H166" s="533"/>
      <c r="I166" s="566"/>
      <c r="K166" s="568"/>
      <c r="L166" s="533"/>
      <c r="M166" s="566"/>
      <c r="N166" s="566"/>
      <c r="O166" s="566"/>
      <c r="P166" s="566"/>
      <c r="Q166" s="566"/>
      <c r="R166" s="566"/>
      <c r="S166" s="566"/>
      <c r="T166" s="566"/>
      <c r="U166" s="566"/>
      <c r="V166" s="566"/>
      <c r="W166" s="566"/>
      <c r="X166" s="566"/>
      <c r="Y166" s="566"/>
      <c r="Z166" s="566"/>
      <c r="AA166" s="566"/>
      <c r="AB166" s="569"/>
      <c r="AC166" s="569"/>
      <c r="AD166" s="569"/>
      <c r="AE166" s="532"/>
    </row>
    <row r="167">
      <c r="A167" s="533"/>
      <c r="F167" s="533"/>
      <c r="G167" s="533"/>
      <c r="H167" s="533"/>
      <c r="I167" s="566"/>
      <c r="K167" s="568"/>
      <c r="L167" s="533"/>
      <c r="M167" s="566"/>
      <c r="N167" s="566"/>
      <c r="O167" s="566"/>
      <c r="P167" s="566"/>
      <c r="Q167" s="566"/>
      <c r="R167" s="566"/>
      <c r="S167" s="566"/>
      <c r="T167" s="566"/>
      <c r="U167" s="566"/>
      <c r="V167" s="566"/>
      <c r="W167" s="566"/>
      <c r="X167" s="566"/>
      <c r="Y167" s="566"/>
      <c r="Z167" s="566"/>
      <c r="AA167" s="566"/>
      <c r="AB167" s="569"/>
      <c r="AC167" s="569"/>
      <c r="AD167" s="569"/>
      <c r="AE167" s="532"/>
    </row>
    <row r="168">
      <c r="A168" s="533"/>
      <c r="F168" s="533"/>
      <c r="G168" s="533"/>
      <c r="H168" s="533"/>
      <c r="I168" s="566"/>
      <c r="K168" s="568"/>
      <c r="L168" s="533"/>
      <c r="M168" s="566"/>
      <c r="N168" s="566"/>
      <c r="O168" s="566"/>
      <c r="P168" s="566"/>
      <c r="Q168" s="566"/>
      <c r="R168" s="566"/>
      <c r="S168" s="566"/>
      <c r="T168" s="566"/>
      <c r="U168" s="566"/>
      <c r="V168" s="566"/>
      <c r="W168" s="566"/>
      <c r="X168" s="566"/>
      <c r="Y168" s="566"/>
      <c r="Z168" s="566"/>
      <c r="AA168" s="566"/>
      <c r="AB168" s="569"/>
      <c r="AC168" s="569"/>
      <c r="AD168" s="569"/>
      <c r="AE168" s="532"/>
    </row>
    <row r="169">
      <c r="A169" s="533"/>
      <c r="F169" s="533"/>
      <c r="G169" s="533"/>
      <c r="H169" s="533"/>
      <c r="I169" s="566"/>
      <c r="K169" s="568"/>
      <c r="L169" s="533"/>
      <c r="M169" s="566"/>
      <c r="N169" s="566"/>
      <c r="O169" s="566"/>
      <c r="P169" s="566"/>
      <c r="Q169" s="566"/>
      <c r="R169" s="566"/>
      <c r="S169" s="566"/>
      <c r="T169" s="566"/>
      <c r="U169" s="566"/>
      <c r="V169" s="566"/>
      <c r="W169" s="566"/>
      <c r="X169" s="566"/>
      <c r="Y169" s="566"/>
      <c r="Z169" s="566"/>
      <c r="AA169" s="566"/>
      <c r="AB169" s="569"/>
      <c r="AC169" s="569"/>
      <c r="AD169" s="569"/>
      <c r="AE169" s="532"/>
    </row>
    <row r="170">
      <c r="A170" s="533"/>
      <c r="F170" s="533"/>
      <c r="G170" s="533"/>
      <c r="H170" s="533"/>
      <c r="I170" s="566"/>
      <c r="K170" s="568"/>
      <c r="L170" s="533"/>
      <c r="M170" s="566"/>
      <c r="N170" s="566"/>
      <c r="O170" s="566"/>
      <c r="P170" s="566"/>
      <c r="Q170" s="566"/>
      <c r="R170" s="566"/>
      <c r="S170" s="566"/>
      <c r="T170" s="566"/>
      <c r="U170" s="566"/>
      <c r="V170" s="566"/>
      <c r="W170" s="566"/>
      <c r="X170" s="566"/>
      <c r="Y170" s="566"/>
      <c r="Z170" s="566"/>
      <c r="AA170" s="566"/>
      <c r="AB170" s="569"/>
      <c r="AC170" s="569"/>
      <c r="AD170" s="569"/>
      <c r="AE170" s="532"/>
    </row>
    <row r="171">
      <c r="A171" s="533"/>
      <c r="F171" s="533"/>
      <c r="G171" s="533"/>
      <c r="H171" s="533"/>
      <c r="I171" s="566"/>
      <c r="K171" s="568"/>
      <c r="L171" s="533"/>
      <c r="M171" s="566"/>
      <c r="N171" s="566"/>
      <c r="O171" s="566"/>
      <c r="P171" s="566"/>
      <c r="Q171" s="566"/>
      <c r="R171" s="566"/>
      <c r="S171" s="566"/>
      <c r="T171" s="566"/>
      <c r="U171" s="566"/>
      <c r="V171" s="566"/>
      <c r="W171" s="566"/>
      <c r="X171" s="566"/>
      <c r="Y171" s="566"/>
      <c r="Z171" s="566"/>
      <c r="AA171" s="566"/>
      <c r="AB171" s="569"/>
      <c r="AC171" s="569"/>
      <c r="AD171" s="569"/>
      <c r="AE171" s="532"/>
    </row>
    <row r="172">
      <c r="A172" s="533"/>
      <c r="F172" s="533"/>
      <c r="G172" s="533"/>
      <c r="H172" s="533"/>
      <c r="I172" s="566"/>
      <c r="K172" s="568"/>
      <c r="L172" s="533"/>
      <c r="M172" s="566"/>
      <c r="N172" s="566"/>
      <c r="O172" s="566"/>
      <c r="P172" s="566"/>
      <c r="Q172" s="566"/>
      <c r="R172" s="566"/>
      <c r="S172" s="566"/>
      <c r="T172" s="566"/>
      <c r="U172" s="566"/>
      <c r="V172" s="566"/>
      <c r="W172" s="566"/>
      <c r="X172" s="566"/>
      <c r="Y172" s="566"/>
      <c r="Z172" s="566"/>
      <c r="AA172" s="566"/>
      <c r="AB172" s="569"/>
      <c r="AC172" s="569"/>
      <c r="AD172" s="569"/>
      <c r="AE172" s="532"/>
    </row>
    <row r="173">
      <c r="A173" s="533"/>
      <c r="F173" s="533"/>
      <c r="G173" s="533"/>
      <c r="H173" s="533"/>
      <c r="I173" s="566"/>
      <c r="K173" s="568"/>
      <c r="L173" s="533"/>
      <c r="M173" s="566"/>
      <c r="N173" s="566"/>
      <c r="O173" s="566"/>
      <c r="P173" s="566"/>
      <c r="Q173" s="566"/>
      <c r="R173" s="566"/>
      <c r="S173" s="566"/>
      <c r="T173" s="566"/>
      <c r="U173" s="566"/>
      <c r="V173" s="566"/>
      <c r="W173" s="566"/>
      <c r="X173" s="566"/>
      <c r="Y173" s="566"/>
      <c r="Z173" s="566"/>
      <c r="AA173" s="566"/>
      <c r="AB173" s="569"/>
      <c r="AC173" s="569"/>
      <c r="AD173" s="569"/>
      <c r="AE173" s="532"/>
    </row>
    <row r="174">
      <c r="A174" s="533"/>
      <c r="F174" s="533"/>
      <c r="G174" s="533"/>
      <c r="H174" s="533"/>
      <c r="I174" s="566"/>
      <c r="K174" s="568"/>
      <c r="L174" s="533"/>
      <c r="M174" s="566"/>
      <c r="N174" s="566"/>
      <c r="O174" s="566"/>
      <c r="P174" s="566"/>
      <c r="Q174" s="566"/>
      <c r="R174" s="566"/>
      <c r="S174" s="566"/>
      <c r="T174" s="566"/>
      <c r="U174" s="566"/>
      <c r="V174" s="566"/>
      <c r="W174" s="566"/>
      <c r="X174" s="566"/>
      <c r="Y174" s="566"/>
      <c r="Z174" s="566"/>
      <c r="AA174" s="566"/>
      <c r="AB174" s="569"/>
      <c r="AC174" s="569"/>
      <c r="AD174" s="569"/>
      <c r="AE174" s="532"/>
    </row>
    <row r="175">
      <c r="A175" s="533"/>
      <c r="F175" s="533"/>
      <c r="G175" s="533"/>
      <c r="H175" s="533"/>
      <c r="I175" s="566"/>
      <c r="K175" s="568"/>
      <c r="L175" s="533"/>
      <c r="M175" s="566"/>
      <c r="N175" s="566"/>
      <c r="O175" s="566"/>
      <c r="P175" s="566"/>
      <c r="Q175" s="566"/>
      <c r="R175" s="566"/>
      <c r="S175" s="566"/>
      <c r="T175" s="566"/>
      <c r="U175" s="566"/>
      <c r="V175" s="566"/>
      <c r="W175" s="566"/>
      <c r="X175" s="566"/>
      <c r="Y175" s="566"/>
      <c r="Z175" s="566"/>
      <c r="AA175" s="566"/>
      <c r="AB175" s="569"/>
      <c r="AC175" s="569"/>
      <c r="AD175" s="569"/>
      <c r="AE175" s="532"/>
    </row>
    <row r="176">
      <c r="A176" s="533"/>
      <c r="F176" s="533"/>
      <c r="G176" s="533"/>
      <c r="H176" s="533"/>
      <c r="I176" s="566"/>
      <c r="K176" s="568"/>
      <c r="L176" s="533"/>
      <c r="M176" s="566"/>
      <c r="N176" s="566"/>
      <c r="O176" s="566"/>
      <c r="P176" s="566"/>
      <c r="Q176" s="566"/>
      <c r="R176" s="566"/>
      <c r="S176" s="566"/>
      <c r="T176" s="566"/>
      <c r="U176" s="566"/>
      <c r="V176" s="566"/>
      <c r="W176" s="566"/>
      <c r="X176" s="566"/>
      <c r="Y176" s="566"/>
      <c r="Z176" s="566"/>
      <c r="AA176" s="566"/>
      <c r="AB176" s="569"/>
      <c r="AC176" s="569"/>
      <c r="AD176" s="569"/>
      <c r="AE176" s="532"/>
    </row>
    <row r="177">
      <c r="A177" s="533"/>
      <c r="F177" s="533"/>
      <c r="G177" s="533"/>
      <c r="H177" s="533"/>
      <c r="I177" s="566"/>
      <c r="K177" s="568"/>
      <c r="L177" s="533"/>
      <c r="M177" s="566"/>
      <c r="N177" s="566"/>
      <c r="O177" s="566"/>
      <c r="P177" s="566"/>
      <c r="Q177" s="566"/>
      <c r="R177" s="566"/>
      <c r="S177" s="566"/>
      <c r="T177" s="566"/>
      <c r="U177" s="566"/>
      <c r="V177" s="566"/>
      <c r="W177" s="566"/>
      <c r="X177" s="566"/>
      <c r="Y177" s="566"/>
      <c r="Z177" s="566"/>
      <c r="AA177" s="566"/>
      <c r="AB177" s="569"/>
      <c r="AC177" s="569"/>
      <c r="AD177" s="569"/>
      <c r="AE177" s="532"/>
    </row>
    <row r="178">
      <c r="A178" s="533"/>
      <c r="F178" s="533"/>
      <c r="G178" s="533"/>
      <c r="H178" s="533"/>
      <c r="I178" s="566"/>
      <c r="K178" s="568"/>
      <c r="L178" s="533"/>
      <c r="M178" s="566"/>
      <c r="N178" s="566"/>
      <c r="O178" s="566"/>
      <c r="P178" s="566"/>
      <c r="Q178" s="566"/>
      <c r="R178" s="566"/>
      <c r="S178" s="566"/>
      <c r="T178" s="566"/>
      <c r="U178" s="566"/>
      <c r="V178" s="566"/>
      <c r="W178" s="566"/>
      <c r="X178" s="566"/>
      <c r="Y178" s="566"/>
      <c r="Z178" s="566"/>
      <c r="AA178" s="566"/>
      <c r="AB178" s="569"/>
      <c r="AC178" s="569"/>
      <c r="AD178" s="569"/>
      <c r="AE178" s="532"/>
    </row>
    <row r="179">
      <c r="A179" s="533"/>
      <c r="F179" s="533"/>
      <c r="G179" s="533"/>
      <c r="H179" s="533"/>
      <c r="I179" s="566"/>
      <c r="K179" s="568"/>
      <c r="L179" s="533"/>
      <c r="M179" s="566"/>
      <c r="N179" s="566"/>
      <c r="O179" s="566"/>
      <c r="P179" s="566"/>
      <c r="Q179" s="566"/>
      <c r="R179" s="566"/>
      <c r="S179" s="566"/>
      <c r="T179" s="566"/>
      <c r="U179" s="566"/>
      <c r="V179" s="566"/>
      <c r="W179" s="566"/>
      <c r="X179" s="566"/>
      <c r="Y179" s="566"/>
      <c r="Z179" s="566"/>
      <c r="AA179" s="566"/>
      <c r="AB179" s="569"/>
      <c r="AC179" s="569"/>
      <c r="AD179" s="569"/>
      <c r="AE179" s="532"/>
    </row>
    <row r="180">
      <c r="A180" s="533"/>
      <c r="F180" s="533"/>
      <c r="G180" s="533"/>
      <c r="H180" s="533"/>
      <c r="I180" s="566"/>
      <c r="K180" s="568"/>
      <c r="L180" s="533"/>
      <c r="M180" s="566"/>
      <c r="N180" s="566"/>
      <c r="O180" s="566"/>
      <c r="P180" s="566"/>
      <c r="Q180" s="566"/>
      <c r="R180" s="566"/>
      <c r="S180" s="566"/>
      <c r="T180" s="566"/>
      <c r="U180" s="566"/>
      <c r="V180" s="566"/>
      <c r="W180" s="566"/>
      <c r="X180" s="566"/>
      <c r="Y180" s="566"/>
      <c r="Z180" s="566"/>
      <c r="AA180" s="566"/>
      <c r="AB180" s="569"/>
      <c r="AC180" s="569"/>
      <c r="AD180" s="569"/>
      <c r="AE180" s="532"/>
    </row>
    <row r="181">
      <c r="A181" s="533"/>
      <c r="F181" s="533"/>
      <c r="G181" s="533"/>
      <c r="H181" s="533"/>
      <c r="I181" s="566"/>
      <c r="K181" s="568"/>
      <c r="L181" s="533"/>
      <c r="M181" s="566"/>
      <c r="N181" s="566"/>
      <c r="O181" s="566"/>
      <c r="P181" s="566"/>
      <c r="Q181" s="566"/>
      <c r="R181" s="566"/>
      <c r="S181" s="566"/>
      <c r="T181" s="566"/>
      <c r="U181" s="566"/>
      <c r="V181" s="566"/>
      <c r="W181" s="566"/>
      <c r="X181" s="566"/>
      <c r="Y181" s="566"/>
      <c r="Z181" s="566"/>
      <c r="AA181" s="566"/>
      <c r="AB181" s="569"/>
      <c r="AC181" s="569"/>
      <c r="AD181" s="569"/>
      <c r="AE181" s="532"/>
    </row>
    <row r="182">
      <c r="A182" s="533"/>
      <c r="F182" s="533"/>
      <c r="G182" s="533"/>
      <c r="H182" s="533"/>
      <c r="I182" s="566"/>
      <c r="K182" s="568"/>
      <c r="L182" s="533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66"/>
      <c r="AB182" s="569"/>
      <c r="AC182" s="569"/>
      <c r="AD182" s="569"/>
      <c r="AE182" s="532"/>
    </row>
    <row r="183">
      <c r="A183" s="533"/>
      <c r="F183" s="533"/>
      <c r="G183" s="533"/>
      <c r="H183" s="533"/>
      <c r="I183" s="566"/>
      <c r="K183" s="568"/>
      <c r="L183" s="533"/>
      <c r="M183" s="566"/>
      <c r="N183" s="566"/>
      <c r="O183" s="566"/>
      <c r="P183" s="566"/>
      <c r="Q183" s="566"/>
      <c r="R183" s="566"/>
      <c r="S183" s="566"/>
      <c r="T183" s="566"/>
      <c r="U183" s="566"/>
      <c r="V183" s="566"/>
      <c r="W183" s="566"/>
      <c r="X183" s="566"/>
      <c r="Y183" s="566"/>
      <c r="Z183" s="566"/>
      <c r="AA183" s="566"/>
      <c r="AB183" s="569"/>
      <c r="AC183" s="569"/>
      <c r="AD183" s="569"/>
      <c r="AE183" s="532"/>
    </row>
    <row r="184">
      <c r="A184" s="533"/>
      <c r="F184" s="533"/>
      <c r="G184" s="533"/>
      <c r="H184" s="533"/>
      <c r="I184" s="566"/>
      <c r="K184" s="568"/>
      <c r="L184" s="533"/>
      <c r="M184" s="566"/>
      <c r="N184" s="566"/>
      <c r="O184" s="566"/>
      <c r="P184" s="566"/>
      <c r="Q184" s="566"/>
      <c r="R184" s="566"/>
      <c r="S184" s="566"/>
      <c r="T184" s="566"/>
      <c r="U184" s="566"/>
      <c r="V184" s="566"/>
      <c r="W184" s="566"/>
      <c r="X184" s="566"/>
      <c r="Y184" s="566"/>
      <c r="Z184" s="566"/>
      <c r="AA184" s="566"/>
      <c r="AB184" s="569"/>
      <c r="AC184" s="569"/>
      <c r="AD184" s="569"/>
      <c r="AE184" s="532"/>
    </row>
    <row r="185">
      <c r="A185" s="533"/>
      <c r="F185" s="533"/>
      <c r="G185" s="533"/>
      <c r="H185" s="533"/>
      <c r="I185" s="566"/>
      <c r="K185" s="568"/>
      <c r="L185" s="533"/>
      <c r="M185" s="566"/>
      <c r="N185" s="566"/>
      <c r="O185" s="566"/>
      <c r="P185" s="566"/>
      <c r="Q185" s="566"/>
      <c r="R185" s="566"/>
      <c r="S185" s="566"/>
      <c r="T185" s="566"/>
      <c r="U185" s="566"/>
      <c r="V185" s="566"/>
      <c r="W185" s="566"/>
      <c r="X185" s="566"/>
      <c r="Y185" s="566"/>
      <c r="Z185" s="566"/>
      <c r="AA185" s="566"/>
      <c r="AB185" s="569"/>
      <c r="AC185" s="569"/>
      <c r="AD185" s="569"/>
      <c r="AE185" s="532"/>
    </row>
    <row r="186">
      <c r="A186" s="533"/>
      <c r="F186" s="533"/>
      <c r="G186" s="533"/>
      <c r="H186" s="533"/>
      <c r="I186" s="566"/>
      <c r="K186" s="568"/>
      <c r="L186" s="533"/>
      <c r="M186" s="566"/>
      <c r="N186" s="566"/>
      <c r="O186" s="566"/>
      <c r="P186" s="566"/>
      <c r="Q186" s="566"/>
      <c r="R186" s="566"/>
      <c r="S186" s="566"/>
      <c r="T186" s="566"/>
      <c r="U186" s="566"/>
      <c r="V186" s="566"/>
      <c r="W186" s="566"/>
      <c r="X186" s="566"/>
      <c r="Y186" s="566"/>
      <c r="Z186" s="566"/>
      <c r="AA186" s="566"/>
      <c r="AB186" s="569"/>
      <c r="AC186" s="569"/>
      <c r="AD186" s="569"/>
      <c r="AE186" s="532"/>
    </row>
    <row r="187">
      <c r="A187" s="533"/>
      <c r="F187" s="533"/>
      <c r="G187" s="533"/>
      <c r="H187" s="533"/>
      <c r="I187" s="566"/>
      <c r="K187" s="568"/>
      <c r="L187" s="533"/>
      <c r="M187" s="566"/>
      <c r="N187" s="566"/>
      <c r="O187" s="566"/>
      <c r="P187" s="566"/>
      <c r="Q187" s="566"/>
      <c r="R187" s="566"/>
      <c r="S187" s="566"/>
      <c r="T187" s="566"/>
      <c r="U187" s="566"/>
      <c r="V187" s="566"/>
      <c r="W187" s="566"/>
      <c r="X187" s="566"/>
      <c r="Y187" s="566"/>
      <c r="Z187" s="566"/>
      <c r="AA187" s="566"/>
      <c r="AB187" s="569"/>
      <c r="AC187" s="569"/>
      <c r="AD187" s="569"/>
      <c r="AE187" s="532"/>
    </row>
    <row r="188">
      <c r="A188" s="533"/>
      <c r="F188" s="533"/>
      <c r="G188" s="533"/>
      <c r="H188" s="533"/>
      <c r="I188" s="566"/>
      <c r="K188" s="568"/>
      <c r="L188" s="533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66"/>
      <c r="AB188" s="569"/>
      <c r="AC188" s="569"/>
      <c r="AD188" s="569"/>
      <c r="AE188" s="532"/>
    </row>
    <row r="189">
      <c r="A189" s="533"/>
      <c r="F189" s="533"/>
      <c r="G189" s="533"/>
      <c r="H189" s="533"/>
      <c r="I189" s="566"/>
      <c r="K189" s="568"/>
      <c r="L189" s="533"/>
      <c r="M189" s="566"/>
      <c r="N189" s="566"/>
      <c r="O189" s="566"/>
      <c r="P189" s="566"/>
      <c r="Q189" s="566"/>
      <c r="R189" s="566"/>
      <c r="S189" s="566"/>
      <c r="T189" s="566"/>
      <c r="U189" s="566"/>
      <c r="V189" s="566"/>
      <c r="W189" s="566"/>
      <c r="X189" s="566"/>
      <c r="Y189" s="566"/>
      <c r="Z189" s="566"/>
      <c r="AA189" s="566"/>
      <c r="AB189" s="569"/>
      <c r="AC189" s="569"/>
      <c r="AD189" s="569"/>
      <c r="AE189" s="532"/>
    </row>
    <row r="190">
      <c r="A190" s="533"/>
      <c r="F190" s="533"/>
      <c r="G190" s="533"/>
      <c r="H190" s="533"/>
      <c r="I190" s="566"/>
      <c r="K190" s="568"/>
      <c r="L190" s="533"/>
      <c r="M190" s="566"/>
      <c r="N190" s="566"/>
      <c r="O190" s="566"/>
      <c r="P190" s="566"/>
      <c r="Q190" s="566"/>
      <c r="R190" s="566"/>
      <c r="S190" s="566"/>
      <c r="T190" s="566"/>
      <c r="U190" s="566"/>
      <c r="V190" s="566"/>
      <c r="W190" s="566"/>
      <c r="X190" s="566"/>
      <c r="Y190" s="566"/>
      <c r="Z190" s="566"/>
      <c r="AA190" s="566"/>
      <c r="AB190" s="569"/>
      <c r="AC190" s="569"/>
      <c r="AD190" s="569"/>
      <c r="AE190" s="532"/>
    </row>
    <row r="191">
      <c r="A191" s="533"/>
      <c r="F191" s="533"/>
      <c r="G191" s="533"/>
      <c r="H191" s="533"/>
      <c r="I191" s="566"/>
      <c r="K191" s="568"/>
      <c r="L191" s="533"/>
      <c r="M191" s="566"/>
      <c r="N191" s="566"/>
      <c r="O191" s="566"/>
      <c r="P191" s="566"/>
      <c r="Q191" s="566"/>
      <c r="R191" s="566"/>
      <c r="S191" s="566"/>
      <c r="T191" s="566"/>
      <c r="U191" s="566"/>
      <c r="V191" s="566"/>
      <c r="W191" s="566"/>
      <c r="X191" s="566"/>
      <c r="Y191" s="566"/>
      <c r="Z191" s="566"/>
      <c r="AA191" s="566"/>
      <c r="AB191" s="569"/>
      <c r="AC191" s="569"/>
      <c r="AD191" s="569"/>
      <c r="AE191" s="532"/>
    </row>
    <row r="192">
      <c r="A192" s="533"/>
      <c r="F192" s="533"/>
      <c r="G192" s="533"/>
      <c r="H192" s="533"/>
      <c r="I192" s="566"/>
      <c r="K192" s="568"/>
      <c r="L192" s="533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66"/>
      <c r="AB192" s="569"/>
      <c r="AC192" s="569"/>
      <c r="AD192" s="569"/>
      <c r="AE192" s="532"/>
    </row>
    <row r="193">
      <c r="A193" s="533"/>
      <c r="F193" s="533"/>
      <c r="G193" s="533"/>
      <c r="H193" s="533"/>
      <c r="I193" s="566"/>
      <c r="K193" s="568"/>
      <c r="L193" s="533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66"/>
      <c r="AB193" s="569"/>
      <c r="AC193" s="569"/>
      <c r="AD193" s="569"/>
      <c r="AE193" s="532"/>
    </row>
    <row r="194">
      <c r="A194" s="533"/>
      <c r="F194" s="533"/>
      <c r="G194" s="533"/>
      <c r="H194" s="533"/>
      <c r="I194" s="566"/>
      <c r="K194" s="568"/>
      <c r="L194" s="533"/>
      <c r="M194" s="566"/>
      <c r="N194" s="566"/>
      <c r="O194" s="566"/>
      <c r="P194" s="566"/>
      <c r="Q194" s="566"/>
      <c r="R194" s="566"/>
      <c r="S194" s="566"/>
      <c r="T194" s="566"/>
      <c r="U194" s="566"/>
      <c r="V194" s="566"/>
      <c r="W194" s="566"/>
      <c r="X194" s="566"/>
      <c r="Y194" s="566"/>
      <c r="Z194" s="566"/>
      <c r="AA194" s="566"/>
      <c r="AB194" s="569"/>
      <c r="AC194" s="569"/>
      <c r="AD194" s="569"/>
      <c r="AE194" s="532"/>
    </row>
    <row r="195">
      <c r="A195" s="533"/>
      <c r="F195" s="533"/>
      <c r="G195" s="533"/>
      <c r="H195" s="533"/>
      <c r="I195" s="566"/>
      <c r="K195" s="568"/>
      <c r="L195" s="533"/>
      <c r="M195" s="566"/>
      <c r="N195" s="566"/>
      <c r="O195" s="566"/>
      <c r="P195" s="566"/>
      <c r="Q195" s="566"/>
      <c r="R195" s="566"/>
      <c r="S195" s="566"/>
      <c r="T195" s="566"/>
      <c r="U195" s="566"/>
      <c r="V195" s="566"/>
      <c r="W195" s="566"/>
      <c r="X195" s="566"/>
      <c r="Y195" s="566"/>
      <c r="Z195" s="566"/>
      <c r="AA195" s="566"/>
      <c r="AB195" s="569"/>
      <c r="AC195" s="569"/>
      <c r="AD195" s="569"/>
      <c r="AE195" s="532"/>
    </row>
    <row r="196">
      <c r="A196" s="533"/>
      <c r="F196" s="533"/>
      <c r="G196" s="533"/>
      <c r="H196" s="533"/>
      <c r="I196" s="566"/>
      <c r="K196" s="568"/>
      <c r="L196" s="533"/>
      <c r="M196" s="566"/>
      <c r="N196" s="566"/>
      <c r="O196" s="566"/>
      <c r="P196" s="566"/>
      <c r="Q196" s="566"/>
      <c r="R196" s="566"/>
      <c r="S196" s="566"/>
      <c r="T196" s="566"/>
      <c r="U196" s="566"/>
      <c r="V196" s="566"/>
      <c r="W196" s="566"/>
      <c r="X196" s="566"/>
      <c r="Y196" s="566"/>
      <c r="Z196" s="566"/>
      <c r="AA196" s="566"/>
      <c r="AB196" s="569"/>
      <c r="AC196" s="569"/>
      <c r="AD196" s="569"/>
      <c r="AE196" s="532"/>
    </row>
    <row r="197">
      <c r="A197" s="533"/>
      <c r="F197" s="533"/>
      <c r="G197" s="533"/>
      <c r="H197" s="533"/>
      <c r="I197" s="566"/>
      <c r="K197" s="568"/>
      <c r="L197" s="533"/>
      <c r="M197" s="566"/>
      <c r="N197" s="566"/>
      <c r="O197" s="566"/>
      <c r="P197" s="566"/>
      <c r="Q197" s="566"/>
      <c r="R197" s="566"/>
      <c r="S197" s="566"/>
      <c r="T197" s="566"/>
      <c r="U197" s="566"/>
      <c r="V197" s="566"/>
      <c r="W197" s="566"/>
      <c r="X197" s="566"/>
      <c r="Y197" s="566"/>
      <c r="Z197" s="566"/>
      <c r="AA197" s="566"/>
      <c r="AB197" s="569"/>
      <c r="AC197" s="569"/>
      <c r="AD197" s="569"/>
      <c r="AE197" s="532"/>
    </row>
    <row r="198">
      <c r="A198" s="533"/>
      <c r="F198" s="533"/>
      <c r="G198" s="533"/>
      <c r="H198" s="533"/>
      <c r="I198" s="566"/>
      <c r="K198" s="568"/>
      <c r="L198" s="533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66"/>
      <c r="AB198" s="569"/>
      <c r="AC198" s="569"/>
      <c r="AD198" s="569"/>
      <c r="AE198" s="532"/>
    </row>
    <row r="199">
      <c r="A199" s="533"/>
      <c r="F199" s="533"/>
      <c r="G199" s="533"/>
      <c r="H199" s="533"/>
      <c r="I199" s="566"/>
      <c r="K199" s="568"/>
      <c r="L199" s="533"/>
      <c r="M199" s="566"/>
      <c r="N199" s="566"/>
      <c r="O199" s="566"/>
      <c r="P199" s="566"/>
      <c r="Q199" s="566"/>
      <c r="R199" s="566"/>
      <c r="S199" s="566"/>
      <c r="T199" s="566"/>
      <c r="U199" s="566"/>
      <c r="V199" s="566"/>
      <c r="W199" s="566"/>
      <c r="X199" s="566"/>
      <c r="Y199" s="566"/>
      <c r="Z199" s="566"/>
      <c r="AA199" s="566"/>
      <c r="AB199" s="569"/>
      <c r="AC199" s="569"/>
      <c r="AD199" s="569"/>
      <c r="AE199" s="532"/>
    </row>
    <row r="200">
      <c r="A200" s="533"/>
      <c r="F200" s="533"/>
      <c r="G200" s="533"/>
      <c r="H200" s="533"/>
      <c r="I200" s="566"/>
      <c r="K200" s="568"/>
      <c r="L200" s="533"/>
      <c r="M200" s="566"/>
      <c r="N200" s="566"/>
      <c r="O200" s="566"/>
      <c r="P200" s="566"/>
      <c r="Q200" s="566"/>
      <c r="R200" s="566"/>
      <c r="S200" s="566"/>
      <c r="T200" s="566"/>
      <c r="U200" s="566"/>
      <c r="V200" s="566"/>
      <c r="W200" s="566"/>
      <c r="X200" s="566"/>
      <c r="Y200" s="566"/>
      <c r="Z200" s="566"/>
      <c r="AA200" s="566"/>
      <c r="AB200" s="569"/>
      <c r="AC200" s="569"/>
      <c r="AD200" s="569"/>
      <c r="AE200" s="532"/>
    </row>
    <row r="201">
      <c r="A201" s="533"/>
      <c r="F201" s="533"/>
      <c r="G201" s="533"/>
      <c r="H201" s="533"/>
      <c r="I201" s="566"/>
      <c r="K201" s="568"/>
      <c r="L201" s="533"/>
      <c r="M201" s="566"/>
      <c r="N201" s="566"/>
      <c r="O201" s="566"/>
      <c r="P201" s="566"/>
      <c r="Q201" s="566"/>
      <c r="R201" s="566"/>
      <c r="S201" s="566"/>
      <c r="T201" s="566"/>
      <c r="U201" s="566"/>
      <c r="V201" s="566"/>
      <c r="W201" s="566"/>
      <c r="X201" s="566"/>
      <c r="Y201" s="566"/>
      <c r="Z201" s="566"/>
      <c r="AA201" s="566"/>
      <c r="AB201" s="569"/>
      <c r="AC201" s="569"/>
      <c r="AD201" s="569"/>
      <c r="AE201" s="532"/>
    </row>
    <row r="202">
      <c r="A202" s="533"/>
      <c r="F202" s="533"/>
      <c r="G202" s="533"/>
      <c r="H202" s="533"/>
      <c r="I202" s="566"/>
      <c r="K202" s="568"/>
      <c r="L202" s="533"/>
      <c r="M202" s="566"/>
      <c r="N202" s="566"/>
      <c r="O202" s="566"/>
      <c r="P202" s="566"/>
      <c r="Q202" s="566"/>
      <c r="R202" s="566"/>
      <c r="S202" s="566"/>
      <c r="T202" s="566"/>
      <c r="U202" s="566"/>
      <c r="V202" s="566"/>
      <c r="W202" s="566"/>
      <c r="X202" s="566"/>
      <c r="Y202" s="566"/>
      <c r="Z202" s="566"/>
      <c r="AA202" s="566"/>
      <c r="AB202" s="569"/>
      <c r="AC202" s="569"/>
      <c r="AD202" s="569"/>
      <c r="AE202" s="532"/>
    </row>
    <row r="203">
      <c r="A203" s="533"/>
      <c r="F203" s="533"/>
      <c r="G203" s="533"/>
      <c r="H203" s="533"/>
      <c r="I203" s="566"/>
      <c r="K203" s="568"/>
      <c r="L203" s="533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66"/>
      <c r="AB203" s="569"/>
      <c r="AC203" s="569"/>
      <c r="AD203" s="569"/>
      <c r="AE203" s="532"/>
    </row>
    <row r="204">
      <c r="A204" s="533"/>
      <c r="F204" s="533"/>
      <c r="G204" s="533"/>
      <c r="H204" s="533"/>
      <c r="I204" s="566"/>
      <c r="K204" s="568"/>
      <c r="L204" s="533"/>
      <c r="M204" s="566"/>
      <c r="N204" s="566"/>
      <c r="O204" s="566"/>
      <c r="P204" s="566"/>
      <c r="Q204" s="566"/>
      <c r="R204" s="566"/>
      <c r="S204" s="566"/>
      <c r="T204" s="566"/>
      <c r="U204" s="566"/>
      <c r="V204" s="566"/>
      <c r="W204" s="566"/>
      <c r="X204" s="566"/>
      <c r="Y204" s="566"/>
      <c r="Z204" s="566"/>
      <c r="AA204" s="566"/>
      <c r="AB204" s="569"/>
      <c r="AC204" s="569"/>
      <c r="AD204" s="569"/>
      <c r="AE204" s="532"/>
    </row>
  </sheetData>
  <mergeCells>
    <mergeCell ref="P1:Q1"/>
    <mergeCell ref="A3:A10"/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B3:B10"/>
    <mergeCell ref="N1:O1"/>
    <mergeCell ref="R1:S1"/>
    <mergeCell ref="T1:U1"/>
    <mergeCell ref="V1:W1"/>
    <mergeCell ref="B11:B12"/>
    <mergeCell ref="A11:A12"/>
    <mergeCell ref="V16:W16"/>
    <mergeCell ref="T16:U16"/>
    <mergeCell ref="R16:S16"/>
    <mergeCell ref="N16:O16"/>
    <mergeCell ref="H16:I16"/>
    <mergeCell ref="J16:K16"/>
    <mergeCell ref="L16:M16"/>
    <mergeCell ref="P16:Q16"/>
    <mergeCell ref="B13:B14"/>
    <mergeCell ref="A13:A14"/>
    <mergeCell ref="X1:Y1"/>
    <mergeCell ref="X16:Y16"/>
    <mergeCell ref="AB1:AB2"/>
    <mergeCell ref="AC1:AC2"/>
    <mergeCell ref="AD1:AD2"/>
    <mergeCell ref="AE1:AE2"/>
    <mergeCell ref="AB16:AD16"/>
    <mergeCell ref="Z1:AA1"/>
    <mergeCell ref="Z16:AA16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I1" xSplit="8"/>
    </sheetView>
  </sheetViews>
  <sheetFormatPr defaultColWidth="14" defaultRowHeight="19"/>
  <cols>
    <col collapsed="false" customWidth="true" hidden="false" max="4" min="4" style="0" width="36"/>
    <col collapsed="false" customWidth="true" hidden="false" max="12" min="12" style="0" width="12"/>
    <col collapsed="false" customWidth="true" hidden="false" max="20" min="20" style="0" width="11"/>
    <col collapsed="false" customWidth="true" hidden="false" max="28" min="28" style="0" width="12"/>
    <col collapsed="false" customWidth="true" hidden="false" max="3" min="3" style="0" width="15"/>
    <col collapsed="false" customWidth="true" hidden="false" max="11" min="11" style="0" width="11"/>
    <col collapsed="false" customWidth="true" hidden="false" max="19" min="19" style="0" width="11"/>
    <col collapsed="false" customWidth="true" hidden="false" max="27" min="27" style="0" width="12"/>
    <col collapsed="false" customWidth="true" hidden="false" max="2" min="2" style="0" width="19"/>
    <col collapsed="false" customWidth="true" hidden="false" max="10" min="10" style="0" width="13"/>
    <col collapsed="false" customWidth="true" hidden="false" max="18" min="18" style="0" width="11"/>
    <col collapsed="false" customWidth="true" hidden="false" max="26" min="26" style="0" width="11"/>
    <col collapsed="false" customWidth="true" hidden="false" max="1" min="1" style="0" width="5"/>
    <col collapsed="false" customWidth="true" hidden="false" max="9" min="9" style="0" width="11"/>
    <col collapsed="false" customWidth="true" hidden="false" max="17" min="17" style="0" width="11"/>
    <col collapsed="false" customWidth="true" hidden="false" max="25" min="25" style="0" width="11"/>
    <col collapsed="false" customWidth="true" hidden="false" max="8" min="8" style="0" width="12"/>
    <col collapsed="false" customWidth="true" hidden="false" max="16" min="16" style="0" width="12"/>
    <col collapsed="false" customWidth="true" hidden="false" max="24" min="24" style="0" width="11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1"/>
    <col collapsed="false" customWidth="true" hidden="false" max="6" min="6" style="0" width="5"/>
    <col collapsed="false" customWidth="true" hidden="false" max="14" min="14" style="0" width="13"/>
    <col collapsed="false" customWidth="true" hidden="false" max="22" min="22" style="0" width="11"/>
    <col collapsed="false" customWidth="true" hidden="false" max="5" min="5" style="0" width="7"/>
    <col collapsed="false" customWidth="true" hidden="false" max="13" min="13" style="0" width="11"/>
    <col collapsed="false" customWidth="true" hidden="false" max="21" min="21" style="0" width="11"/>
    <col collapsed="false" customWidth="true" hidden="false" max="29" min="29" style="0" width="11"/>
  </cols>
  <sheetData>
    <row r="1">
      <c r="A1" s="570" t="s">
        <v>820</v>
      </c>
      <c r="B1" s="571" t="s">
        <v>821</v>
      </c>
      <c r="C1" s="570" t="s">
        <v>822</v>
      </c>
      <c r="D1" s="570" t="s">
        <v>823</v>
      </c>
      <c r="E1" s="572" t="s">
        <v>824</v>
      </c>
      <c r="F1" s="573" t="s">
        <v>825</v>
      </c>
      <c r="G1" s="574" t="s">
        <v>826</v>
      </c>
      <c r="H1" s="572"/>
      <c r="I1" s="575" t="s">
        <v>827</v>
      </c>
      <c r="J1" s="576"/>
      <c r="K1" s="575" t="s">
        <v>828</v>
      </c>
      <c r="L1" s="577"/>
      <c r="M1" s="575" t="s">
        <v>829</v>
      </c>
      <c r="N1" s="575"/>
      <c r="O1" s="575" t="s">
        <v>830</v>
      </c>
      <c r="P1" s="578"/>
      <c r="Q1" s="575" t="s">
        <v>831</v>
      </c>
      <c r="R1" s="575"/>
      <c r="S1" s="575" t="s">
        <v>832</v>
      </c>
      <c r="T1" s="575"/>
      <c r="U1" s="575" t="s">
        <v>833</v>
      </c>
      <c r="V1" s="575"/>
      <c r="W1" s="575" t="s">
        <v>834</v>
      </c>
      <c r="X1" s="575"/>
      <c r="Y1" s="575" t="s">
        <v>835</v>
      </c>
      <c r="Z1" s="575"/>
      <c r="AA1" s="579" t="s">
        <v>836</v>
      </c>
      <c r="AB1" s="580" t="s">
        <v>837</v>
      </c>
      <c r="AC1" s="581" t="s">
        <v>838</v>
      </c>
      <c r="AD1" s="582"/>
    </row>
    <row r="2">
      <c r="A2" s="570"/>
      <c r="B2" s="571"/>
      <c r="C2" s="570"/>
      <c r="D2" s="570"/>
      <c r="E2" s="572"/>
      <c r="F2" s="573"/>
      <c r="G2" s="574" t="s">
        <v>839</v>
      </c>
      <c r="H2" s="583" t="s">
        <v>840</v>
      </c>
      <c r="I2" s="584" t="s">
        <v>839</v>
      </c>
      <c r="J2" s="585" t="s">
        <v>840</v>
      </c>
      <c r="K2" s="584" t="s">
        <v>839</v>
      </c>
      <c r="L2" s="585" t="s">
        <v>840</v>
      </c>
      <c r="M2" s="584" t="s">
        <v>839</v>
      </c>
      <c r="N2" s="585" t="s">
        <v>840</v>
      </c>
      <c r="O2" s="584" t="s">
        <v>839</v>
      </c>
      <c r="P2" s="586" t="s">
        <v>840</v>
      </c>
      <c r="Q2" s="584" t="s">
        <v>839</v>
      </c>
      <c r="R2" s="585" t="s">
        <v>840</v>
      </c>
      <c r="S2" s="584" t="s">
        <v>839</v>
      </c>
      <c r="T2" s="585" t="s">
        <v>840</v>
      </c>
      <c r="U2" s="584" t="s">
        <v>839</v>
      </c>
      <c r="V2" s="585" t="s">
        <v>840</v>
      </c>
      <c r="W2" s="584" t="s">
        <v>839</v>
      </c>
      <c r="X2" s="585" t="s">
        <v>840</v>
      </c>
      <c r="Y2" s="584" t="s">
        <v>839</v>
      </c>
      <c r="Z2" s="585" t="s">
        <v>840</v>
      </c>
      <c r="AA2" s="579"/>
      <c r="AB2" s="580"/>
      <c r="AC2" s="581"/>
      <c r="AD2" s="582"/>
    </row>
    <row r="3">
      <c r="A3" s="587">
        <v>1</v>
      </c>
      <c r="B3" s="587" t="s">
        <v>841</v>
      </c>
      <c r="C3" s="588">
        <v>697884024095200</v>
      </c>
      <c r="D3" s="589" t="s">
        <v>842</v>
      </c>
      <c r="E3" s="590">
        <v>18.5</v>
      </c>
      <c r="F3" s="591">
        <v>80</v>
      </c>
      <c r="G3" s="592">
        <v>5000</v>
      </c>
      <c r="H3" s="593">
        <f t="shared" ref="H3:H15" si="5">G3*E3</f>
      </c>
      <c r="I3" s="594">
        <v>0</v>
      </c>
      <c r="J3" s="595">
        <f t="shared" ref="J3:J15" si="0">I3*E3</f>
      </c>
      <c r="K3" s="594">
        <v>0</v>
      </c>
      <c r="L3" s="595">
        <f t="shared" ref="L3:L15" si="12">K3*E3</f>
      </c>
      <c r="M3" s="594">
        <v>0</v>
      </c>
      <c r="N3" s="595">
        <f t="shared" ref="N3:N8" si="7">M3*F3</f>
      </c>
      <c r="O3" s="594">
        <v>0</v>
      </c>
      <c r="P3" s="595">
        <f t="shared" ref="P3:P15" si="6">O3*E3</f>
      </c>
      <c r="Q3" s="594">
        <v>0</v>
      </c>
      <c r="R3" s="595">
        <f t="shared" ref="R3:R15" si="1">Q3*E3</f>
      </c>
      <c r="S3" s="594">
        <v>0</v>
      </c>
      <c r="T3" s="595">
        <f t="shared" ref="T3:T15" si="13">S3*E3</f>
      </c>
      <c r="U3" s="594">
        <v>0</v>
      </c>
      <c r="V3" s="595">
        <f t="shared" ref="V3:V15" si="9">U3*E3</f>
      </c>
      <c r="W3" s="594">
        <v>0</v>
      </c>
      <c r="X3" s="595">
        <f t="shared" ref="X3:X15" si="2">W3*E3</f>
      </c>
      <c r="Y3" s="594">
        <v>0</v>
      </c>
      <c r="Z3" s="595">
        <f t="shared" ref="Z3:Z12" si="3">Y3*G3</f>
      </c>
      <c r="AA3" s="596">
        <f t="shared" ref="AA3:AA12" si="14">G3-I3-K3-M3-O3-Q3-S3-U3-W3</f>
      </c>
      <c r="AB3" s="591">
        <f t="shared" ref="AB3:AB4" si="10">AA3</f>
      </c>
      <c r="AC3" s="587">
        <v>0</v>
      </c>
      <c r="AD3" s="582"/>
    </row>
    <row r="4">
      <c r="A4" s="587"/>
      <c r="B4" s="587"/>
      <c r="C4" s="588">
        <v>697884024090700</v>
      </c>
      <c r="D4" s="597" t="s">
        <v>843</v>
      </c>
      <c r="E4" s="590">
        <v>14.2</v>
      </c>
      <c r="F4" s="591">
        <v>40</v>
      </c>
      <c r="G4" s="592">
        <v>10000</v>
      </c>
      <c r="H4" s="593">
        <f t="shared" si="5"/>
      </c>
      <c r="I4" s="594">
        <v>7200</v>
      </c>
      <c r="J4" s="595">
        <f t="shared" si="0"/>
      </c>
      <c r="K4" s="594">
        <v>0</v>
      </c>
      <c r="L4" s="595">
        <f t="shared" si="12"/>
      </c>
      <c r="M4" s="594">
        <v>0</v>
      </c>
      <c r="N4" s="595">
        <f t="shared" si="7"/>
      </c>
      <c r="O4" s="594">
        <v>0</v>
      </c>
      <c r="P4" s="595">
        <f t="shared" si="6"/>
      </c>
      <c r="Q4" s="594">
        <v>0</v>
      </c>
      <c r="R4" s="595">
        <f t="shared" si="1"/>
      </c>
      <c r="S4" s="594">
        <v>0</v>
      </c>
      <c r="T4" s="595">
        <f t="shared" si="13"/>
      </c>
      <c r="U4" s="594">
        <v>0</v>
      </c>
      <c r="V4" s="595">
        <f t="shared" si="9"/>
      </c>
      <c r="W4" s="594">
        <v>0</v>
      </c>
      <c r="X4" s="595">
        <f t="shared" si="2"/>
      </c>
      <c r="Y4" s="594">
        <v>0</v>
      </c>
      <c r="Z4" s="595">
        <f t="shared" si="3"/>
      </c>
      <c r="AA4" s="596">
        <f t="shared" si="14"/>
      </c>
      <c r="AB4" s="591">
        <f t="shared" si="10"/>
      </c>
      <c r="AC4" s="587">
        <v>0</v>
      </c>
      <c r="AD4" s="582"/>
    </row>
    <row r="5">
      <c r="A5" s="587"/>
      <c r="B5" s="587"/>
      <c r="C5" s="588">
        <v>697884024098300</v>
      </c>
      <c r="D5" s="597" t="s">
        <v>844</v>
      </c>
      <c r="E5" s="590">
        <v>38.7</v>
      </c>
      <c r="F5" s="591">
        <v>40</v>
      </c>
      <c r="G5" s="592">
        <v>5000</v>
      </c>
      <c r="H5" s="593">
        <f t="shared" si="5"/>
      </c>
      <c r="I5" s="594">
        <v>0</v>
      </c>
      <c r="J5" s="595">
        <f t="shared" si="0"/>
      </c>
      <c r="K5" s="594">
        <v>0</v>
      </c>
      <c r="L5" s="595">
        <f t="shared" si="12"/>
      </c>
      <c r="M5" s="594">
        <v>0</v>
      </c>
      <c r="N5" s="595">
        <f t="shared" si="7"/>
      </c>
      <c r="O5" s="594">
        <v>0</v>
      </c>
      <c r="P5" s="595">
        <f t="shared" si="6"/>
      </c>
      <c r="Q5" s="594">
        <v>0</v>
      </c>
      <c r="R5" s="595">
        <f t="shared" si="1"/>
      </c>
      <c r="S5" s="594">
        <v>0</v>
      </c>
      <c r="T5" s="595">
        <f t="shared" si="13"/>
      </c>
      <c r="U5" s="594">
        <v>1000</v>
      </c>
      <c r="V5" s="595">
        <f t="shared" si="9"/>
      </c>
      <c r="W5" s="594">
        <v>0</v>
      </c>
      <c r="X5" s="595">
        <f t="shared" si="2"/>
      </c>
      <c r="Y5" s="594">
        <v>0</v>
      </c>
      <c r="Z5" s="595">
        <f t="shared" si="3"/>
      </c>
      <c r="AA5" s="596">
        <f t="shared" si="14"/>
      </c>
      <c r="AB5" s="591">
        <f>AA5-U5</f>
      </c>
      <c r="AC5" s="587">
        <v>0</v>
      </c>
      <c r="AD5" s="582"/>
    </row>
    <row r="6">
      <c r="A6" s="587"/>
      <c r="B6" s="587"/>
      <c r="C6" s="588">
        <v>697884024105800</v>
      </c>
      <c r="D6" s="589" t="s">
        <v>845</v>
      </c>
      <c r="E6" s="590">
        <v>79</v>
      </c>
      <c r="F6" s="591">
        <v>10</v>
      </c>
      <c r="G6" s="592">
        <v>2000</v>
      </c>
      <c r="H6" s="593">
        <f t="shared" si="5"/>
      </c>
      <c r="I6" s="594">
        <v>0</v>
      </c>
      <c r="J6" s="595">
        <f t="shared" si="0"/>
      </c>
      <c r="K6" s="594">
        <v>0</v>
      </c>
      <c r="L6" s="595">
        <f t="shared" si="12"/>
      </c>
      <c r="M6" s="594">
        <v>0</v>
      </c>
      <c r="N6" s="595">
        <f t="shared" si="7"/>
      </c>
      <c r="O6" s="594">
        <v>0</v>
      </c>
      <c r="P6" s="595">
        <f t="shared" si="6"/>
      </c>
      <c r="Q6" s="594">
        <v>10</v>
      </c>
      <c r="R6" s="595">
        <f t="shared" si="1"/>
      </c>
      <c r="S6" s="594">
        <v>1820</v>
      </c>
      <c r="T6" s="595">
        <f t="shared" si="13"/>
      </c>
      <c r="U6" s="594">
        <v>0</v>
      </c>
      <c r="V6" s="595">
        <f t="shared" si="9"/>
      </c>
      <c r="W6" s="594">
        <v>0</v>
      </c>
      <c r="X6" s="595">
        <f t="shared" si="2"/>
      </c>
      <c r="Y6" s="594">
        <v>0</v>
      </c>
      <c r="Z6" s="595">
        <f t="shared" si="3"/>
      </c>
      <c r="AA6" s="596">
        <f t="shared" si="14"/>
      </c>
      <c r="AB6" s="591">
        <f t="shared" ref="AB6:AB15" si="11">AA6</f>
      </c>
      <c r="AC6" s="587">
        <v>0</v>
      </c>
      <c r="AD6" s="582"/>
    </row>
    <row r="7">
      <c r="A7" s="587"/>
      <c r="B7" s="587"/>
      <c r="C7" s="588">
        <v>697884024106500</v>
      </c>
      <c r="D7" s="589" t="s">
        <v>846</v>
      </c>
      <c r="E7" s="590">
        <v>108</v>
      </c>
      <c r="F7" s="591">
        <v>10</v>
      </c>
      <c r="G7" s="592">
        <v>1000</v>
      </c>
      <c r="H7" s="593">
        <f t="shared" si="5"/>
      </c>
      <c r="I7" s="594">
        <v>0</v>
      </c>
      <c r="J7" s="595">
        <f t="shared" si="0"/>
      </c>
      <c r="K7" s="594">
        <v>0</v>
      </c>
      <c r="L7" s="595">
        <f t="shared" si="12"/>
      </c>
      <c r="M7" s="594">
        <v>0</v>
      </c>
      <c r="N7" s="595">
        <f t="shared" si="7"/>
      </c>
      <c r="O7" s="594">
        <v>0</v>
      </c>
      <c r="P7" s="595">
        <f t="shared" si="6"/>
      </c>
      <c r="Q7" s="594">
        <v>10</v>
      </c>
      <c r="R7" s="595">
        <f t="shared" si="1"/>
      </c>
      <c r="S7" s="594">
        <v>880</v>
      </c>
      <c r="T7" s="595">
        <f t="shared" si="13"/>
      </c>
      <c r="U7" s="594">
        <v>0</v>
      </c>
      <c r="V7" s="595">
        <f t="shared" si="9"/>
      </c>
      <c r="W7" s="594">
        <v>0</v>
      </c>
      <c r="X7" s="595">
        <f t="shared" si="2"/>
      </c>
      <c r="Y7" s="594">
        <v>0</v>
      </c>
      <c r="Z7" s="595">
        <f t="shared" si="3"/>
      </c>
      <c r="AA7" s="596">
        <f t="shared" si="14"/>
      </c>
      <c r="AB7" s="591">
        <f t="shared" si="11"/>
      </c>
      <c r="AC7" s="587">
        <v>0</v>
      </c>
      <c r="AD7" s="582"/>
    </row>
    <row r="8">
      <c r="A8" s="587"/>
      <c r="B8" s="587"/>
      <c r="C8" s="588">
        <v>697884024099000</v>
      </c>
      <c r="D8" s="589" t="s">
        <v>847</v>
      </c>
      <c r="E8" s="590">
        <v>15</v>
      </c>
      <c r="F8" s="591">
        <v>60</v>
      </c>
      <c r="G8" s="592">
        <v>3000</v>
      </c>
      <c r="H8" s="593">
        <f t="shared" si="5"/>
      </c>
      <c r="I8" s="594">
        <v>0</v>
      </c>
      <c r="J8" s="595">
        <f t="shared" si="0"/>
      </c>
      <c r="K8" s="594">
        <v>1000</v>
      </c>
      <c r="L8" s="595">
        <f t="shared" si="12"/>
      </c>
      <c r="M8" s="594">
        <v>0</v>
      </c>
      <c r="N8" s="595">
        <f t="shared" si="7"/>
      </c>
      <c r="O8" s="594">
        <v>0</v>
      </c>
      <c r="P8" s="595">
        <f t="shared" si="6"/>
      </c>
      <c r="Q8" s="594">
        <v>0</v>
      </c>
      <c r="R8" s="595">
        <f t="shared" si="1"/>
      </c>
      <c r="S8" s="594">
        <v>0</v>
      </c>
      <c r="T8" s="595">
        <f t="shared" si="13"/>
      </c>
      <c r="U8" s="594">
        <v>0</v>
      </c>
      <c r="V8" s="595">
        <f t="shared" si="9"/>
      </c>
      <c r="W8" s="594">
        <v>0</v>
      </c>
      <c r="X8" s="595">
        <f t="shared" si="2"/>
      </c>
      <c r="Y8" s="594">
        <v>0</v>
      </c>
      <c r="Z8" s="595">
        <f t="shared" si="3"/>
      </c>
      <c r="AA8" s="596">
        <f t="shared" si="14"/>
      </c>
      <c r="AB8" s="591">
        <f t="shared" si="11"/>
      </c>
      <c r="AC8" s="587">
        <v>0</v>
      </c>
      <c r="AD8" s="582"/>
    </row>
    <row r="9">
      <c r="A9" s="587"/>
      <c r="B9" s="587"/>
      <c r="C9" s="588">
        <v>697884024100300</v>
      </c>
      <c r="D9" s="589" t="s">
        <v>848</v>
      </c>
      <c r="E9" s="590">
        <v>19.1</v>
      </c>
      <c r="F9" s="591">
        <v>60</v>
      </c>
      <c r="G9" s="592">
        <v>3000</v>
      </c>
      <c r="H9" s="593">
        <f t="shared" si="5"/>
      </c>
      <c r="I9" s="594">
        <v>0</v>
      </c>
      <c r="J9" s="595">
        <f t="shared" si="0"/>
      </c>
      <c r="K9" s="594">
        <v>0</v>
      </c>
      <c r="L9" s="595">
        <f t="shared" si="12"/>
      </c>
      <c r="M9" s="594">
        <v>1000</v>
      </c>
      <c r="N9" s="595">
        <f>M9*E9</f>
      </c>
      <c r="O9" s="594">
        <v>0</v>
      </c>
      <c r="P9" s="595">
        <f t="shared" si="6"/>
      </c>
      <c r="Q9" s="594">
        <v>0</v>
      </c>
      <c r="R9" s="595">
        <f t="shared" si="1"/>
      </c>
      <c r="S9" s="594">
        <v>0</v>
      </c>
      <c r="T9" s="595">
        <f t="shared" si="13"/>
      </c>
      <c r="U9" s="594">
        <v>0</v>
      </c>
      <c r="V9" s="595">
        <f t="shared" si="9"/>
      </c>
      <c r="W9" s="594">
        <v>0</v>
      </c>
      <c r="X9" s="595">
        <f t="shared" si="2"/>
      </c>
      <c r="Y9" s="594">
        <v>0</v>
      </c>
      <c r="Z9" s="595">
        <f t="shared" si="3"/>
      </c>
      <c r="AA9" s="596">
        <f t="shared" si="14"/>
      </c>
      <c r="AB9" s="591">
        <f t="shared" si="11"/>
      </c>
      <c r="AC9" s="587">
        <v>0</v>
      </c>
      <c r="AD9" s="582"/>
    </row>
    <row r="10">
      <c r="A10" s="587"/>
      <c r="B10" s="587"/>
      <c r="C10" s="588">
        <v>697884024101000</v>
      </c>
      <c r="D10" s="589" t="s">
        <v>849</v>
      </c>
      <c r="E10" s="590">
        <v>30</v>
      </c>
      <c r="F10" s="591">
        <v>60</v>
      </c>
      <c r="G10" s="592">
        <v>3000</v>
      </c>
      <c r="H10" s="593">
        <f t="shared" si="5"/>
      </c>
      <c r="I10" s="594">
        <v>0</v>
      </c>
      <c r="J10" s="595">
        <f t="shared" si="0"/>
      </c>
      <c r="K10" s="594">
        <v>940</v>
      </c>
      <c r="L10" s="595">
        <f t="shared" si="12"/>
      </c>
      <c r="M10" s="594">
        <v>0</v>
      </c>
      <c r="N10" s="595">
        <f t="shared" ref="N10:N15" si="8">M10*F10</f>
      </c>
      <c r="O10" s="594">
        <v>0</v>
      </c>
      <c r="P10" s="595">
        <f t="shared" si="6"/>
      </c>
      <c r="Q10" s="594">
        <v>0</v>
      </c>
      <c r="R10" s="595">
        <f t="shared" si="1"/>
      </c>
      <c r="S10" s="594">
        <v>0</v>
      </c>
      <c r="T10" s="595">
        <f t="shared" si="13"/>
      </c>
      <c r="U10" s="594">
        <v>0</v>
      </c>
      <c r="V10" s="595">
        <f t="shared" si="9"/>
      </c>
      <c r="W10" s="594">
        <v>0</v>
      </c>
      <c r="X10" s="595">
        <f t="shared" si="2"/>
      </c>
      <c r="Y10" s="594">
        <v>0</v>
      </c>
      <c r="Z10" s="595">
        <f t="shared" si="3"/>
      </c>
      <c r="AA10" s="596">
        <f t="shared" si="14"/>
      </c>
      <c r="AB10" s="591">
        <f t="shared" si="11"/>
      </c>
      <c r="AC10" s="587">
        <v>0</v>
      </c>
      <c r="AD10" s="582"/>
    </row>
    <row r="11">
      <c r="A11" s="587"/>
      <c r="B11" s="587"/>
      <c r="C11" s="588">
        <v>697884024102700</v>
      </c>
      <c r="D11" s="589" t="s">
        <v>850</v>
      </c>
      <c r="E11" s="590">
        <v>46</v>
      </c>
      <c r="F11" s="591">
        <v>60</v>
      </c>
      <c r="G11" s="592">
        <v>3000</v>
      </c>
      <c r="H11" s="593">
        <f t="shared" si="5"/>
      </c>
      <c r="I11" s="594">
        <v>0</v>
      </c>
      <c r="J11" s="595">
        <f t="shared" si="0"/>
      </c>
      <c r="K11" s="594">
        <v>1000</v>
      </c>
      <c r="L11" s="595">
        <f t="shared" si="12"/>
      </c>
      <c r="M11" s="594">
        <v>0</v>
      </c>
      <c r="N11" s="595">
        <f t="shared" si="8"/>
      </c>
      <c r="O11" s="594">
        <v>0</v>
      </c>
      <c r="P11" s="595">
        <f t="shared" si="6"/>
      </c>
      <c r="Q11" s="594">
        <v>0</v>
      </c>
      <c r="R11" s="595">
        <f t="shared" si="1"/>
      </c>
      <c r="S11" s="594">
        <v>0</v>
      </c>
      <c r="T11" s="595">
        <f t="shared" si="13"/>
      </c>
      <c r="U11" s="594">
        <v>0</v>
      </c>
      <c r="V11" s="595">
        <f t="shared" si="9"/>
      </c>
      <c r="W11" s="594">
        <v>0</v>
      </c>
      <c r="X11" s="595">
        <f t="shared" si="2"/>
      </c>
      <c r="Y11" s="594">
        <v>0</v>
      </c>
      <c r="Z11" s="595">
        <f t="shared" si="3"/>
      </c>
      <c r="AA11" s="596">
        <f t="shared" si="14"/>
      </c>
      <c r="AB11" s="591">
        <f t="shared" si="11"/>
      </c>
      <c r="AC11" s="587">
        <v>0</v>
      </c>
      <c r="AD11" s="582"/>
    </row>
    <row r="12">
      <c r="A12" s="587"/>
      <c r="B12" s="587"/>
      <c r="C12" s="588">
        <v>697884024103400</v>
      </c>
      <c r="D12" s="597" t="s">
        <v>851</v>
      </c>
      <c r="E12" s="590">
        <v>56</v>
      </c>
      <c r="F12" s="591">
        <v>6</v>
      </c>
      <c r="G12" s="592">
        <v>3000</v>
      </c>
      <c r="H12" s="593">
        <f t="shared" si="5"/>
      </c>
      <c r="I12" s="594">
        <v>0</v>
      </c>
      <c r="J12" s="595">
        <f t="shared" si="0"/>
      </c>
      <c r="K12" s="594">
        <v>0</v>
      </c>
      <c r="L12" s="595">
        <f t="shared" si="12"/>
      </c>
      <c r="M12" s="594">
        <v>0</v>
      </c>
      <c r="N12" s="595">
        <f t="shared" si="8"/>
      </c>
      <c r="O12" s="594">
        <v>0</v>
      </c>
      <c r="P12" s="595">
        <f t="shared" si="6"/>
      </c>
      <c r="Q12" s="594">
        <v>0</v>
      </c>
      <c r="R12" s="595">
        <f t="shared" si="1"/>
      </c>
      <c r="S12" s="594">
        <v>0</v>
      </c>
      <c r="T12" s="595">
        <f t="shared" si="13"/>
      </c>
      <c r="U12" s="594">
        <v>0</v>
      </c>
      <c r="V12" s="595">
        <f t="shared" si="9"/>
      </c>
      <c r="W12" s="594">
        <v>1050</v>
      </c>
      <c r="X12" s="595">
        <f t="shared" si="2"/>
      </c>
      <c r="Y12" s="594">
        <v>0</v>
      </c>
      <c r="Z12" s="595">
        <f t="shared" si="3"/>
      </c>
      <c r="AA12" s="596">
        <f t="shared" si="14"/>
      </c>
      <c r="AB12" s="591">
        <f t="shared" si="11"/>
      </c>
      <c r="AC12" s="587">
        <v>0</v>
      </c>
      <c r="AD12" s="582"/>
    </row>
    <row r="13">
      <c r="A13" s="587"/>
      <c r="B13" s="587"/>
      <c r="C13" s="588">
        <v>697884024104100</v>
      </c>
      <c r="D13" s="597" t="s">
        <v>852</v>
      </c>
      <c r="E13" s="598">
        <v>143</v>
      </c>
      <c r="F13" s="591">
        <v>6</v>
      </c>
      <c r="G13" s="592">
        <v>3000</v>
      </c>
      <c r="H13" s="593">
        <f t="shared" si="5"/>
      </c>
      <c r="I13" s="594">
        <v>0</v>
      </c>
      <c r="J13" s="595">
        <f t="shared" si="0"/>
      </c>
      <c r="K13" s="594">
        <v>0</v>
      </c>
      <c r="L13" s="595">
        <f t="shared" si="12"/>
      </c>
      <c r="M13" s="594">
        <v>0</v>
      </c>
      <c r="N13" s="595">
        <f t="shared" si="8"/>
      </c>
      <c r="O13" s="594">
        <v>0</v>
      </c>
      <c r="P13" s="595">
        <f t="shared" si="6"/>
      </c>
      <c r="Q13" s="594">
        <v>0</v>
      </c>
      <c r="R13" s="595">
        <f t="shared" si="1"/>
      </c>
      <c r="S13" s="594">
        <v>0</v>
      </c>
      <c r="T13" s="595">
        <f t="shared" si="13"/>
      </c>
      <c r="U13" s="594">
        <v>0</v>
      </c>
      <c r="V13" s="595">
        <f t="shared" si="9"/>
      </c>
      <c r="W13" s="594">
        <v>0</v>
      </c>
      <c r="X13" s="595">
        <f t="shared" si="2"/>
      </c>
      <c r="Y13" s="594">
        <v>840</v>
      </c>
      <c r="Z13" s="595">
        <f>Y13*E13</f>
      </c>
      <c r="AA13" s="599">
        <f>G13-I13-K13-M13-O13-Q13-S13-U13-W13-Y13</f>
      </c>
      <c r="AB13" s="591">
        <f t="shared" si="11"/>
      </c>
      <c r="AC13" s="587">
        <v>0</v>
      </c>
      <c r="AD13" s="582"/>
    </row>
    <row r="14">
      <c r="A14" s="587"/>
      <c r="B14" s="587"/>
      <c r="C14" s="600">
        <v>697884024097600</v>
      </c>
      <c r="D14" s="597" t="s">
        <v>853</v>
      </c>
      <c r="E14" s="590">
        <v>10.9</v>
      </c>
      <c r="F14" s="591">
        <v>200</v>
      </c>
      <c r="G14" s="592">
        <v>5000</v>
      </c>
      <c r="H14" s="593">
        <f t="shared" si="5"/>
      </c>
      <c r="I14" s="594">
        <v>0</v>
      </c>
      <c r="J14" s="595">
        <f t="shared" si="0"/>
      </c>
      <c r="K14" s="594">
        <v>0</v>
      </c>
      <c r="L14" s="595">
        <f t="shared" si="12"/>
      </c>
      <c r="M14" s="594">
        <v>0</v>
      </c>
      <c r="N14" s="595">
        <f t="shared" si="8"/>
      </c>
      <c r="O14" s="594">
        <v>4959</v>
      </c>
      <c r="P14" s="595">
        <f t="shared" si="6"/>
      </c>
      <c r="Q14" s="594">
        <v>0</v>
      </c>
      <c r="R14" s="595">
        <f t="shared" si="1"/>
      </c>
      <c r="S14" s="594">
        <v>0</v>
      </c>
      <c r="T14" s="595">
        <f t="shared" si="13"/>
      </c>
      <c r="U14" s="594">
        <v>0</v>
      </c>
      <c r="V14" s="595">
        <f t="shared" si="9"/>
      </c>
      <c r="W14" s="594">
        <v>0</v>
      </c>
      <c r="X14" s="595">
        <f t="shared" si="2"/>
      </c>
      <c r="Y14" s="594">
        <v>0</v>
      </c>
      <c r="Z14" s="595">
        <f t="shared" ref="Z14:Z15" si="4">Y14*G14</f>
      </c>
      <c r="AA14" s="596">
        <f t="shared" ref="AA14:AA16" si="15">G14-I14-K14-M14-O14-Q14-S14-U14-W14</f>
      </c>
      <c r="AB14" s="591">
        <f t="shared" si="11"/>
      </c>
      <c r="AC14" s="587">
        <v>0</v>
      </c>
      <c r="AD14" s="582"/>
    </row>
    <row r="15">
      <c r="A15" s="601"/>
      <c r="B15" s="601"/>
      <c r="C15" s="602">
        <v>697884024096900</v>
      </c>
      <c r="D15" s="603" t="s">
        <v>854</v>
      </c>
      <c r="E15" s="604">
        <v>14.4</v>
      </c>
      <c r="F15" s="605">
        <v>200</v>
      </c>
      <c r="G15" s="606">
        <v>5000</v>
      </c>
      <c r="H15" s="607">
        <f t="shared" si="5"/>
      </c>
      <c r="I15" s="594">
        <v>0</v>
      </c>
      <c r="J15" s="595">
        <f t="shared" si="0"/>
      </c>
      <c r="K15" s="594">
        <v>0</v>
      </c>
      <c r="L15" s="595">
        <f t="shared" si="12"/>
      </c>
      <c r="M15" s="594">
        <v>0</v>
      </c>
      <c r="N15" s="595">
        <f t="shared" si="8"/>
      </c>
      <c r="O15" s="594">
        <v>5000</v>
      </c>
      <c r="P15" s="595">
        <f t="shared" si="6"/>
      </c>
      <c r="Q15" s="594">
        <v>0</v>
      </c>
      <c r="R15" s="595">
        <f t="shared" si="1"/>
      </c>
      <c r="S15" s="594">
        <v>0</v>
      </c>
      <c r="T15" s="595">
        <f t="shared" si="13"/>
      </c>
      <c r="U15" s="594">
        <v>0</v>
      </c>
      <c r="V15" s="595">
        <f t="shared" si="9"/>
      </c>
      <c r="W15" s="594">
        <v>0</v>
      </c>
      <c r="X15" s="595">
        <f t="shared" si="2"/>
      </c>
      <c r="Y15" s="594">
        <v>0</v>
      </c>
      <c r="Z15" s="595">
        <f t="shared" si="4"/>
      </c>
      <c r="AA15" s="596">
        <f t="shared" si="15"/>
      </c>
      <c r="AB15" s="591">
        <f t="shared" si="11"/>
      </c>
      <c r="AC15" s="587">
        <v>0</v>
      </c>
      <c r="AD15" s="582"/>
    </row>
    <row r="16">
      <c r="A16" s="573" t="s">
        <v>855</v>
      </c>
      <c r="B16" s="574"/>
      <c r="C16" s="574"/>
      <c r="D16" s="608"/>
      <c r="E16" s="574"/>
      <c r="F16" s="574"/>
      <c r="G16" s="574">
        <f>SUM(G3:G15)</f>
      </c>
      <c r="H16" s="572">
        <f>SUM(H3:H15)</f>
      </c>
      <c r="I16" s="609">
        <f>SUM(I3:I15)</f>
      </c>
      <c r="J16" s="572">
        <f>SUM(J3:J15)</f>
      </c>
      <c r="K16" s="609">
        <f>SUM(K3:K15)</f>
      </c>
      <c r="L16" s="572">
        <f>SUM(L3:L15)</f>
      </c>
      <c r="M16" s="609">
        <f>SUM(M3:M15)</f>
      </c>
      <c r="N16" s="572">
        <f>SUM(N3:N15)</f>
      </c>
      <c r="O16" s="609">
        <f>SUM(O3:O15)</f>
      </c>
      <c r="P16" s="572">
        <f>SUM(P3:P15)</f>
      </c>
      <c r="Q16" s="609">
        <f>SUM(Q3:Q15)</f>
      </c>
      <c r="R16" s="572">
        <f>SUM(R3:R15)</f>
      </c>
      <c r="S16" s="609">
        <f>SUM(S3:S15)</f>
      </c>
      <c r="T16" s="572">
        <f>SUM(T3:T15)</f>
      </c>
      <c r="U16" s="609">
        <f>SUM(U3:U15)</f>
      </c>
      <c r="V16" s="610">
        <f>SUM(V3:V15)</f>
      </c>
      <c r="W16" s="609">
        <f>SUM(W3:W15)</f>
      </c>
      <c r="X16" s="610">
        <f>SUM(X3:X15)</f>
      </c>
      <c r="Y16" s="609">
        <f>SUM(Y3:Y15)</f>
      </c>
      <c r="Z16" s="610">
        <f>SUM(Z3:Z15)</f>
      </c>
      <c r="AA16" s="596">
        <f t="shared" si="15"/>
      </c>
      <c r="AB16" s="609">
        <f>SUM(AB3:AB15)</f>
      </c>
      <c r="AC16" s="611">
        <f>SUM(AC3:AC15)</f>
      </c>
      <c r="AD16" s="612"/>
    </row>
    <row r="17">
      <c r="A17" s="570" t="s">
        <v>856</v>
      </c>
      <c r="B17" s="613"/>
      <c r="C17" s="613"/>
      <c r="D17" s="614"/>
      <c r="E17" s="615"/>
      <c r="F17" s="591"/>
      <c r="G17" s="616"/>
      <c r="H17" s="616"/>
      <c r="I17" s="617" t="s">
        <v>857</v>
      </c>
      <c r="J17" s="618"/>
      <c r="K17" s="617" t="s">
        <v>858</v>
      </c>
      <c r="L17" s="617"/>
      <c r="M17" s="617" t="s">
        <v>859</v>
      </c>
      <c r="N17" s="617"/>
      <c r="O17" s="617" t="s">
        <v>860</v>
      </c>
      <c r="P17" s="617"/>
      <c r="Q17" s="617" t="s">
        <v>861</v>
      </c>
      <c r="R17" s="617"/>
      <c r="S17" s="617" t="s">
        <v>862</v>
      </c>
      <c r="T17" s="617"/>
      <c r="U17" s="617" t="s">
        <v>863</v>
      </c>
      <c r="V17" s="617"/>
      <c r="W17" s="617" t="s">
        <v>864</v>
      </c>
      <c r="X17" s="617"/>
      <c r="Y17" s="619" t="s">
        <v>865</v>
      </c>
      <c r="Z17" s="617"/>
      <c r="AA17" s="620"/>
      <c r="AB17" s="620"/>
      <c r="AC17" s="620"/>
      <c r="AD17" s="620"/>
    </row>
    <row r="18">
      <c r="A18" s="582"/>
      <c r="B18" s="582"/>
      <c r="C18" s="582"/>
      <c r="D18" s="621"/>
      <c r="E18" s="622"/>
      <c r="F18" s="582"/>
      <c r="G18" s="582"/>
      <c r="H18" s="623"/>
      <c r="I18" s="624"/>
      <c r="J18" s="623"/>
      <c r="K18" s="624"/>
      <c r="L18" s="623"/>
      <c r="M18" s="623"/>
      <c r="N18" s="623"/>
      <c r="O18" s="623"/>
      <c r="P18" s="623"/>
      <c r="Q18" s="623"/>
      <c r="R18" s="623"/>
      <c r="S18" s="623"/>
      <c r="T18" s="623"/>
      <c r="U18" s="623"/>
      <c r="V18" s="623"/>
      <c r="W18" s="623"/>
      <c r="X18" s="623"/>
      <c r="Y18" s="623"/>
      <c r="Z18" s="623"/>
      <c r="AA18" s="625"/>
      <c r="AB18" s="582"/>
      <c r="AC18" s="582"/>
      <c r="AD18" s="582"/>
    </row>
    <row r="19">
      <c r="A19" s="582"/>
      <c r="B19" s="582"/>
      <c r="C19" s="582"/>
      <c r="D19" s="621"/>
      <c r="E19" s="622"/>
      <c r="F19" s="582"/>
      <c r="G19" s="582"/>
      <c r="H19" s="623"/>
      <c r="I19" s="624"/>
      <c r="J19" s="623"/>
      <c r="K19" s="624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582"/>
      <c r="AB19" s="582"/>
      <c r="AC19" s="582"/>
      <c r="AD19" s="582"/>
    </row>
    <row r="20">
      <c r="A20" s="582"/>
      <c r="B20" s="582"/>
      <c r="C20" s="582"/>
      <c r="D20" s="621"/>
      <c r="E20" s="622"/>
      <c r="F20" s="582"/>
      <c r="G20" s="582"/>
      <c r="H20" s="623"/>
      <c r="I20" s="624"/>
      <c r="J20" s="623"/>
      <c r="K20" s="624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582"/>
      <c r="AB20" s="582"/>
      <c r="AC20" s="582"/>
      <c r="AD20" s="582"/>
    </row>
    <row r="21">
      <c r="A21" s="582"/>
      <c r="B21" s="582"/>
      <c r="C21" s="582"/>
      <c r="D21" s="621"/>
      <c r="E21" s="622"/>
      <c r="F21" s="582"/>
      <c r="G21" s="582"/>
      <c r="H21" s="623"/>
      <c r="I21" s="624"/>
      <c r="J21" s="623"/>
      <c r="K21" s="624"/>
      <c r="L21" s="623"/>
      <c r="M21" s="623"/>
      <c r="N21" s="623"/>
      <c r="O21" s="623"/>
      <c r="P21" s="623"/>
      <c r="Q21" s="623"/>
      <c r="R21" s="623"/>
      <c r="S21" s="623"/>
      <c r="T21" s="623"/>
      <c r="U21" s="623"/>
      <c r="V21" s="623"/>
      <c r="W21" s="623"/>
      <c r="X21" s="623"/>
      <c r="Y21" s="623"/>
      <c r="Z21" s="623"/>
      <c r="AA21" s="582"/>
      <c r="AB21" s="582"/>
      <c r="AC21" s="582"/>
      <c r="AD21" s="582"/>
    </row>
    <row r="22">
      <c r="A22" s="582"/>
      <c r="B22" s="582"/>
      <c r="C22" s="582"/>
      <c r="D22" s="621"/>
      <c r="E22" s="622"/>
      <c r="F22" s="582"/>
      <c r="G22" s="582"/>
      <c r="H22" s="623"/>
      <c r="I22" s="624"/>
      <c r="J22" s="623"/>
      <c r="K22" s="624"/>
      <c r="L22" s="623"/>
      <c r="M22" s="623"/>
      <c r="N22" s="623"/>
      <c r="O22" s="623"/>
      <c r="P22" s="623"/>
      <c r="Q22" s="623"/>
      <c r="R22" s="623"/>
      <c r="S22" s="623"/>
      <c r="T22" s="623"/>
      <c r="U22" s="623"/>
      <c r="V22" s="623"/>
      <c r="W22" s="623"/>
      <c r="X22" s="623"/>
      <c r="Y22" s="623"/>
      <c r="Z22" s="623"/>
      <c r="AA22" s="582"/>
      <c r="AB22" s="582"/>
      <c r="AC22" s="582"/>
      <c r="AD22" s="582"/>
    </row>
    <row r="23">
      <c r="A23" s="582"/>
      <c r="B23" s="582"/>
      <c r="C23" s="582"/>
      <c r="D23" s="621"/>
      <c r="E23" s="622"/>
      <c r="F23" s="582"/>
      <c r="G23" s="582"/>
      <c r="H23" s="623"/>
      <c r="I23" s="624"/>
      <c r="J23" s="623"/>
      <c r="K23" s="624"/>
      <c r="L23" s="623"/>
      <c r="M23" s="623"/>
      <c r="N23" s="623"/>
      <c r="O23" s="623"/>
      <c r="P23" s="623"/>
      <c r="Q23" s="623"/>
      <c r="R23" s="623"/>
      <c r="S23" s="623"/>
      <c r="T23" s="623"/>
      <c r="U23" s="623"/>
      <c r="V23" s="623"/>
      <c r="W23" s="623"/>
      <c r="X23" s="623"/>
      <c r="Y23" s="623"/>
      <c r="Z23" s="623"/>
      <c r="AA23" s="582"/>
      <c r="AB23" s="582"/>
      <c r="AC23" s="582"/>
      <c r="AD23" s="582"/>
    </row>
    <row r="24">
      <c r="A24" s="582"/>
      <c r="B24" s="582"/>
      <c r="C24" s="582"/>
      <c r="D24" s="621"/>
      <c r="E24" s="622"/>
      <c r="F24" s="582"/>
      <c r="G24" s="582"/>
      <c r="H24" s="623"/>
      <c r="I24" s="624"/>
      <c r="J24" s="623"/>
      <c r="K24" s="624"/>
      <c r="L24" s="623"/>
      <c r="M24" s="623"/>
      <c r="N24" s="623"/>
      <c r="O24" s="623"/>
      <c r="P24" s="623"/>
      <c r="Q24" s="623"/>
      <c r="R24" s="623"/>
      <c r="S24" s="623"/>
      <c r="T24" s="623"/>
      <c r="U24" s="623"/>
      <c r="V24" s="623"/>
      <c r="W24" s="623"/>
      <c r="X24" s="623"/>
      <c r="Y24" s="623"/>
      <c r="Z24" s="623"/>
      <c r="AA24" s="582"/>
      <c r="AB24" s="582"/>
      <c r="AC24" s="582"/>
      <c r="AD24" s="582"/>
    </row>
    <row r="25">
      <c r="A25" s="582"/>
      <c r="B25" s="582"/>
      <c r="C25" s="582"/>
      <c r="D25" s="621"/>
      <c r="E25" s="622"/>
      <c r="F25" s="582"/>
      <c r="G25" s="582"/>
      <c r="H25" s="623"/>
      <c r="I25" s="624"/>
      <c r="J25" s="623"/>
      <c r="K25" s="624"/>
      <c r="L25" s="623"/>
      <c r="M25" s="623"/>
      <c r="N25" s="623"/>
      <c r="O25" s="623"/>
      <c r="P25" s="623"/>
      <c r="Q25" s="623"/>
      <c r="R25" s="623"/>
      <c r="S25" s="623"/>
      <c r="T25" s="623"/>
      <c r="U25" s="623"/>
      <c r="V25" s="623"/>
      <c r="W25" s="623"/>
      <c r="X25" s="623"/>
      <c r="Y25" s="623"/>
      <c r="Z25" s="623"/>
      <c r="AA25" s="582"/>
      <c r="AB25" s="582"/>
      <c r="AC25" s="582"/>
      <c r="AD25" s="582"/>
    </row>
    <row r="26">
      <c r="A26" s="582"/>
      <c r="B26" s="582"/>
      <c r="C26" s="582"/>
      <c r="D26" s="621"/>
      <c r="E26" s="622"/>
      <c r="F26" s="582"/>
      <c r="G26" s="582"/>
      <c r="H26" s="623"/>
      <c r="I26" s="624"/>
      <c r="J26" s="623"/>
      <c r="K26" s="624"/>
      <c r="L26" s="623"/>
      <c r="M26" s="623"/>
      <c r="N26" s="623"/>
      <c r="O26" s="623"/>
      <c r="P26" s="623"/>
      <c r="Q26" s="623"/>
      <c r="R26" s="623"/>
      <c r="S26" s="623"/>
      <c r="T26" s="623"/>
      <c r="U26" s="623"/>
      <c r="V26" s="623"/>
      <c r="W26" s="623"/>
      <c r="X26" s="623"/>
      <c r="Y26" s="623"/>
      <c r="Z26" s="623"/>
      <c r="AA26" s="582"/>
      <c r="AB26" s="582"/>
      <c r="AC26" s="582"/>
      <c r="AD26" s="582"/>
    </row>
    <row r="27">
      <c r="A27" s="582"/>
      <c r="B27" s="582"/>
      <c r="C27" s="582"/>
      <c r="D27" s="621"/>
      <c r="E27" s="622"/>
      <c r="F27" s="582"/>
      <c r="G27" s="582"/>
      <c r="H27" s="623"/>
      <c r="I27" s="624"/>
      <c r="J27" s="623"/>
      <c r="K27" s="624"/>
      <c r="L27" s="623"/>
      <c r="M27" s="623"/>
      <c r="N27" s="623"/>
      <c r="O27" s="623"/>
      <c r="P27" s="623"/>
      <c r="Q27" s="623"/>
      <c r="R27" s="623"/>
      <c r="S27" s="623"/>
      <c r="T27" s="623"/>
      <c r="U27" s="623"/>
      <c r="V27" s="623"/>
      <c r="W27" s="623"/>
      <c r="X27" s="623"/>
      <c r="Y27" s="623"/>
      <c r="Z27" s="623"/>
      <c r="AA27" s="582"/>
      <c r="AB27" s="582"/>
      <c r="AC27" s="582"/>
      <c r="AD27" s="582"/>
    </row>
    <row r="28">
      <c r="A28" s="582"/>
      <c r="B28" s="582"/>
      <c r="C28" s="582"/>
      <c r="D28" s="621"/>
      <c r="E28" s="622"/>
      <c r="F28" s="582"/>
      <c r="G28" s="582"/>
      <c r="H28" s="623"/>
      <c r="I28" s="624"/>
      <c r="J28" s="623"/>
      <c r="K28" s="624"/>
      <c r="L28" s="623"/>
      <c r="M28" s="623"/>
      <c r="N28" s="623"/>
      <c r="O28" s="623"/>
      <c r="P28" s="623"/>
      <c r="Q28" s="623"/>
      <c r="R28" s="623"/>
      <c r="S28" s="623"/>
      <c r="T28" s="623"/>
      <c r="U28" s="623"/>
      <c r="V28" s="623"/>
      <c r="W28" s="623"/>
      <c r="X28" s="623"/>
      <c r="Y28" s="623"/>
      <c r="Z28" s="623"/>
      <c r="AA28" s="582"/>
      <c r="AB28" s="582"/>
      <c r="AC28" s="582"/>
      <c r="AD28" s="582"/>
    </row>
    <row r="29">
      <c r="A29" s="582"/>
      <c r="B29" s="582"/>
      <c r="C29" s="582"/>
      <c r="D29" s="621"/>
      <c r="E29" s="622"/>
      <c r="F29" s="582"/>
      <c r="G29" s="582"/>
      <c r="H29" s="623"/>
      <c r="I29" s="624"/>
      <c r="J29" s="623"/>
      <c r="K29" s="624"/>
      <c r="L29" s="623"/>
      <c r="M29" s="623"/>
      <c r="N29" s="623"/>
      <c r="O29" s="623"/>
      <c r="P29" s="623"/>
      <c r="Q29" s="623"/>
      <c r="R29" s="623"/>
      <c r="S29" s="623"/>
      <c r="T29" s="623"/>
      <c r="U29" s="623"/>
      <c r="V29" s="623"/>
      <c r="W29" s="623"/>
      <c r="X29" s="623"/>
      <c r="Y29" s="623"/>
      <c r="Z29" s="623"/>
      <c r="AA29" s="582"/>
      <c r="AB29" s="582"/>
      <c r="AC29" s="582"/>
      <c r="AD29" s="582"/>
    </row>
    <row r="30">
      <c r="A30" s="582"/>
      <c r="B30" s="582"/>
      <c r="C30" s="582"/>
      <c r="D30" s="621"/>
      <c r="E30" s="622"/>
      <c r="F30" s="582"/>
      <c r="G30" s="582"/>
      <c r="H30" s="623"/>
      <c r="I30" s="624"/>
      <c r="J30" s="623"/>
      <c r="K30" s="624"/>
      <c r="L30" s="623"/>
      <c r="M30" s="623"/>
      <c r="N30" s="623"/>
      <c r="O30" s="623"/>
      <c r="P30" s="623"/>
      <c r="Q30" s="623"/>
      <c r="R30" s="623"/>
      <c r="S30" s="623"/>
      <c r="T30" s="623"/>
      <c r="U30" s="623"/>
      <c r="V30" s="623"/>
      <c r="W30" s="623"/>
      <c r="X30" s="623"/>
      <c r="Y30" s="623"/>
      <c r="Z30" s="623"/>
      <c r="AA30" s="582"/>
      <c r="AB30" s="582"/>
      <c r="AC30" s="582"/>
      <c r="AD30" s="582"/>
    </row>
    <row r="31">
      <c r="A31" s="582"/>
      <c r="B31" s="582"/>
      <c r="C31" s="582"/>
      <c r="D31" s="621"/>
      <c r="E31" s="622"/>
      <c r="F31" s="582"/>
      <c r="G31" s="582"/>
      <c r="H31" s="623"/>
      <c r="I31" s="624"/>
      <c r="J31" s="623"/>
      <c r="K31" s="624"/>
      <c r="L31" s="623"/>
      <c r="M31" s="623"/>
      <c r="N31" s="623"/>
      <c r="O31" s="623"/>
      <c r="P31" s="623"/>
      <c r="Q31" s="623"/>
      <c r="R31" s="623"/>
      <c r="S31" s="623"/>
      <c r="T31" s="623"/>
      <c r="U31" s="623"/>
      <c r="V31" s="623"/>
      <c r="W31" s="623"/>
      <c r="X31" s="623"/>
      <c r="Y31" s="623"/>
      <c r="Z31" s="623"/>
      <c r="AA31" s="582"/>
      <c r="AB31" s="582"/>
      <c r="AC31" s="582"/>
      <c r="AD31" s="582"/>
    </row>
    <row r="32">
      <c r="A32" s="582"/>
      <c r="B32" s="582"/>
      <c r="C32" s="582"/>
      <c r="D32" s="621"/>
      <c r="E32" s="622"/>
      <c r="F32" s="582"/>
      <c r="G32" s="582"/>
      <c r="H32" s="623"/>
      <c r="I32" s="624"/>
      <c r="J32" s="623"/>
      <c r="K32" s="624"/>
      <c r="L32" s="623"/>
      <c r="M32" s="623"/>
      <c r="N32" s="623"/>
      <c r="O32" s="623"/>
      <c r="P32" s="623"/>
      <c r="Q32" s="623"/>
      <c r="R32" s="623"/>
      <c r="S32" s="623"/>
      <c r="T32" s="623"/>
      <c r="U32" s="623"/>
      <c r="V32" s="623"/>
      <c r="W32" s="623"/>
      <c r="X32" s="623"/>
      <c r="Y32" s="623"/>
      <c r="Z32" s="623"/>
      <c r="AA32" s="582"/>
      <c r="AB32" s="582"/>
      <c r="AC32" s="582"/>
      <c r="AD32" s="582"/>
    </row>
    <row r="33">
      <c r="A33" s="582"/>
      <c r="B33" s="582"/>
      <c r="C33" s="582"/>
      <c r="D33" s="621"/>
      <c r="E33" s="622"/>
      <c r="F33" s="582"/>
      <c r="G33" s="582"/>
      <c r="H33" s="623"/>
      <c r="I33" s="624"/>
      <c r="J33" s="623"/>
      <c r="K33" s="624"/>
      <c r="L33" s="623"/>
      <c r="M33" s="623"/>
      <c r="N33" s="623"/>
      <c r="O33" s="623"/>
      <c r="P33" s="623"/>
      <c r="Q33" s="623"/>
      <c r="R33" s="623"/>
      <c r="S33" s="623"/>
      <c r="T33" s="623"/>
      <c r="U33" s="623"/>
      <c r="V33" s="623"/>
      <c r="W33" s="623"/>
      <c r="X33" s="623"/>
      <c r="Y33" s="623"/>
      <c r="Z33" s="623"/>
      <c r="AA33" s="582"/>
      <c r="AB33" s="582"/>
      <c r="AC33" s="582"/>
      <c r="AD33" s="582"/>
    </row>
    <row r="34">
      <c r="A34" s="582"/>
      <c r="B34" s="582"/>
      <c r="C34" s="582"/>
      <c r="D34" s="621"/>
      <c r="E34" s="622"/>
      <c r="F34" s="582"/>
      <c r="G34" s="582"/>
      <c r="H34" s="623"/>
      <c r="I34" s="624"/>
      <c r="J34" s="623"/>
      <c r="K34" s="624"/>
      <c r="L34" s="623"/>
      <c r="M34" s="623"/>
      <c r="N34" s="623"/>
      <c r="O34" s="623"/>
      <c r="P34" s="623"/>
      <c r="Q34" s="623"/>
      <c r="R34" s="623"/>
      <c r="S34" s="623"/>
      <c r="T34" s="623"/>
      <c r="U34" s="623"/>
      <c r="V34" s="623"/>
      <c r="W34" s="623"/>
      <c r="X34" s="623"/>
      <c r="Y34" s="623"/>
      <c r="Z34" s="623"/>
      <c r="AA34" s="582"/>
      <c r="AB34" s="582"/>
      <c r="AC34" s="582"/>
      <c r="AD34" s="582"/>
    </row>
    <row r="35">
      <c r="A35" s="582"/>
      <c r="B35" s="582"/>
      <c r="C35" s="582"/>
      <c r="D35" s="621"/>
      <c r="E35" s="622"/>
      <c r="F35" s="582"/>
      <c r="G35" s="582"/>
      <c r="H35" s="623"/>
      <c r="I35" s="624"/>
      <c r="J35" s="623"/>
      <c r="K35" s="624"/>
      <c r="L35" s="623"/>
      <c r="M35" s="623"/>
      <c r="N35" s="623"/>
      <c r="O35" s="623"/>
      <c r="P35" s="623"/>
      <c r="Q35" s="623"/>
      <c r="R35" s="623"/>
      <c r="S35" s="623"/>
      <c r="T35" s="623"/>
      <c r="U35" s="623"/>
      <c r="V35" s="623"/>
      <c r="W35" s="623"/>
      <c r="X35" s="623"/>
      <c r="Y35" s="623"/>
      <c r="Z35" s="623"/>
      <c r="AA35" s="582"/>
      <c r="AB35" s="582"/>
      <c r="AC35" s="582"/>
      <c r="AD35" s="582"/>
    </row>
    <row r="36">
      <c r="A36" s="582"/>
      <c r="B36" s="582"/>
      <c r="C36" s="582"/>
      <c r="D36" s="621"/>
      <c r="E36" s="622"/>
      <c r="F36" s="582"/>
      <c r="G36" s="582"/>
      <c r="H36" s="623"/>
      <c r="I36" s="624"/>
      <c r="J36" s="623"/>
      <c r="K36" s="624"/>
      <c r="L36" s="623"/>
      <c r="M36" s="623"/>
      <c r="N36" s="623"/>
      <c r="O36" s="623"/>
      <c r="P36" s="623"/>
      <c r="Q36" s="623"/>
      <c r="R36" s="623"/>
      <c r="S36" s="623"/>
      <c r="T36" s="623"/>
      <c r="U36" s="623"/>
      <c r="V36" s="623"/>
      <c r="W36" s="623"/>
      <c r="X36" s="623"/>
      <c r="Y36" s="623"/>
      <c r="Z36" s="623"/>
      <c r="AA36" s="582"/>
      <c r="AB36" s="582"/>
      <c r="AC36" s="582"/>
      <c r="AD36" s="582"/>
    </row>
    <row r="37">
      <c r="A37" s="582"/>
      <c r="B37" s="582"/>
      <c r="C37" s="582"/>
      <c r="D37" s="621"/>
      <c r="E37" s="622"/>
      <c r="F37" s="582"/>
      <c r="G37" s="582"/>
      <c r="H37" s="623"/>
      <c r="I37" s="624"/>
      <c r="J37" s="623"/>
      <c r="K37" s="624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3"/>
      <c r="W37" s="623"/>
      <c r="X37" s="623"/>
      <c r="Y37" s="623"/>
      <c r="Z37" s="623"/>
      <c r="AA37" s="582"/>
      <c r="AB37" s="582"/>
      <c r="AC37" s="582"/>
      <c r="AD37" s="582"/>
    </row>
    <row r="38">
      <c r="A38" s="582"/>
      <c r="B38" s="582"/>
      <c r="C38" s="582"/>
      <c r="D38" s="621"/>
      <c r="E38" s="622"/>
      <c r="F38" s="582"/>
      <c r="G38" s="582"/>
      <c r="H38" s="623"/>
      <c r="I38" s="624"/>
      <c r="J38" s="623"/>
      <c r="K38" s="624"/>
      <c r="L38" s="623"/>
      <c r="M38" s="623"/>
      <c r="N38" s="623"/>
      <c r="O38" s="623"/>
      <c r="P38" s="623"/>
      <c r="Q38" s="623"/>
      <c r="R38" s="623"/>
      <c r="S38" s="623"/>
      <c r="T38" s="623"/>
      <c r="U38" s="623"/>
      <c r="V38" s="623"/>
      <c r="W38" s="623"/>
      <c r="X38" s="623"/>
      <c r="Y38" s="623"/>
      <c r="Z38" s="623"/>
      <c r="AA38" s="582"/>
      <c r="AB38" s="582"/>
      <c r="AC38" s="582"/>
      <c r="AD38" s="582"/>
    </row>
    <row r="39">
      <c r="A39" s="582"/>
      <c r="B39" s="582"/>
      <c r="C39" s="582"/>
      <c r="D39" s="621"/>
      <c r="E39" s="622"/>
      <c r="F39" s="582"/>
      <c r="G39" s="582"/>
      <c r="H39" s="623"/>
      <c r="I39" s="624"/>
      <c r="J39" s="623"/>
      <c r="K39" s="624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582"/>
      <c r="AB39" s="582"/>
      <c r="AC39" s="582"/>
      <c r="AD39" s="582"/>
    </row>
    <row r="40">
      <c r="A40" s="582"/>
      <c r="B40" s="582"/>
      <c r="C40" s="582"/>
      <c r="D40" s="621"/>
      <c r="E40" s="622"/>
      <c r="F40" s="582"/>
      <c r="G40" s="582"/>
      <c r="H40" s="623"/>
      <c r="I40" s="624"/>
      <c r="J40" s="623"/>
      <c r="K40" s="624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582"/>
      <c r="AB40" s="582"/>
      <c r="AC40" s="582"/>
      <c r="AD40" s="582"/>
    </row>
    <row r="41">
      <c r="A41" s="582"/>
      <c r="B41" s="582"/>
      <c r="C41" s="582"/>
      <c r="D41" s="621"/>
      <c r="E41" s="622"/>
      <c r="F41" s="582"/>
      <c r="G41" s="582"/>
      <c r="H41" s="623"/>
      <c r="I41" s="624"/>
      <c r="J41" s="623"/>
      <c r="K41" s="624"/>
      <c r="L41" s="623"/>
      <c r="M41" s="623"/>
      <c r="N41" s="623"/>
      <c r="O41" s="623"/>
      <c r="P41" s="623"/>
      <c r="Q41" s="623"/>
      <c r="R41" s="623"/>
      <c r="S41" s="623"/>
      <c r="T41" s="623"/>
      <c r="U41" s="623"/>
      <c r="V41" s="623"/>
      <c r="W41" s="623"/>
      <c r="X41" s="623"/>
      <c r="Y41" s="623"/>
      <c r="Z41" s="623"/>
      <c r="AA41" s="582"/>
      <c r="AB41" s="582"/>
      <c r="AC41" s="582"/>
      <c r="AD41" s="582"/>
    </row>
    <row r="42">
      <c r="A42" s="582"/>
      <c r="B42" s="582"/>
      <c r="C42" s="582"/>
      <c r="D42" s="621"/>
      <c r="E42" s="622"/>
      <c r="F42" s="582"/>
      <c r="G42" s="582"/>
      <c r="H42" s="623"/>
      <c r="I42" s="624"/>
      <c r="J42" s="623"/>
      <c r="K42" s="624"/>
      <c r="L42" s="623"/>
      <c r="M42" s="623"/>
      <c r="N42" s="623"/>
      <c r="O42" s="623"/>
      <c r="P42" s="623"/>
      <c r="Q42" s="623"/>
      <c r="R42" s="623"/>
      <c r="S42" s="623"/>
      <c r="T42" s="623"/>
      <c r="U42" s="623"/>
      <c r="V42" s="623"/>
      <c r="W42" s="623"/>
      <c r="X42" s="623"/>
      <c r="Y42" s="623"/>
      <c r="Z42" s="623"/>
      <c r="AA42" s="582"/>
      <c r="AB42" s="582"/>
      <c r="AC42" s="582"/>
      <c r="AD42" s="582"/>
    </row>
    <row r="43">
      <c r="A43" s="582"/>
      <c r="B43" s="582"/>
      <c r="C43" s="582"/>
      <c r="D43" s="621"/>
      <c r="E43" s="622"/>
      <c r="F43" s="582"/>
      <c r="G43" s="582"/>
      <c r="H43" s="623"/>
      <c r="I43" s="624"/>
      <c r="J43" s="623"/>
      <c r="K43" s="624"/>
      <c r="L43" s="623"/>
      <c r="M43" s="623"/>
      <c r="N43" s="623"/>
      <c r="O43" s="623"/>
      <c r="P43" s="623"/>
      <c r="Q43" s="623"/>
      <c r="R43" s="623"/>
      <c r="S43" s="623"/>
      <c r="T43" s="623"/>
      <c r="U43" s="623"/>
      <c r="V43" s="623"/>
      <c r="W43" s="623"/>
      <c r="X43" s="623"/>
      <c r="Y43" s="623"/>
      <c r="Z43" s="623"/>
      <c r="AA43" s="582"/>
      <c r="AB43" s="582"/>
      <c r="AC43" s="582"/>
      <c r="AD43" s="582"/>
    </row>
    <row r="44">
      <c r="A44" s="582"/>
      <c r="B44" s="582"/>
      <c r="C44" s="582"/>
      <c r="D44" s="621"/>
      <c r="E44" s="622"/>
      <c r="F44" s="582"/>
      <c r="G44" s="582"/>
      <c r="H44" s="623"/>
      <c r="I44" s="624"/>
      <c r="J44" s="623"/>
      <c r="K44" s="624"/>
      <c r="L44" s="623"/>
      <c r="M44" s="623"/>
      <c r="N44" s="623"/>
      <c r="O44" s="623"/>
      <c r="P44" s="623"/>
      <c r="Q44" s="623"/>
      <c r="R44" s="623"/>
      <c r="S44" s="623"/>
      <c r="T44" s="623"/>
      <c r="U44" s="623"/>
      <c r="V44" s="623"/>
      <c r="W44" s="623"/>
      <c r="X44" s="623"/>
      <c r="Y44" s="623"/>
      <c r="Z44" s="623"/>
      <c r="AA44" s="582"/>
      <c r="AB44" s="582"/>
      <c r="AC44" s="582"/>
      <c r="AD44" s="582"/>
    </row>
    <row r="45">
      <c r="A45" s="582"/>
      <c r="B45" s="582"/>
      <c r="C45" s="582"/>
      <c r="D45" s="621"/>
      <c r="E45" s="622"/>
      <c r="F45" s="582"/>
      <c r="G45" s="582"/>
      <c r="H45" s="623"/>
      <c r="I45" s="624"/>
      <c r="J45" s="623"/>
      <c r="K45" s="624"/>
      <c r="L45" s="623"/>
      <c r="M45" s="623"/>
      <c r="N45" s="623"/>
      <c r="O45" s="623"/>
      <c r="P45" s="623"/>
      <c r="Q45" s="623"/>
      <c r="R45" s="623"/>
      <c r="S45" s="623"/>
      <c r="T45" s="623"/>
      <c r="U45" s="623"/>
      <c r="V45" s="623"/>
      <c r="W45" s="623"/>
      <c r="X45" s="623"/>
      <c r="Y45" s="623"/>
      <c r="Z45" s="623"/>
      <c r="AA45" s="582"/>
      <c r="AB45" s="582"/>
      <c r="AC45" s="582"/>
      <c r="AD45" s="582"/>
    </row>
    <row r="46">
      <c r="A46" s="582"/>
      <c r="B46" s="582"/>
      <c r="C46" s="582"/>
      <c r="D46" s="621"/>
      <c r="E46" s="622"/>
      <c r="F46" s="582"/>
      <c r="G46" s="582"/>
      <c r="H46" s="623"/>
      <c r="I46" s="624"/>
      <c r="J46" s="623"/>
      <c r="K46" s="624"/>
      <c r="L46" s="623"/>
      <c r="M46" s="623"/>
      <c r="N46" s="623"/>
      <c r="O46" s="623"/>
      <c r="P46" s="623"/>
      <c r="Q46" s="623"/>
      <c r="R46" s="623"/>
      <c r="S46" s="623"/>
      <c r="T46" s="623"/>
      <c r="U46" s="623"/>
      <c r="V46" s="623"/>
      <c r="W46" s="623"/>
      <c r="X46" s="623"/>
      <c r="Y46" s="623"/>
      <c r="Z46" s="623"/>
      <c r="AA46" s="582"/>
      <c r="AB46" s="582"/>
      <c r="AC46" s="582"/>
      <c r="AD46" s="582"/>
    </row>
    <row r="47">
      <c r="A47" s="582"/>
      <c r="B47" s="582"/>
      <c r="C47" s="582"/>
      <c r="D47" s="621"/>
      <c r="E47" s="622"/>
      <c r="F47" s="582"/>
      <c r="G47" s="582"/>
      <c r="H47" s="623"/>
      <c r="I47" s="624"/>
      <c r="J47" s="623"/>
      <c r="K47" s="624"/>
      <c r="L47" s="623"/>
      <c r="M47" s="623"/>
      <c r="N47" s="623"/>
      <c r="O47" s="623"/>
      <c r="P47" s="623"/>
      <c r="Q47" s="623"/>
      <c r="R47" s="623"/>
      <c r="S47" s="623"/>
      <c r="T47" s="623"/>
      <c r="U47" s="623"/>
      <c r="V47" s="623"/>
      <c r="W47" s="623"/>
      <c r="X47" s="623"/>
      <c r="Y47" s="623"/>
      <c r="Z47" s="623"/>
      <c r="AA47" s="582"/>
      <c r="AB47" s="582"/>
      <c r="AC47" s="582"/>
      <c r="AD47" s="582"/>
    </row>
    <row r="48">
      <c r="A48" s="582"/>
      <c r="B48" s="582"/>
      <c r="C48" s="582"/>
      <c r="D48" s="621"/>
      <c r="E48" s="622"/>
      <c r="F48" s="582"/>
      <c r="G48" s="582"/>
      <c r="H48" s="623"/>
      <c r="I48" s="624"/>
      <c r="J48" s="623"/>
      <c r="K48" s="624"/>
      <c r="L48" s="623"/>
      <c r="M48" s="623"/>
      <c r="N48" s="623"/>
      <c r="O48" s="623"/>
      <c r="P48" s="623"/>
      <c r="Q48" s="623"/>
      <c r="R48" s="623"/>
      <c r="S48" s="623"/>
      <c r="T48" s="623"/>
      <c r="U48" s="623"/>
      <c r="V48" s="623"/>
      <c r="W48" s="623"/>
      <c r="X48" s="623"/>
      <c r="Y48" s="623"/>
      <c r="Z48" s="623"/>
      <c r="AA48" s="582"/>
      <c r="AB48" s="582"/>
      <c r="AC48" s="582"/>
      <c r="AD48" s="582"/>
    </row>
    <row r="49">
      <c r="A49" s="582"/>
      <c r="B49" s="582"/>
      <c r="C49" s="582"/>
      <c r="D49" s="621"/>
      <c r="E49" s="622"/>
      <c r="F49" s="582"/>
      <c r="G49" s="582"/>
      <c r="H49" s="623"/>
      <c r="I49" s="624"/>
      <c r="J49" s="623"/>
      <c r="K49" s="624"/>
      <c r="L49" s="623"/>
      <c r="M49" s="623"/>
      <c r="N49" s="623"/>
      <c r="O49" s="623"/>
      <c r="P49" s="623"/>
      <c r="Q49" s="623"/>
      <c r="R49" s="623"/>
      <c r="S49" s="623"/>
      <c r="T49" s="623"/>
      <c r="U49" s="623"/>
      <c r="V49" s="623"/>
      <c r="W49" s="623"/>
      <c r="X49" s="623"/>
      <c r="Y49" s="623"/>
      <c r="Z49" s="623"/>
      <c r="AA49" s="582"/>
      <c r="AB49" s="582"/>
      <c r="AC49" s="582"/>
      <c r="AD49" s="582"/>
    </row>
    <row r="50">
      <c r="A50" s="582"/>
      <c r="B50" s="582"/>
      <c r="C50" s="582"/>
      <c r="D50" s="621"/>
      <c r="E50" s="622"/>
      <c r="F50" s="582"/>
      <c r="G50" s="582"/>
      <c r="H50" s="623"/>
      <c r="I50" s="624"/>
      <c r="J50" s="623"/>
      <c r="K50" s="624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582"/>
      <c r="AB50" s="582"/>
      <c r="AC50" s="582"/>
      <c r="AD50" s="582"/>
    </row>
    <row r="51">
      <c r="A51" s="582"/>
      <c r="B51" s="582"/>
      <c r="C51" s="582"/>
      <c r="D51" s="621"/>
      <c r="E51" s="622"/>
      <c r="F51" s="582"/>
      <c r="G51" s="582"/>
      <c r="H51" s="623"/>
      <c r="I51" s="624"/>
      <c r="J51" s="623"/>
      <c r="K51" s="624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582"/>
      <c r="AB51" s="582"/>
      <c r="AC51" s="582"/>
      <c r="AD51" s="582"/>
    </row>
    <row r="52">
      <c r="A52" s="582"/>
      <c r="B52" s="582"/>
      <c r="C52" s="582"/>
      <c r="D52" s="621"/>
      <c r="E52" s="622"/>
      <c r="F52" s="582"/>
      <c r="G52" s="582"/>
      <c r="H52" s="623"/>
      <c r="I52" s="624"/>
      <c r="J52" s="623"/>
      <c r="K52" s="624"/>
      <c r="L52" s="623"/>
      <c r="M52" s="623"/>
      <c r="N52" s="623"/>
      <c r="O52" s="623"/>
      <c r="P52" s="623"/>
      <c r="Q52" s="623"/>
      <c r="R52" s="623"/>
      <c r="S52" s="623"/>
      <c r="T52" s="623"/>
      <c r="U52" s="623"/>
      <c r="V52" s="623"/>
      <c r="W52" s="623"/>
      <c r="X52" s="623"/>
      <c r="Y52" s="623"/>
      <c r="Z52" s="623"/>
      <c r="AA52" s="582"/>
      <c r="AB52" s="582"/>
      <c r="AC52" s="582"/>
      <c r="AD52" s="582"/>
    </row>
    <row r="53">
      <c r="A53" s="582"/>
      <c r="B53" s="582"/>
      <c r="C53" s="582"/>
      <c r="D53" s="621"/>
      <c r="E53" s="622"/>
      <c r="F53" s="582"/>
      <c r="G53" s="582"/>
      <c r="H53" s="623"/>
      <c r="I53" s="624"/>
      <c r="J53" s="623"/>
      <c r="K53" s="624"/>
      <c r="L53" s="623"/>
      <c r="M53" s="623"/>
      <c r="N53" s="623"/>
      <c r="O53" s="623"/>
      <c r="P53" s="623"/>
      <c r="Q53" s="623"/>
      <c r="R53" s="623"/>
      <c r="S53" s="623"/>
      <c r="T53" s="623"/>
      <c r="U53" s="623"/>
      <c r="V53" s="623"/>
      <c r="W53" s="623"/>
      <c r="X53" s="623"/>
      <c r="Y53" s="623"/>
      <c r="Z53" s="623"/>
      <c r="AA53" s="582"/>
      <c r="AB53" s="582"/>
      <c r="AC53" s="582"/>
      <c r="AD53" s="582"/>
    </row>
    <row r="54">
      <c r="A54" s="582"/>
      <c r="B54" s="582"/>
      <c r="C54" s="582"/>
      <c r="D54" s="621"/>
      <c r="E54" s="622"/>
      <c r="F54" s="582"/>
      <c r="G54" s="582"/>
      <c r="H54" s="623"/>
      <c r="I54" s="624"/>
      <c r="J54" s="623"/>
      <c r="K54" s="624"/>
      <c r="L54" s="623"/>
      <c r="M54" s="623"/>
      <c r="N54" s="623"/>
      <c r="O54" s="623"/>
      <c r="P54" s="623"/>
      <c r="Q54" s="623"/>
      <c r="R54" s="623"/>
      <c r="S54" s="623"/>
      <c r="T54" s="623"/>
      <c r="U54" s="623"/>
      <c r="V54" s="623"/>
      <c r="W54" s="623"/>
      <c r="X54" s="623"/>
      <c r="Y54" s="623"/>
      <c r="Z54" s="623"/>
      <c r="AA54" s="582"/>
      <c r="AB54" s="582"/>
      <c r="AC54" s="582"/>
      <c r="AD54" s="582"/>
    </row>
    <row r="55">
      <c r="A55" s="582"/>
      <c r="B55" s="582"/>
      <c r="C55" s="582"/>
      <c r="D55" s="621"/>
      <c r="E55" s="622"/>
      <c r="F55" s="582"/>
      <c r="G55" s="582"/>
      <c r="H55" s="623"/>
      <c r="I55" s="624"/>
      <c r="J55" s="623"/>
      <c r="K55" s="624"/>
      <c r="L55" s="623"/>
      <c r="M55" s="623"/>
      <c r="N55" s="623"/>
      <c r="O55" s="623"/>
      <c r="P55" s="623"/>
      <c r="Q55" s="623"/>
      <c r="R55" s="623"/>
      <c r="S55" s="623"/>
      <c r="T55" s="623"/>
      <c r="U55" s="623"/>
      <c r="V55" s="623"/>
      <c r="W55" s="623"/>
      <c r="X55" s="623"/>
      <c r="Y55" s="623"/>
      <c r="Z55" s="623"/>
      <c r="AA55" s="582"/>
      <c r="AB55" s="582"/>
      <c r="AC55" s="582"/>
      <c r="AD55" s="582"/>
    </row>
    <row r="56">
      <c r="A56" s="582"/>
      <c r="B56" s="582"/>
      <c r="C56" s="582"/>
      <c r="D56" s="621"/>
      <c r="E56" s="622"/>
      <c r="F56" s="582"/>
      <c r="G56" s="582"/>
      <c r="H56" s="623"/>
      <c r="I56" s="624"/>
      <c r="J56" s="623"/>
      <c r="K56" s="624"/>
      <c r="L56" s="623"/>
      <c r="M56" s="623"/>
      <c r="N56" s="623"/>
      <c r="O56" s="623"/>
      <c r="P56" s="623"/>
      <c r="Q56" s="623"/>
      <c r="R56" s="623"/>
      <c r="S56" s="623"/>
      <c r="T56" s="623"/>
      <c r="U56" s="623"/>
      <c r="V56" s="623"/>
      <c r="W56" s="623"/>
      <c r="X56" s="623"/>
      <c r="Y56" s="623"/>
      <c r="Z56" s="623"/>
      <c r="AA56" s="582"/>
      <c r="AB56" s="582"/>
      <c r="AC56" s="582"/>
      <c r="AD56" s="582"/>
    </row>
    <row r="57">
      <c r="A57" s="582"/>
      <c r="B57" s="582"/>
      <c r="C57" s="582"/>
      <c r="D57" s="621"/>
      <c r="E57" s="622"/>
      <c r="F57" s="582"/>
      <c r="G57" s="582"/>
      <c r="H57" s="623"/>
      <c r="I57" s="624"/>
      <c r="J57" s="623"/>
      <c r="K57" s="624"/>
      <c r="L57" s="623"/>
      <c r="M57" s="623"/>
      <c r="N57" s="623"/>
      <c r="O57" s="623"/>
      <c r="P57" s="623"/>
      <c r="Q57" s="623"/>
      <c r="R57" s="623"/>
      <c r="S57" s="623"/>
      <c r="T57" s="623"/>
      <c r="U57" s="623"/>
      <c r="V57" s="623"/>
      <c r="W57" s="623"/>
      <c r="X57" s="623"/>
      <c r="Y57" s="623"/>
      <c r="Z57" s="623"/>
      <c r="AA57" s="582"/>
      <c r="AB57" s="582"/>
      <c r="AC57" s="582"/>
      <c r="AD57" s="582"/>
    </row>
    <row r="58">
      <c r="A58" s="582"/>
      <c r="B58" s="582"/>
      <c r="C58" s="582"/>
      <c r="D58" s="621"/>
      <c r="E58" s="622"/>
      <c r="F58" s="582"/>
      <c r="G58" s="582"/>
      <c r="H58" s="623"/>
      <c r="I58" s="624"/>
      <c r="J58" s="623"/>
      <c r="K58" s="624"/>
      <c r="L58" s="623"/>
      <c r="M58" s="623"/>
      <c r="N58" s="623"/>
      <c r="O58" s="623"/>
      <c r="P58" s="623"/>
      <c r="Q58" s="623"/>
      <c r="R58" s="623"/>
      <c r="S58" s="623"/>
      <c r="T58" s="623"/>
      <c r="U58" s="623"/>
      <c r="V58" s="623"/>
      <c r="W58" s="623"/>
      <c r="X58" s="623"/>
      <c r="Y58" s="623"/>
      <c r="Z58" s="623"/>
      <c r="AA58" s="582"/>
      <c r="AB58" s="582"/>
      <c r="AC58" s="582"/>
      <c r="AD58" s="582"/>
    </row>
    <row r="59">
      <c r="A59" s="582"/>
      <c r="B59" s="582"/>
      <c r="C59" s="582"/>
      <c r="D59" s="621"/>
      <c r="E59" s="622"/>
      <c r="F59" s="582"/>
      <c r="G59" s="582"/>
      <c r="H59" s="623"/>
      <c r="I59" s="624"/>
      <c r="J59" s="623"/>
      <c r="K59" s="624"/>
      <c r="L59" s="623"/>
      <c r="M59" s="623"/>
      <c r="N59" s="623"/>
      <c r="O59" s="623"/>
      <c r="P59" s="623"/>
      <c r="Q59" s="623"/>
      <c r="R59" s="623"/>
      <c r="S59" s="623"/>
      <c r="T59" s="623"/>
      <c r="U59" s="623"/>
      <c r="V59" s="623"/>
      <c r="W59" s="623"/>
      <c r="X59" s="623"/>
      <c r="Y59" s="623"/>
      <c r="Z59" s="623"/>
      <c r="AA59" s="582"/>
      <c r="AB59" s="582"/>
      <c r="AC59" s="582"/>
      <c r="AD59" s="582"/>
    </row>
    <row r="60">
      <c r="A60" s="582"/>
      <c r="B60" s="582"/>
      <c r="C60" s="582"/>
      <c r="D60" s="621"/>
      <c r="E60" s="622"/>
      <c r="F60" s="582"/>
      <c r="G60" s="582"/>
      <c r="H60" s="623"/>
      <c r="I60" s="624"/>
      <c r="J60" s="623"/>
      <c r="K60" s="624"/>
      <c r="L60" s="623"/>
      <c r="M60" s="623"/>
      <c r="N60" s="623"/>
      <c r="O60" s="623"/>
      <c r="P60" s="623"/>
      <c r="Q60" s="623"/>
      <c r="R60" s="623"/>
      <c r="S60" s="623"/>
      <c r="T60" s="623"/>
      <c r="U60" s="623"/>
      <c r="V60" s="623"/>
      <c r="W60" s="623"/>
      <c r="X60" s="623"/>
      <c r="Y60" s="623"/>
      <c r="Z60" s="623"/>
      <c r="AA60" s="582"/>
      <c r="AB60" s="582"/>
      <c r="AC60" s="582"/>
      <c r="AD60" s="582"/>
    </row>
    <row r="61">
      <c r="A61" s="582"/>
      <c r="B61" s="582"/>
      <c r="C61" s="582"/>
      <c r="D61" s="621"/>
      <c r="E61" s="622"/>
      <c r="F61" s="582"/>
      <c r="G61" s="582"/>
      <c r="H61" s="623"/>
      <c r="I61" s="624"/>
      <c r="J61" s="623"/>
      <c r="K61" s="624"/>
      <c r="L61" s="623"/>
      <c r="M61" s="623"/>
      <c r="N61" s="623"/>
      <c r="O61" s="623"/>
      <c r="P61" s="623"/>
      <c r="Q61" s="623"/>
      <c r="R61" s="623"/>
      <c r="S61" s="623"/>
      <c r="T61" s="623"/>
      <c r="U61" s="623"/>
      <c r="V61" s="623"/>
      <c r="W61" s="623"/>
      <c r="X61" s="623"/>
      <c r="Y61" s="623"/>
      <c r="Z61" s="623"/>
      <c r="AA61" s="582"/>
      <c r="AB61" s="582"/>
      <c r="AC61" s="582"/>
      <c r="AD61" s="582"/>
    </row>
    <row r="62">
      <c r="A62" s="582"/>
      <c r="B62" s="582"/>
      <c r="C62" s="582"/>
      <c r="D62" s="621"/>
      <c r="E62" s="622"/>
      <c r="F62" s="582"/>
      <c r="G62" s="582"/>
      <c r="H62" s="623"/>
      <c r="I62" s="624"/>
      <c r="J62" s="623"/>
      <c r="K62" s="624"/>
      <c r="L62" s="623"/>
      <c r="M62" s="623"/>
      <c r="N62" s="623"/>
      <c r="O62" s="623"/>
      <c r="P62" s="623"/>
      <c r="Q62" s="623"/>
      <c r="R62" s="623"/>
      <c r="S62" s="623"/>
      <c r="T62" s="623"/>
      <c r="U62" s="623"/>
      <c r="V62" s="623"/>
      <c r="W62" s="623"/>
      <c r="X62" s="623"/>
      <c r="Y62" s="623"/>
      <c r="Z62" s="623"/>
      <c r="AA62" s="582"/>
      <c r="AB62" s="582"/>
      <c r="AC62" s="582"/>
      <c r="AD62" s="582"/>
    </row>
    <row r="63">
      <c r="A63" s="582"/>
      <c r="B63" s="582"/>
      <c r="C63" s="582"/>
      <c r="D63" s="621"/>
      <c r="E63" s="622"/>
      <c r="F63" s="582"/>
      <c r="G63" s="582"/>
      <c r="H63" s="623"/>
      <c r="I63" s="624"/>
      <c r="J63" s="623"/>
      <c r="K63" s="624"/>
      <c r="L63" s="623"/>
      <c r="M63" s="623"/>
      <c r="N63" s="623"/>
      <c r="O63" s="623"/>
      <c r="P63" s="623"/>
      <c r="Q63" s="623"/>
      <c r="R63" s="623"/>
      <c r="S63" s="623"/>
      <c r="T63" s="623"/>
      <c r="U63" s="623"/>
      <c r="V63" s="623"/>
      <c r="W63" s="623"/>
      <c r="X63" s="623"/>
      <c r="Y63" s="623"/>
      <c r="Z63" s="623"/>
      <c r="AA63" s="582"/>
      <c r="AB63" s="582"/>
      <c r="AC63" s="582"/>
      <c r="AD63" s="582"/>
    </row>
    <row r="64">
      <c r="A64" s="582"/>
      <c r="B64" s="582"/>
      <c r="C64" s="582"/>
      <c r="D64" s="621"/>
      <c r="E64" s="622"/>
      <c r="F64" s="582"/>
      <c r="G64" s="582"/>
      <c r="H64" s="623"/>
      <c r="I64" s="624"/>
      <c r="J64" s="623"/>
      <c r="K64" s="624"/>
      <c r="L64" s="623"/>
      <c r="M64" s="623"/>
      <c r="N64" s="623"/>
      <c r="O64" s="623"/>
      <c r="P64" s="623"/>
      <c r="Q64" s="623"/>
      <c r="R64" s="623"/>
      <c r="S64" s="623"/>
      <c r="T64" s="623"/>
      <c r="U64" s="623"/>
      <c r="V64" s="623"/>
      <c r="W64" s="623"/>
      <c r="X64" s="623"/>
      <c r="Y64" s="623"/>
      <c r="Z64" s="623"/>
      <c r="AA64" s="582"/>
      <c r="AB64" s="582"/>
      <c r="AC64" s="582"/>
      <c r="AD64" s="582"/>
    </row>
    <row r="65">
      <c r="A65" s="582"/>
      <c r="B65" s="582"/>
      <c r="C65" s="582"/>
      <c r="D65" s="621"/>
      <c r="E65" s="622"/>
      <c r="F65" s="582"/>
      <c r="G65" s="582"/>
      <c r="H65" s="623"/>
      <c r="I65" s="624"/>
      <c r="J65" s="623"/>
      <c r="K65" s="624"/>
      <c r="L65" s="623"/>
      <c r="M65" s="623"/>
      <c r="N65" s="623"/>
      <c r="O65" s="623"/>
      <c r="P65" s="623"/>
      <c r="Q65" s="623"/>
      <c r="R65" s="623"/>
      <c r="S65" s="623"/>
      <c r="T65" s="623"/>
      <c r="U65" s="623"/>
      <c r="V65" s="623"/>
      <c r="W65" s="623"/>
      <c r="X65" s="623"/>
      <c r="Y65" s="623"/>
      <c r="Z65" s="623"/>
      <c r="AA65" s="582"/>
      <c r="AB65" s="582"/>
      <c r="AC65" s="582"/>
      <c r="AD65" s="582"/>
    </row>
    <row r="66">
      <c r="A66" s="582"/>
      <c r="B66" s="582"/>
      <c r="C66" s="582"/>
      <c r="D66" s="621"/>
      <c r="E66" s="622"/>
      <c r="F66" s="582"/>
      <c r="G66" s="582"/>
      <c r="H66" s="623"/>
      <c r="I66" s="624"/>
      <c r="J66" s="623"/>
      <c r="K66" s="624"/>
      <c r="L66" s="623"/>
      <c r="M66" s="623"/>
      <c r="N66" s="623"/>
      <c r="O66" s="623"/>
      <c r="P66" s="623"/>
      <c r="Q66" s="623"/>
      <c r="R66" s="623"/>
      <c r="S66" s="623"/>
      <c r="T66" s="623"/>
      <c r="U66" s="623"/>
      <c r="V66" s="623"/>
      <c r="W66" s="623"/>
      <c r="X66" s="623"/>
      <c r="Y66" s="623"/>
      <c r="Z66" s="623"/>
      <c r="AA66" s="582"/>
      <c r="AB66" s="582"/>
      <c r="AC66" s="582"/>
      <c r="AD66" s="582"/>
    </row>
    <row r="67">
      <c r="A67" s="582"/>
      <c r="B67" s="582"/>
      <c r="C67" s="582"/>
      <c r="D67" s="621"/>
      <c r="E67" s="622"/>
      <c r="F67" s="582"/>
      <c r="G67" s="582"/>
      <c r="H67" s="623"/>
      <c r="I67" s="624"/>
      <c r="J67" s="623"/>
      <c r="K67" s="624"/>
      <c r="L67" s="623"/>
      <c r="M67" s="623"/>
      <c r="N67" s="623"/>
      <c r="O67" s="623"/>
      <c r="P67" s="623"/>
      <c r="Q67" s="623"/>
      <c r="R67" s="623"/>
      <c r="S67" s="623"/>
      <c r="T67" s="623"/>
      <c r="U67" s="623"/>
      <c r="V67" s="623"/>
      <c r="W67" s="623"/>
      <c r="X67" s="623"/>
      <c r="Y67" s="623"/>
      <c r="Z67" s="623"/>
      <c r="AA67" s="582"/>
      <c r="AB67" s="582"/>
      <c r="AC67" s="582"/>
      <c r="AD67" s="582"/>
    </row>
    <row r="68">
      <c r="A68" s="582"/>
      <c r="B68" s="582"/>
      <c r="C68" s="582"/>
      <c r="D68" s="621"/>
      <c r="E68" s="622"/>
      <c r="F68" s="582"/>
      <c r="G68" s="582"/>
      <c r="H68" s="623"/>
      <c r="I68" s="624"/>
      <c r="J68" s="623"/>
      <c r="K68" s="624"/>
      <c r="L68" s="623"/>
      <c r="M68" s="623"/>
      <c r="N68" s="623"/>
      <c r="O68" s="623"/>
      <c r="P68" s="623"/>
      <c r="Q68" s="623"/>
      <c r="R68" s="623"/>
      <c r="S68" s="623"/>
      <c r="T68" s="623"/>
      <c r="U68" s="623"/>
      <c r="V68" s="623"/>
      <c r="W68" s="623"/>
      <c r="X68" s="623"/>
      <c r="Y68" s="623"/>
      <c r="Z68" s="623"/>
      <c r="AA68" s="582"/>
      <c r="AB68" s="582"/>
      <c r="AC68" s="582"/>
      <c r="AD68" s="582"/>
    </row>
    <row r="69">
      <c r="A69" s="582"/>
      <c r="B69" s="582"/>
      <c r="C69" s="582"/>
      <c r="D69" s="621"/>
      <c r="E69" s="622"/>
      <c r="F69" s="582"/>
      <c r="G69" s="582"/>
      <c r="H69" s="623"/>
      <c r="I69" s="624"/>
      <c r="J69" s="623"/>
      <c r="K69" s="624"/>
      <c r="L69" s="623"/>
      <c r="M69" s="623"/>
      <c r="N69" s="623"/>
      <c r="O69" s="623"/>
      <c r="P69" s="623"/>
      <c r="Q69" s="623"/>
      <c r="R69" s="623"/>
      <c r="S69" s="623"/>
      <c r="T69" s="623"/>
      <c r="U69" s="623"/>
      <c r="V69" s="623"/>
      <c r="W69" s="623"/>
      <c r="X69" s="623"/>
      <c r="Y69" s="623"/>
      <c r="Z69" s="623"/>
      <c r="AA69" s="582"/>
      <c r="AB69" s="582"/>
      <c r="AC69" s="582"/>
      <c r="AD69" s="582"/>
    </row>
    <row r="70">
      <c r="A70" s="582"/>
      <c r="B70" s="582"/>
      <c r="C70" s="582"/>
      <c r="D70" s="621"/>
      <c r="E70" s="622"/>
      <c r="F70" s="582"/>
      <c r="G70" s="582"/>
      <c r="H70" s="623"/>
      <c r="I70" s="624"/>
      <c r="J70" s="623"/>
      <c r="K70" s="624"/>
      <c r="L70" s="623"/>
      <c r="M70" s="623"/>
      <c r="N70" s="623"/>
      <c r="O70" s="623"/>
      <c r="P70" s="623"/>
      <c r="Q70" s="623"/>
      <c r="R70" s="623"/>
      <c r="S70" s="623"/>
      <c r="T70" s="623"/>
      <c r="U70" s="623"/>
      <c r="V70" s="623"/>
      <c r="W70" s="623"/>
      <c r="X70" s="623"/>
      <c r="Y70" s="623"/>
      <c r="Z70" s="623"/>
      <c r="AA70" s="582"/>
      <c r="AB70" s="582"/>
      <c r="AC70" s="582"/>
      <c r="AD70" s="582"/>
    </row>
    <row r="71">
      <c r="A71" s="582"/>
      <c r="B71" s="582"/>
      <c r="C71" s="582"/>
      <c r="D71" s="621"/>
      <c r="E71" s="622"/>
      <c r="F71" s="582"/>
      <c r="G71" s="582"/>
      <c r="H71" s="623"/>
      <c r="I71" s="624"/>
      <c r="J71" s="623"/>
      <c r="K71" s="624"/>
      <c r="L71" s="623"/>
      <c r="M71" s="623"/>
      <c r="N71" s="623"/>
      <c r="O71" s="623"/>
      <c r="P71" s="623"/>
      <c r="Q71" s="623"/>
      <c r="R71" s="623"/>
      <c r="S71" s="623"/>
      <c r="T71" s="623"/>
      <c r="U71" s="623"/>
      <c r="V71" s="623"/>
      <c r="W71" s="623"/>
      <c r="X71" s="623"/>
      <c r="Y71" s="623"/>
      <c r="Z71" s="623"/>
      <c r="AA71" s="582"/>
      <c r="AB71" s="582"/>
      <c r="AC71" s="582"/>
      <c r="AD71" s="582"/>
    </row>
    <row r="72">
      <c r="A72" s="582"/>
      <c r="B72" s="582"/>
      <c r="C72" s="582"/>
      <c r="D72" s="621"/>
      <c r="E72" s="622"/>
      <c r="F72" s="582"/>
      <c r="G72" s="582"/>
      <c r="H72" s="623"/>
      <c r="I72" s="624"/>
      <c r="J72" s="623"/>
      <c r="K72" s="624"/>
      <c r="L72" s="623"/>
      <c r="M72" s="623"/>
      <c r="N72" s="623"/>
      <c r="O72" s="623"/>
      <c r="P72" s="623"/>
      <c r="Q72" s="623"/>
      <c r="R72" s="623"/>
      <c r="S72" s="623"/>
      <c r="T72" s="623"/>
      <c r="U72" s="623"/>
      <c r="V72" s="623"/>
      <c r="W72" s="623"/>
      <c r="X72" s="623"/>
      <c r="Y72" s="623"/>
      <c r="Z72" s="623"/>
      <c r="AA72" s="582"/>
      <c r="AB72" s="582"/>
      <c r="AC72" s="582"/>
      <c r="AD72" s="582"/>
    </row>
    <row r="73">
      <c r="A73" s="582"/>
      <c r="B73" s="582"/>
      <c r="C73" s="582"/>
      <c r="D73" s="621"/>
      <c r="E73" s="622"/>
      <c r="F73" s="582"/>
      <c r="G73" s="582"/>
      <c r="H73" s="623"/>
      <c r="I73" s="624"/>
      <c r="J73" s="623"/>
      <c r="K73" s="624"/>
      <c r="L73" s="623"/>
      <c r="M73" s="623"/>
      <c r="N73" s="623"/>
      <c r="O73" s="623"/>
      <c r="P73" s="623"/>
      <c r="Q73" s="623"/>
      <c r="R73" s="623"/>
      <c r="S73" s="623"/>
      <c r="T73" s="623"/>
      <c r="U73" s="623"/>
      <c r="V73" s="623"/>
      <c r="W73" s="623"/>
      <c r="X73" s="623"/>
      <c r="Y73" s="623"/>
      <c r="Z73" s="623"/>
      <c r="AA73" s="582"/>
      <c r="AB73" s="582"/>
      <c r="AC73" s="582"/>
      <c r="AD73" s="582"/>
    </row>
    <row r="74">
      <c r="A74" s="582"/>
      <c r="B74" s="582"/>
      <c r="C74" s="582"/>
      <c r="D74" s="621"/>
      <c r="E74" s="622"/>
      <c r="F74" s="582"/>
      <c r="G74" s="582"/>
      <c r="H74" s="623"/>
      <c r="I74" s="624"/>
      <c r="J74" s="623"/>
      <c r="K74" s="624"/>
      <c r="L74" s="623"/>
      <c r="M74" s="623"/>
      <c r="N74" s="623"/>
      <c r="O74" s="623"/>
      <c r="P74" s="623"/>
      <c r="Q74" s="623"/>
      <c r="R74" s="623"/>
      <c r="S74" s="623"/>
      <c r="T74" s="623"/>
      <c r="U74" s="623"/>
      <c r="V74" s="623"/>
      <c r="W74" s="623"/>
      <c r="X74" s="623"/>
      <c r="Y74" s="623"/>
      <c r="Z74" s="623"/>
      <c r="AA74" s="582"/>
      <c r="AB74" s="582"/>
      <c r="AC74" s="582"/>
      <c r="AD74" s="582"/>
    </row>
    <row r="75">
      <c r="A75" s="582"/>
      <c r="B75" s="582"/>
      <c r="C75" s="582"/>
      <c r="D75" s="621"/>
      <c r="E75" s="622"/>
      <c r="F75" s="582"/>
      <c r="G75" s="582"/>
      <c r="H75" s="623"/>
      <c r="I75" s="624"/>
      <c r="J75" s="623"/>
      <c r="K75" s="624"/>
      <c r="L75" s="623"/>
      <c r="M75" s="623"/>
      <c r="N75" s="623"/>
      <c r="O75" s="623"/>
      <c r="P75" s="623"/>
      <c r="Q75" s="623"/>
      <c r="R75" s="623"/>
      <c r="S75" s="623"/>
      <c r="T75" s="623"/>
      <c r="U75" s="623"/>
      <c r="V75" s="623"/>
      <c r="W75" s="623"/>
      <c r="X75" s="623"/>
      <c r="Y75" s="623"/>
      <c r="Z75" s="623"/>
      <c r="AA75" s="582"/>
      <c r="AB75" s="582"/>
      <c r="AC75" s="582"/>
      <c r="AD75" s="582"/>
    </row>
    <row r="76">
      <c r="A76" s="582"/>
      <c r="B76" s="582"/>
      <c r="C76" s="582"/>
      <c r="D76" s="621"/>
      <c r="E76" s="622"/>
      <c r="F76" s="582"/>
      <c r="G76" s="582"/>
      <c r="H76" s="623"/>
      <c r="I76" s="624"/>
      <c r="J76" s="623"/>
      <c r="K76" s="624"/>
      <c r="L76" s="623"/>
      <c r="M76" s="623"/>
      <c r="N76" s="623"/>
      <c r="O76" s="623"/>
      <c r="P76" s="623"/>
      <c r="Q76" s="623"/>
      <c r="R76" s="623"/>
      <c r="S76" s="623"/>
      <c r="T76" s="623"/>
      <c r="U76" s="623"/>
      <c r="V76" s="623"/>
      <c r="W76" s="623"/>
      <c r="X76" s="623"/>
      <c r="Y76" s="623"/>
      <c r="Z76" s="623"/>
      <c r="AA76" s="582"/>
      <c r="AB76" s="582"/>
      <c r="AC76" s="582"/>
      <c r="AD76" s="582"/>
    </row>
    <row r="77">
      <c r="A77" s="582"/>
      <c r="B77" s="582"/>
      <c r="C77" s="582"/>
      <c r="D77" s="621"/>
      <c r="E77" s="622"/>
      <c r="F77" s="582"/>
      <c r="G77" s="582"/>
      <c r="H77" s="623"/>
      <c r="I77" s="624"/>
      <c r="J77" s="623"/>
      <c r="K77" s="624"/>
      <c r="L77" s="623"/>
      <c r="M77" s="623"/>
      <c r="N77" s="623"/>
      <c r="O77" s="623"/>
      <c r="P77" s="623"/>
      <c r="Q77" s="623"/>
      <c r="R77" s="623"/>
      <c r="S77" s="623"/>
      <c r="T77" s="623"/>
      <c r="U77" s="623"/>
      <c r="V77" s="623"/>
      <c r="W77" s="623"/>
      <c r="X77" s="623"/>
      <c r="Y77" s="623"/>
      <c r="Z77" s="623"/>
      <c r="AA77" s="582"/>
      <c r="AB77" s="582"/>
      <c r="AC77" s="582"/>
      <c r="AD77" s="582"/>
    </row>
    <row r="78">
      <c r="A78" s="582"/>
      <c r="B78" s="582"/>
      <c r="C78" s="582"/>
      <c r="D78" s="621"/>
      <c r="E78" s="622"/>
      <c r="F78" s="582"/>
      <c r="G78" s="582"/>
      <c r="H78" s="623"/>
      <c r="I78" s="624"/>
      <c r="J78" s="623"/>
      <c r="K78" s="624"/>
      <c r="L78" s="623"/>
      <c r="M78" s="623"/>
      <c r="N78" s="623"/>
      <c r="O78" s="623"/>
      <c r="P78" s="623"/>
      <c r="Q78" s="623"/>
      <c r="R78" s="623"/>
      <c r="S78" s="623"/>
      <c r="T78" s="623"/>
      <c r="U78" s="623"/>
      <c r="V78" s="623"/>
      <c r="W78" s="623"/>
      <c r="X78" s="623"/>
      <c r="Y78" s="623"/>
      <c r="Z78" s="623"/>
      <c r="AA78" s="582"/>
      <c r="AB78" s="582"/>
      <c r="AC78" s="582"/>
      <c r="AD78" s="582"/>
    </row>
    <row r="79">
      <c r="A79" s="582"/>
      <c r="B79" s="582"/>
      <c r="C79" s="582"/>
      <c r="D79" s="621"/>
      <c r="E79" s="622"/>
      <c r="F79" s="582"/>
      <c r="G79" s="582"/>
      <c r="H79" s="623"/>
      <c r="I79" s="624"/>
      <c r="J79" s="623"/>
      <c r="K79" s="624"/>
      <c r="L79" s="623"/>
      <c r="M79" s="623"/>
      <c r="N79" s="623"/>
      <c r="O79" s="623"/>
      <c r="P79" s="623"/>
      <c r="Q79" s="623"/>
      <c r="R79" s="623"/>
      <c r="S79" s="623"/>
      <c r="T79" s="623"/>
      <c r="U79" s="623"/>
      <c r="V79" s="623"/>
      <c r="W79" s="623"/>
      <c r="X79" s="623"/>
      <c r="Y79" s="623"/>
      <c r="Z79" s="623"/>
      <c r="AA79" s="582"/>
      <c r="AB79" s="582"/>
      <c r="AC79" s="582"/>
      <c r="AD79" s="582"/>
    </row>
    <row r="80">
      <c r="A80" s="582"/>
      <c r="B80" s="582"/>
      <c r="C80" s="582"/>
      <c r="D80" s="621"/>
      <c r="E80" s="622"/>
      <c r="F80" s="582"/>
      <c r="G80" s="582"/>
      <c r="H80" s="623"/>
      <c r="I80" s="624"/>
      <c r="J80" s="623"/>
      <c r="K80" s="624"/>
      <c r="L80" s="623"/>
      <c r="M80" s="623"/>
      <c r="N80" s="623"/>
      <c r="O80" s="623"/>
      <c r="P80" s="623"/>
      <c r="Q80" s="623"/>
      <c r="R80" s="623"/>
      <c r="S80" s="623"/>
      <c r="T80" s="623"/>
      <c r="U80" s="623"/>
      <c r="V80" s="623"/>
      <c r="W80" s="623"/>
      <c r="X80" s="623"/>
      <c r="Y80" s="623"/>
      <c r="Z80" s="623"/>
      <c r="AA80" s="582"/>
      <c r="AB80" s="582"/>
      <c r="AC80" s="582"/>
      <c r="AD80" s="582"/>
    </row>
    <row r="81">
      <c r="A81" s="582"/>
      <c r="B81" s="582"/>
      <c r="C81" s="582"/>
      <c r="D81" s="621"/>
      <c r="E81" s="622"/>
      <c r="F81" s="582"/>
      <c r="G81" s="582"/>
      <c r="H81" s="623"/>
      <c r="I81" s="624"/>
      <c r="J81" s="623"/>
      <c r="K81" s="624"/>
      <c r="L81" s="623"/>
      <c r="M81" s="623"/>
      <c r="N81" s="623"/>
      <c r="O81" s="623"/>
      <c r="P81" s="623"/>
      <c r="Q81" s="623"/>
      <c r="R81" s="623"/>
      <c r="S81" s="623"/>
      <c r="T81" s="623"/>
      <c r="U81" s="623"/>
      <c r="V81" s="623"/>
      <c r="W81" s="623"/>
      <c r="X81" s="623"/>
      <c r="Y81" s="623"/>
      <c r="Z81" s="623"/>
      <c r="AA81" s="582"/>
      <c r="AB81" s="582"/>
      <c r="AC81" s="582"/>
      <c r="AD81" s="582"/>
    </row>
    <row r="82">
      <c r="A82" s="582"/>
      <c r="B82" s="582"/>
      <c r="C82" s="582"/>
      <c r="D82" s="621"/>
      <c r="E82" s="622"/>
      <c r="F82" s="582"/>
      <c r="G82" s="582"/>
      <c r="H82" s="623"/>
      <c r="I82" s="624"/>
      <c r="J82" s="623"/>
      <c r="K82" s="624"/>
      <c r="L82" s="623"/>
      <c r="M82" s="623"/>
      <c r="N82" s="623"/>
      <c r="O82" s="623"/>
      <c r="P82" s="623"/>
      <c r="Q82" s="623"/>
      <c r="R82" s="623"/>
      <c r="S82" s="623"/>
      <c r="T82" s="623"/>
      <c r="U82" s="623"/>
      <c r="V82" s="623"/>
      <c r="W82" s="623"/>
      <c r="X82" s="623"/>
      <c r="Y82" s="623"/>
      <c r="Z82" s="623"/>
      <c r="AA82" s="582"/>
      <c r="AB82" s="582"/>
      <c r="AC82" s="582"/>
      <c r="AD82" s="582"/>
    </row>
    <row r="83">
      <c r="A83" s="582"/>
      <c r="B83" s="582"/>
      <c r="C83" s="582"/>
      <c r="D83" s="621"/>
      <c r="E83" s="622"/>
      <c r="F83" s="582"/>
      <c r="G83" s="582"/>
      <c r="H83" s="623"/>
      <c r="I83" s="624"/>
      <c r="J83" s="623"/>
      <c r="K83" s="624"/>
      <c r="L83" s="623"/>
      <c r="M83" s="623"/>
      <c r="N83" s="623"/>
      <c r="O83" s="623"/>
      <c r="P83" s="623"/>
      <c r="Q83" s="623"/>
      <c r="R83" s="623"/>
      <c r="S83" s="623"/>
      <c r="T83" s="623"/>
      <c r="U83" s="623"/>
      <c r="V83" s="623"/>
      <c r="W83" s="623"/>
      <c r="X83" s="623"/>
      <c r="Y83" s="623"/>
      <c r="Z83" s="623"/>
      <c r="AA83" s="582"/>
      <c r="AB83" s="582"/>
      <c r="AC83" s="582"/>
      <c r="AD83" s="582"/>
    </row>
    <row r="84">
      <c r="A84" s="582"/>
      <c r="B84" s="582"/>
      <c r="C84" s="582"/>
      <c r="D84" s="621"/>
      <c r="E84" s="622"/>
      <c r="F84" s="582"/>
      <c r="G84" s="582"/>
      <c r="H84" s="623"/>
      <c r="I84" s="624"/>
      <c r="J84" s="623"/>
      <c r="K84" s="624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582"/>
      <c r="AB84" s="582"/>
      <c r="AC84" s="582"/>
      <c r="AD84" s="582"/>
    </row>
    <row r="85">
      <c r="A85" s="582"/>
      <c r="B85" s="582"/>
      <c r="C85" s="582"/>
      <c r="D85" s="621"/>
      <c r="E85" s="622"/>
      <c r="F85" s="582"/>
      <c r="G85" s="582"/>
      <c r="H85" s="623"/>
      <c r="I85" s="624"/>
      <c r="J85" s="623"/>
      <c r="K85" s="624"/>
      <c r="L85" s="623"/>
      <c r="M85" s="623"/>
      <c r="N85" s="623"/>
      <c r="O85" s="623"/>
      <c r="P85" s="623"/>
      <c r="Q85" s="623"/>
      <c r="R85" s="623"/>
      <c r="S85" s="623"/>
      <c r="T85" s="623"/>
      <c r="U85" s="623"/>
      <c r="V85" s="623"/>
      <c r="W85" s="623"/>
      <c r="X85" s="623"/>
      <c r="Y85" s="623"/>
      <c r="Z85" s="623"/>
      <c r="AA85" s="582"/>
      <c r="AB85" s="582"/>
      <c r="AC85" s="582"/>
      <c r="AD85" s="582"/>
    </row>
    <row r="86">
      <c r="A86" s="582"/>
      <c r="B86" s="582"/>
      <c r="C86" s="582"/>
      <c r="D86" s="621"/>
      <c r="E86" s="622"/>
      <c r="F86" s="582"/>
      <c r="G86" s="582"/>
      <c r="H86" s="623"/>
      <c r="I86" s="624"/>
      <c r="J86" s="623"/>
      <c r="K86" s="624"/>
      <c r="L86" s="623"/>
      <c r="M86" s="623"/>
      <c r="N86" s="623"/>
      <c r="O86" s="623"/>
      <c r="P86" s="623"/>
      <c r="Q86" s="623"/>
      <c r="R86" s="623"/>
      <c r="S86" s="623"/>
      <c r="T86" s="623"/>
      <c r="U86" s="623"/>
      <c r="V86" s="623"/>
      <c r="W86" s="623"/>
      <c r="X86" s="623"/>
      <c r="Y86" s="623"/>
      <c r="Z86" s="623"/>
      <c r="AA86" s="582"/>
      <c r="AB86" s="582"/>
      <c r="AC86" s="582"/>
      <c r="AD86" s="582"/>
    </row>
    <row r="87">
      <c r="A87" s="582"/>
      <c r="B87" s="582"/>
      <c r="C87" s="582"/>
      <c r="D87" s="621"/>
      <c r="E87" s="622"/>
      <c r="F87" s="582"/>
      <c r="G87" s="582"/>
      <c r="H87" s="623"/>
      <c r="I87" s="624"/>
      <c r="J87" s="623"/>
      <c r="K87" s="624"/>
      <c r="L87" s="623"/>
      <c r="M87" s="623"/>
      <c r="N87" s="623"/>
      <c r="O87" s="623"/>
      <c r="P87" s="623"/>
      <c r="Q87" s="623"/>
      <c r="R87" s="623"/>
      <c r="S87" s="623"/>
      <c r="T87" s="623"/>
      <c r="U87" s="623"/>
      <c r="V87" s="623"/>
      <c r="W87" s="623"/>
      <c r="X87" s="623"/>
      <c r="Y87" s="623"/>
      <c r="Z87" s="623"/>
      <c r="AA87" s="582"/>
      <c r="AB87" s="582"/>
      <c r="AC87" s="582"/>
      <c r="AD87" s="582"/>
    </row>
    <row r="88">
      <c r="A88" s="582"/>
      <c r="B88" s="582"/>
      <c r="C88" s="582"/>
      <c r="D88" s="621"/>
      <c r="E88" s="622"/>
      <c r="F88" s="582"/>
      <c r="G88" s="582"/>
      <c r="H88" s="623"/>
      <c r="I88" s="624"/>
      <c r="J88" s="623"/>
      <c r="K88" s="624"/>
      <c r="L88" s="623"/>
      <c r="M88" s="623"/>
      <c r="N88" s="623"/>
      <c r="O88" s="623"/>
      <c r="P88" s="623"/>
      <c r="Q88" s="623"/>
      <c r="R88" s="623"/>
      <c r="S88" s="623"/>
      <c r="T88" s="623"/>
      <c r="U88" s="623"/>
      <c r="V88" s="623"/>
      <c r="W88" s="623"/>
      <c r="X88" s="623"/>
      <c r="Y88" s="623"/>
      <c r="Z88" s="623"/>
      <c r="AA88" s="582"/>
      <c r="AB88" s="582"/>
      <c r="AC88" s="582"/>
      <c r="AD88" s="582"/>
    </row>
    <row r="89">
      <c r="A89" s="582"/>
      <c r="B89" s="582"/>
      <c r="C89" s="582"/>
      <c r="D89" s="621"/>
      <c r="E89" s="622"/>
      <c r="F89" s="582"/>
      <c r="G89" s="582"/>
      <c r="H89" s="623"/>
      <c r="I89" s="624"/>
      <c r="J89" s="623"/>
      <c r="K89" s="624"/>
      <c r="L89" s="623"/>
      <c r="M89" s="623"/>
      <c r="N89" s="623"/>
      <c r="O89" s="623"/>
      <c r="P89" s="623"/>
      <c r="Q89" s="623"/>
      <c r="R89" s="623"/>
      <c r="S89" s="623"/>
      <c r="T89" s="623"/>
      <c r="U89" s="623"/>
      <c r="V89" s="623"/>
      <c r="W89" s="623"/>
      <c r="X89" s="623"/>
      <c r="Y89" s="623"/>
      <c r="Z89" s="623"/>
      <c r="AA89" s="582"/>
      <c r="AB89" s="582"/>
      <c r="AC89" s="582"/>
      <c r="AD89" s="582"/>
    </row>
    <row r="90">
      <c r="A90" s="582"/>
      <c r="B90" s="582"/>
      <c r="C90" s="582"/>
      <c r="D90" s="621"/>
      <c r="E90" s="622"/>
      <c r="F90" s="582"/>
      <c r="G90" s="582"/>
      <c r="H90" s="623"/>
      <c r="I90" s="624"/>
      <c r="J90" s="623"/>
      <c r="K90" s="624"/>
      <c r="L90" s="623"/>
      <c r="M90" s="623"/>
      <c r="N90" s="623"/>
      <c r="O90" s="623"/>
      <c r="P90" s="623"/>
      <c r="Q90" s="623"/>
      <c r="R90" s="623"/>
      <c r="S90" s="623"/>
      <c r="T90" s="623"/>
      <c r="U90" s="623"/>
      <c r="V90" s="623"/>
      <c r="W90" s="623"/>
      <c r="X90" s="623"/>
      <c r="Y90" s="623"/>
      <c r="Z90" s="623"/>
      <c r="AA90" s="582"/>
      <c r="AB90" s="582"/>
      <c r="AC90" s="582"/>
      <c r="AD90" s="582"/>
    </row>
    <row r="91">
      <c r="A91" s="582"/>
      <c r="B91" s="582"/>
      <c r="C91" s="582"/>
      <c r="D91" s="621"/>
      <c r="E91" s="622"/>
      <c r="F91" s="582"/>
      <c r="G91" s="582"/>
      <c r="H91" s="623"/>
      <c r="I91" s="624"/>
      <c r="J91" s="623"/>
      <c r="K91" s="624"/>
      <c r="L91" s="623"/>
      <c r="M91" s="623"/>
      <c r="N91" s="623"/>
      <c r="O91" s="623"/>
      <c r="P91" s="623"/>
      <c r="Q91" s="623"/>
      <c r="R91" s="623"/>
      <c r="S91" s="623"/>
      <c r="T91" s="623"/>
      <c r="U91" s="623"/>
      <c r="V91" s="623"/>
      <c r="W91" s="623"/>
      <c r="X91" s="623"/>
      <c r="Y91" s="623"/>
      <c r="Z91" s="623"/>
      <c r="AA91" s="582"/>
      <c r="AB91" s="582"/>
      <c r="AC91" s="582"/>
      <c r="AD91" s="582"/>
    </row>
    <row r="92">
      <c r="A92" s="582"/>
      <c r="B92" s="582"/>
      <c r="C92" s="582"/>
      <c r="D92" s="621"/>
      <c r="E92" s="622"/>
      <c r="F92" s="582"/>
      <c r="G92" s="582"/>
      <c r="H92" s="623"/>
      <c r="I92" s="624"/>
      <c r="J92" s="623"/>
      <c r="K92" s="624"/>
      <c r="L92" s="623"/>
      <c r="M92" s="623"/>
      <c r="N92" s="623"/>
      <c r="O92" s="623"/>
      <c r="P92" s="623"/>
      <c r="Q92" s="623"/>
      <c r="R92" s="623"/>
      <c r="S92" s="623"/>
      <c r="T92" s="623"/>
      <c r="U92" s="623"/>
      <c r="V92" s="623"/>
      <c r="W92" s="623"/>
      <c r="X92" s="623"/>
      <c r="Y92" s="623"/>
      <c r="Z92" s="623"/>
      <c r="AA92" s="582"/>
      <c r="AB92" s="582"/>
      <c r="AC92" s="582"/>
      <c r="AD92" s="582"/>
    </row>
    <row r="93">
      <c r="A93" s="582"/>
      <c r="B93" s="582"/>
      <c r="C93" s="582"/>
      <c r="D93" s="621"/>
      <c r="E93" s="622"/>
      <c r="F93" s="582"/>
      <c r="G93" s="582"/>
      <c r="H93" s="623"/>
      <c r="I93" s="624"/>
      <c r="J93" s="623"/>
      <c r="K93" s="624"/>
      <c r="L93" s="623"/>
      <c r="M93" s="623"/>
      <c r="N93" s="623"/>
      <c r="O93" s="623"/>
      <c r="P93" s="623"/>
      <c r="Q93" s="623"/>
      <c r="R93" s="623"/>
      <c r="S93" s="623"/>
      <c r="T93" s="623"/>
      <c r="U93" s="623"/>
      <c r="V93" s="623"/>
      <c r="W93" s="623"/>
      <c r="X93" s="623"/>
      <c r="Y93" s="623"/>
      <c r="Z93" s="623"/>
      <c r="AA93" s="582"/>
      <c r="AB93" s="582"/>
      <c r="AC93" s="582"/>
      <c r="AD93" s="582"/>
    </row>
    <row r="94">
      <c r="A94" s="582"/>
      <c r="B94" s="582"/>
      <c r="C94" s="582"/>
      <c r="D94" s="621"/>
      <c r="E94" s="622"/>
      <c r="F94" s="582"/>
      <c r="G94" s="582"/>
      <c r="H94" s="623"/>
      <c r="I94" s="624"/>
      <c r="J94" s="623"/>
      <c r="K94" s="624"/>
      <c r="L94" s="623"/>
      <c r="M94" s="623"/>
      <c r="N94" s="623"/>
      <c r="O94" s="623"/>
      <c r="P94" s="623"/>
      <c r="Q94" s="623"/>
      <c r="R94" s="623"/>
      <c r="S94" s="623"/>
      <c r="T94" s="623"/>
      <c r="U94" s="623"/>
      <c r="V94" s="623"/>
      <c r="W94" s="623"/>
      <c r="X94" s="623"/>
      <c r="Y94" s="623"/>
      <c r="Z94" s="623"/>
      <c r="AA94" s="582"/>
      <c r="AB94" s="582"/>
      <c r="AC94" s="582"/>
      <c r="AD94" s="582"/>
    </row>
    <row r="95">
      <c r="A95" s="582"/>
      <c r="B95" s="582"/>
      <c r="C95" s="582"/>
      <c r="D95" s="621"/>
      <c r="E95" s="622"/>
      <c r="F95" s="582"/>
      <c r="G95" s="582"/>
      <c r="H95" s="623"/>
      <c r="I95" s="624"/>
      <c r="J95" s="623"/>
      <c r="K95" s="624"/>
      <c r="L95" s="623"/>
      <c r="M95" s="623"/>
      <c r="N95" s="623"/>
      <c r="O95" s="623"/>
      <c r="P95" s="623"/>
      <c r="Q95" s="623"/>
      <c r="R95" s="623"/>
      <c r="S95" s="623"/>
      <c r="T95" s="623"/>
      <c r="U95" s="623"/>
      <c r="V95" s="623"/>
      <c r="W95" s="623"/>
      <c r="X95" s="623"/>
      <c r="Y95" s="623"/>
      <c r="Z95" s="623"/>
      <c r="AA95" s="582"/>
      <c r="AB95" s="582"/>
      <c r="AC95" s="582"/>
      <c r="AD95" s="582"/>
    </row>
    <row r="96">
      <c r="A96" s="582"/>
      <c r="B96" s="582"/>
      <c r="C96" s="582"/>
      <c r="D96" s="621"/>
      <c r="E96" s="622"/>
      <c r="F96" s="582"/>
      <c r="G96" s="582"/>
      <c r="H96" s="623"/>
      <c r="I96" s="624"/>
      <c r="J96" s="623"/>
      <c r="K96" s="624"/>
      <c r="L96" s="623"/>
      <c r="M96" s="623"/>
      <c r="N96" s="623"/>
      <c r="O96" s="623"/>
      <c r="P96" s="623"/>
      <c r="Q96" s="623"/>
      <c r="R96" s="623"/>
      <c r="S96" s="623"/>
      <c r="T96" s="623"/>
      <c r="U96" s="623"/>
      <c r="V96" s="623"/>
      <c r="W96" s="623"/>
      <c r="X96" s="623"/>
      <c r="Y96" s="623"/>
      <c r="Z96" s="623"/>
      <c r="AA96" s="582"/>
      <c r="AB96" s="582"/>
      <c r="AC96" s="582"/>
      <c r="AD96" s="582"/>
    </row>
    <row r="97">
      <c r="A97" s="582"/>
      <c r="B97" s="582"/>
      <c r="C97" s="582"/>
      <c r="D97" s="621"/>
      <c r="E97" s="622"/>
      <c r="F97" s="582"/>
      <c r="G97" s="582"/>
      <c r="H97" s="623"/>
      <c r="I97" s="624"/>
      <c r="J97" s="623"/>
      <c r="K97" s="624"/>
      <c r="L97" s="623"/>
      <c r="M97" s="623"/>
      <c r="N97" s="623"/>
      <c r="O97" s="623"/>
      <c r="P97" s="623"/>
      <c r="Q97" s="623"/>
      <c r="R97" s="623"/>
      <c r="S97" s="623"/>
      <c r="T97" s="623"/>
      <c r="U97" s="623"/>
      <c r="V97" s="623"/>
      <c r="W97" s="623"/>
      <c r="X97" s="623"/>
      <c r="Y97" s="623"/>
      <c r="Z97" s="623"/>
      <c r="AA97" s="582"/>
      <c r="AB97" s="582"/>
      <c r="AC97" s="582"/>
      <c r="AD97" s="582"/>
    </row>
    <row r="98">
      <c r="A98" s="582"/>
      <c r="B98" s="582"/>
      <c r="C98" s="582"/>
      <c r="D98" s="621"/>
      <c r="E98" s="622"/>
      <c r="F98" s="582"/>
      <c r="G98" s="582"/>
      <c r="H98" s="623"/>
      <c r="I98" s="624"/>
      <c r="J98" s="623"/>
      <c r="K98" s="624"/>
      <c r="L98" s="623"/>
      <c r="M98" s="623"/>
      <c r="N98" s="623"/>
      <c r="O98" s="623"/>
      <c r="P98" s="623"/>
      <c r="Q98" s="623"/>
      <c r="R98" s="623"/>
      <c r="S98" s="623"/>
      <c r="T98" s="623"/>
      <c r="U98" s="623"/>
      <c r="V98" s="623"/>
      <c r="W98" s="623"/>
      <c r="X98" s="623"/>
      <c r="Y98" s="623"/>
      <c r="Z98" s="623"/>
      <c r="AA98" s="582"/>
      <c r="AB98" s="582"/>
      <c r="AC98" s="582"/>
      <c r="AD98" s="582"/>
    </row>
    <row r="99">
      <c r="A99" s="582"/>
      <c r="B99" s="582"/>
      <c r="C99" s="582"/>
      <c r="D99" s="621"/>
      <c r="E99" s="622"/>
      <c r="F99" s="582"/>
      <c r="G99" s="582"/>
      <c r="H99" s="623"/>
      <c r="I99" s="624"/>
      <c r="J99" s="623"/>
      <c r="K99" s="624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582"/>
      <c r="AB99" s="582"/>
      <c r="AC99" s="582"/>
      <c r="AD99" s="582"/>
    </row>
    <row r="100">
      <c r="A100" s="582"/>
      <c r="B100" s="582"/>
      <c r="C100" s="582"/>
      <c r="D100" s="621"/>
      <c r="E100" s="622"/>
      <c r="F100" s="582"/>
      <c r="G100" s="582"/>
      <c r="H100" s="623"/>
      <c r="I100" s="624"/>
      <c r="J100" s="623"/>
      <c r="K100" s="624"/>
      <c r="L100" s="623"/>
      <c r="M100" s="623"/>
      <c r="N100" s="623"/>
      <c r="O100" s="623"/>
      <c r="P100" s="623"/>
      <c r="Q100" s="623"/>
      <c r="R100" s="623"/>
      <c r="S100" s="623"/>
      <c r="T100" s="623"/>
      <c r="U100" s="623"/>
      <c r="V100" s="623"/>
      <c r="W100" s="623"/>
      <c r="X100" s="623"/>
      <c r="Y100" s="623"/>
      <c r="Z100" s="623"/>
      <c r="AA100" s="582"/>
      <c r="AB100" s="582"/>
      <c r="AC100" s="582"/>
      <c r="AD100" s="582"/>
    </row>
    <row r="101">
      <c r="A101" s="582"/>
      <c r="B101" s="582"/>
      <c r="C101" s="582"/>
      <c r="D101" s="621"/>
      <c r="E101" s="622"/>
      <c r="F101" s="582"/>
      <c r="G101" s="582"/>
      <c r="H101" s="623"/>
      <c r="I101" s="624"/>
      <c r="J101" s="623"/>
      <c r="K101" s="624"/>
      <c r="L101" s="623"/>
      <c r="M101" s="623"/>
      <c r="N101" s="623"/>
      <c r="O101" s="623"/>
      <c r="P101" s="623"/>
      <c r="Q101" s="623"/>
      <c r="R101" s="623"/>
      <c r="S101" s="623"/>
      <c r="T101" s="623"/>
      <c r="U101" s="623"/>
      <c r="V101" s="623"/>
      <c r="W101" s="623"/>
      <c r="X101" s="623"/>
      <c r="Y101" s="623"/>
      <c r="Z101" s="623"/>
      <c r="AA101" s="582"/>
      <c r="AB101" s="582"/>
      <c r="AC101" s="582"/>
      <c r="AD101" s="582"/>
    </row>
    <row r="102">
      <c r="A102" s="582"/>
      <c r="B102" s="582"/>
      <c r="C102" s="582"/>
      <c r="D102" s="621"/>
      <c r="E102" s="622"/>
      <c r="F102" s="582"/>
      <c r="G102" s="582"/>
      <c r="H102" s="623"/>
      <c r="I102" s="624"/>
      <c r="J102" s="623"/>
      <c r="K102" s="624"/>
      <c r="L102" s="623"/>
      <c r="M102" s="623"/>
      <c r="N102" s="623"/>
      <c r="O102" s="623"/>
      <c r="P102" s="623"/>
      <c r="Q102" s="623"/>
      <c r="R102" s="623"/>
      <c r="S102" s="623"/>
      <c r="T102" s="623"/>
      <c r="U102" s="623"/>
      <c r="V102" s="623"/>
      <c r="W102" s="623"/>
      <c r="X102" s="623"/>
      <c r="Y102" s="623"/>
      <c r="Z102" s="623"/>
      <c r="AA102" s="582"/>
      <c r="AB102" s="582"/>
      <c r="AC102" s="582"/>
      <c r="AD102" s="582"/>
    </row>
    <row r="103">
      <c r="A103" s="582"/>
      <c r="B103" s="582"/>
      <c r="C103" s="582"/>
      <c r="D103" s="621"/>
      <c r="E103" s="622"/>
      <c r="F103" s="582"/>
      <c r="G103" s="582"/>
      <c r="H103" s="623"/>
      <c r="I103" s="624"/>
      <c r="J103" s="623"/>
      <c r="K103" s="624"/>
      <c r="L103" s="623"/>
      <c r="M103" s="623"/>
      <c r="N103" s="623"/>
      <c r="O103" s="623"/>
      <c r="P103" s="623"/>
      <c r="Q103" s="623"/>
      <c r="R103" s="623"/>
      <c r="S103" s="623"/>
      <c r="T103" s="623"/>
      <c r="U103" s="623"/>
      <c r="V103" s="623"/>
      <c r="W103" s="623"/>
      <c r="X103" s="623"/>
      <c r="Y103" s="623"/>
      <c r="Z103" s="623"/>
      <c r="AA103" s="582"/>
      <c r="AB103" s="582"/>
      <c r="AC103" s="582"/>
      <c r="AD103" s="582"/>
    </row>
    <row r="104">
      <c r="A104" s="582"/>
      <c r="B104" s="582"/>
      <c r="C104" s="582"/>
      <c r="D104" s="621"/>
      <c r="E104" s="622"/>
      <c r="F104" s="582"/>
      <c r="G104" s="582"/>
      <c r="H104" s="623"/>
      <c r="I104" s="624"/>
      <c r="J104" s="623"/>
      <c r="K104" s="624"/>
      <c r="L104" s="623"/>
      <c r="M104" s="623"/>
      <c r="N104" s="623"/>
      <c r="O104" s="623"/>
      <c r="P104" s="623"/>
      <c r="Q104" s="623"/>
      <c r="R104" s="623"/>
      <c r="S104" s="623"/>
      <c r="T104" s="623"/>
      <c r="U104" s="623"/>
      <c r="V104" s="623"/>
      <c r="W104" s="623"/>
      <c r="X104" s="623"/>
      <c r="Y104" s="623"/>
      <c r="Z104" s="623"/>
      <c r="AA104" s="582"/>
      <c r="AB104" s="582"/>
      <c r="AC104" s="582"/>
      <c r="AD104" s="582"/>
    </row>
    <row r="105">
      <c r="A105" s="582"/>
      <c r="B105" s="582"/>
      <c r="C105" s="582"/>
      <c r="D105" s="621"/>
      <c r="E105" s="622"/>
      <c r="F105" s="582"/>
      <c r="G105" s="582"/>
      <c r="H105" s="623"/>
      <c r="I105" s="624"/>
      <c r="J105" s="623"/>
      <c r="K105" s="624"/>
      <c r="L105" s="623"/>
      <c r="M105" s="623"/>
      <c r="N105" s="623"/>
      <c r="O105" s="623"/>
      <c r="P105" s="623"/>
      <c r="Q105" s="623"/>
      <c r="R105" s="623"/>
      <c r="S105" s="623"/>
      <c r="T105" s="623"/>
      <c r="U105" s="623"/>
      <c r="V105" s="623"/>
      <c r="W105" s="623"/>
      <c r="X105" s="623"/>
      <c r="Y105" s="623"/>
      <c r="Z105" s="623"/>
      <c r="AA105" s="582"/>
      <c r="AB105" s="582"/>
      <c r="AC105" s="582"/>
      <c r="AD105" s="582"/>
    </row>
    <row r="106">
      <c r="A106" s="582"/>
      <c r="B106" s="582"/>
      <c r="C106" s="582"/>
      <c r="D106" s="621"/>
      <c r="E106" s="622"/>
      <c r="F106" s="582"/>
      <c r="G106" s="582"/>
      <c r="H106" s="623"/>
      <c r="I106" s="624"/>
      <c r="J106" s="623"/>
      <c r="K106" s="624"/>
      <c r="L106" s="623"/>
      <c r="M106" s="623"/>
      <c r="N106" s="623"/>
      <c r="O106" s="623"/>
      <c r="P106" s="623"/>
      <c r="Q106" s="623"/>
      <c r="R106" s="623"/>
      <c r="S106" s="623"/>
      <c r="T106" s="623"/>
      <c r="U106" s="623"/>
      <c r="V106" s="623"/>
      <c r="W106" s="623"/>
      <c r="X106" s="623"/>
      <c r="Y106" s="623"/>
      <c r="Z106" s="623"/>
      <c r="AA106" s="582"/>
      <c r="AB106" s="582"/>
      <c r="AC106" s="582"/>
      <c r="AD106" s="582"/>
    </row>
    <row r="107">
      <c r="A107" s="582"/>
      <c r="B107" s="582"/>
      <c r="C107" s="582"/>
      <c r="D107" s="621"/>
      <c r="E107" s="622"/>
      <c r="F107" s="582"/>
      <c r="G107" s="582"/>
      <c r="H107" s="623"/>
      <c r="I107" s="624"/>
      <c r="J107" s="623"/>
      <c r="K107" s="624"/>
      <c r="L107" s="623"/>
      <c r="M107" s="623"/>
      <c r="N107" s="623"/>
      <c r="O107" s="623"/>
      <c r="P107" s="623"/>
      <c r="Q107" s="623"/>
      <c r="R107" s="623"/>
      <c r="S107" s="623"/>
      <c r="T107" s="623"/>
      <c r="U107" s="623"/>
      <c r="V107" s="623"/>
      <c r="W107" s="623"/>
      <c r="X107" s="623"/>
      <c r="Y107" s="623"/>
      <c r="Z107" s="623"/>
      <c r="AA107" s="582"/>
      <c r="AB107" s="582"/>
      <c r="AC107" s="582"/>
      <c r="AD107" s="582"/>
    </row>
    <row r="108">
      <c r="A108" s="582"/>
      <c r="B108" s="582"/>
      <c r="C108" s="582"/>
      <c r="D108" s="621"/>
      <c r="E108" s="622"/>
      <c r="F108" s="582"/>
      <c r="G108" s="582"/>
      <c r="H108" s="623"/>
      <c r="I108" s="624"/>
      <c r="J108" s="623"/>
      <c r="K108" s="624"/>
      <c r="L108" s="623"/>
      <c r="M108" s="623"/>
      <c r="N108" s="623"/>
      <c r="O108" s="623"/>
      <c r="P108" s="623"/>
      <c r="Q108" s="623"/>
      <c r="R108" s="623"/>
      <c r="S108" s="623"/>
      <c r="T108" s="623"/>
      <c r="U108" s="623"/>
      <c r="V108" s="623"/>
      <c r="W108" s="623"/>
      <c r="X108" s="623"/>
      <c r="Y108" s="623"/>
      <c r="Z108" s="623"/>
      <c r="AA108" s="582"/>
      <c r="AB108" s="582"/>
      <c r="AC108" s="582"/>
      <c r="AD108" s="582"/>
    </row>
    <row r="109">
      <c r="A109" s="582"/>
      <c r="B109" s="582"/>
      <c r="C109" s="582"/>
      <c r="D109" s="621"/>
      <c r="E109" s="622"/>
      <c r="F109" s="582"/>
      <c r="G109" s="582"/>
      <c r="H109" s="623"/>
      <c r="I109" s="624"/>
      <c r="J109" s="623"/>
      <c r="K109" s="624"/>
      <c r="L109" s="623"/>
      <c r="M109" s="623"/>
      <c r="N109" s="623"/>
      <c r="O109" s="623"/>
      <c r="P109" s="623"/>
      <c r="Q109" s="623"/>
      <c r="R109" s="623"/>
      <c r="S109" s="623"/>
      <c r="T109" s="623"/>
      <c r="U109" s="623"/>
      <c r="V109" s="623"/>
      <c r="W109" s="623"/>
      <c r="X109" s="623"/>
      <c r="Y109" s="623"/>
      <c r="Z109" s="623"/>
      <c r="AA109" s="582"/>
      <c r="AB109" s="582"/>
      <c r="AC109" s="582"/>
      <c r="AD109" s="582"/>
    </row>
    <row r="110">
      <c r="A110" s="582"/>
      <c r="B110" s="582"/>
      <c r="C110" s="582"/>
      <c r="D110" s="621"/>
      <c r="E110" s="622"/>
      <c r="F110" s="582"/>
      <c r="G110" s="582"/>
      <c r="H110" s="623"/>
      <c r="I110" s="624"/>
      <c r="J110" s="623"/>
      <c r="K110" s="624"/>
      <c r="L110" s="623"/>
      <c r="M110" s="623"/>
      <c r="N110" s="623"/>
      <c r="O110" s="623"/>
      <c r="P110" s="623"/>
      <c r="Q110" s="623"/>
      <c r="R110" s="623"/>
      <c r="S110" s="623"/>
      <c r="T110" s="623"/>
      <c r="U110" s="623"/>
      <c r="V110" s="623"/>
      <c r="W110" s="623"/>
      <c r="X110" s="623"/>
      <c r="Y110" s="623"/>
      <c r="Z110" s="623"/>
      <c r="AA110" s="582"/>
      <c r="AB110" s="582"/>
      <c r="AC110" s="582"/>
      <c r="AD110" s="582"/>
    </row>
    <row r="111">
      <c r="A111" s="582"/>
      <c r="B111" s="582"/>
      <c r="C111" s="582"/>
      <c r="D111" s="621"/>
      <c r="E111" s="622"/>
      <c r="F111" s="582"/>
      <c r="G111" s="582"/>
      <c r="H111" s="623"/>
      <c r="I111" s="624"/>
      <c r="J111" s="623"/>
      <c r="K111" s="624"/>
      <c r="L111" s="623"/>
      <c r="M111" s="623"/>
      <c r="N111" s="623"/>
      <c r="O111" s="623"/>
      <c r="P111" s="623"/>
      <c r="Q111" s="623"/>
      <c r="R111" s="623"/>
      <c r="S111" s="623"/>
      <c r="T111" s="623"/>
      <c r="U111" s="623"/>
      <c r="V111" s="623"/>
      <c r="W111" s="623"/>
      <c r="X111" s="623"/>
      <c r="Y111" s="623"/>
      <c r="Z111" s="623"/>
      <c r="AA111" s="582"/>
      <c r="AB111" s="582"/>
      <c r="AC111" s="582"/>
      <c r="AD111" s="582"/>
    </row>
    <row r="112">
      <c r="A112" s="582"/>
      <c r="B112" s="582"/>
      <c r="C112" s="582"/>
      <c r="D112" s="621"/>
      <c r="E112" s="622"/>
      <c r="F112" s="582"/>
      <c r="G112" s="582"/>
      <c r="H112" s="623"/>
      <c r="I112" s="624"/>
      <c r="J112" s="623"/>
      <c r="K112" s="624"/>
      <c r="L112" s="623"/>
      <c r="M112" s="623"/>
      <c r="N112" s="623"/>
      <c r="O112" s="623"/>
      <c r="P112" s="623"/>
      <c r="Q112" s="623"/>
      <c r="R112" s="623"/>
      <c r="S112" s="623"/>
      <c r="T112" s="623"/>
      <c r="U112" s="623"/>
      <c r="V112" s="623"/>
      <c r="W112" s="623"/>
      <c r="X112" s="623"/>
      <c r="Y112" s="623"/>
      <c r="Z112" s="623"/>
      <c r="AA112" s="582"/>
      <c r="AB112" s="582"/>
      <c r="AC112" s="582"/>
      <c r="AD112" s="582"/>
    </row>
    <row r="113">
      <c r="A113" s="582"/>
      <c r="B113" s="582"/>
      <c r="C113" s="582"/>
      <c r="D113" s="621"/>
      <c r="E113" s="622"/>
      <c r="F113" s="582"/>
      <c r="G113" s="582"/>
      <c r="H113" s="623"/>
      <c r="I113" s="624"/>
      <c r="J113" s="623"/>
      <c r="K113" s="624"/>
      <c r="L113" s="623"/>
      <c r="M113" s="623"/>
      <c r="N113" s="623"/>
      <c r="O113" s="623"/>
      <c r="P113" s="623"/>
      <c r="Q113" s="623"/>
      <c r="R113" s="623"/>
      <c r="S113" s="623"/>
      <c r="T113" s="623"/>
      <c r="U113" s="623"/>
      <c r="V113" s="623"/>
      <c r="W113" s="623"/>
      <c r="X113" s="623"/>
      <c r="Y113" s="623"/>
      <c r="Z113" s="623"/>
      <c r="AA113" s="582"/>
      <c r="AB113" s="582"/>
      <c r="AC113" s="582"/>
      <c r="AD113" s="582"/>
    </row>
    <row r="114">
      <c r="A114" s="582"/>
      <c r="B114" s="582"/>
      <c r="C114" s="582"/>
      <c r="D114" s="621"/>
      <c r="E114" s="622"/>
      <c r="F114" s="582"/>
      <c r="G114" s="582"/>
      <c r="H114" s="623"/>
      <c r="I114" s="624"/>
      <c r="J114" s="623"/>
      <c r="K114" s="624"/>
      <c r="L114" s="623"/>
      <c r="M114" s="623"/>
      <c r="N114" s="623"/>
      <c r="O114" s="623"/>
      <c r="P114" s="623"/>
      <c r="Q114" s="623"/>
      <c r="R114" s="623"/>
      <c r="S114" s="623"/>
      <c r="T114" s="623"/>
      <c r="U114" s="623"/>
      <c r="V114" s="623"/>
      <c r="W114" s="623"/>
      <c r="X114" s="623"/>
      <c r="Y114" s="623"/>
      <c r="Z114" s="623"/>
      <c r="AA114" s="582"/>
      <c r="AB114" s="582"/>
      <c r="AC114" s="582"/>
      <c r="AD114" s="582"/>
    </row>
    <row r="115">
      <c r="A115" s="582"/>
      <c r="B115" s="582"/>
      <c r="C115" s="582"/>
      <c r="D115" s="621"/>
      <c r="E115" s="622"/>
      <c r="F115" s="582"/>
      <c r="G115" s="582"/>
      <c r="H115" s="623"/>
      <c r="I115" s="624"/>
      <c r="J115" s="623"/>
      <c r="K115" s="624"/>
      <c r="L115" s="623"/>
      <c r="M115" s="623"/>
      <c r="N115" s="623"/>
      <c r="O115" s="623"/>
      <c r="P115" s="623"/>
      <c r="Q115" s="623"/>
      <c r="R115" s="623"/>
      <c r="S115" s="623"/>
      <c r="T115" s="623"/>
      <c r="U115" s="623"/>
      <c r="V115" s="623"/>
      <c r="W115" s="623"/>
      <c r="X115" s="623"/>
      <c r="Y115" s="623"/>
      <c r="Z115" s="623"/>
      <c r="AA115" s="582"/>
      <c r="AB115" s="582"/>
      <c r="AC115" s="582"/>
      <c r="AD115" s="582"/>
    </row>
    <row r="116">
      <c r="A116" s="582"/>
      <c r="B116" s="582"/>
      <c r="C116" s="582"/>
      <c r="D116" s="621"/>
      <c r="E116" s="622"/>
      <c r="F116" s="582"/>
      <c r="G116" s="582"/>
      <c r="H116" s="623"/>
      <c r="I116" s="624"/>
      <c r="J116" s="623"/>
      <c r="K116" s="624"/>
      <c r="L116" s="623"/>
      <c r="M116" s="623"/>
      <c r="N116" s="623"/>
      <c r="O116" s="623"/>
      <c r="P116" s="623"/>
      <c r="Q116" s="623"/>
      <c r="R116" s="623"/>
      <c r="S116" s="623"/>
      <c r="T116" s="623"/>
      <c r="U116" s="623"/>
      <c r="V116" s="623"/>
      <c r="W116" s="623"/>
      <c r="X116" s="623"/>
      <c r="Y116" s="623"/>
      <c r="Z116" s="623"/>
      <c r="AA116" s="582"/>
      <c r="AB116" s="582"/>
      <c r="AC116" s="582"/>
      <c r="AD116" s="582"/>
    </row>
    <row r="117">
      <c r="A117" s="582"/>
      <c r="B117" s="582"/>
      <c r="C117" s="582"/>
      <c r="D117" s="621"/>
      <c r="E117" s="622"/>
      <c r="F117" s="582"/>
      <c r="G117" s="582"/>
      <c r="H117" s="623"/>
      <c r="I117" s="624"/>
      <c r="J117" s="623"/>
      <c r="K117" s="624"/>
      <c r="L117" s="623"/>
      <c r="M117" s="623"/>
      <c r="N117" s="623"/>
      <c r="O117" s="623"/>
      <c r="P117" s="623"/>
      <c r="Q117" s="623"/>
      <c r="R117" s="623"/>
      <c r="S117" s="623"/>
      <c r="T117" s="623"/>
      <c r="U117" s="623"/>
      <c r="V117" s="623"/>
      <c r="W117" s="623"/>
      <c r="X117" s="623"/>
      <c r="Y117" s="623"/>
      <c r="Z117" s="623"/>
      <c r="AA117" s="582"/>
      <c r="AB117" s="582"/>
      <c r="AC117" s="582"/>
      <c r="AD117" s="582"/>
    </row>
    <row r="118">
      <c r="A118" s="582"/>
      <c r="B118" s="582"/>
      <c r="C118" s="582"/>
      <c r="D118" s="621"/>
      <c r="E118" s="622"/>
      <c r="F118" s="582"/>
      <c r="G118" s="582"/>
      <c r="H118" s="623"/>
      <c r="I118" s="624"/>
      <c r="J118" s="623"/>
      <c r="K118" s="624"/>
      <c r="L118" s="623"/>
      <c r="M118" s="623"/>
      <c r="N118" s="623"/>
      <c r="O118" s="623"/>
      <c r="P118" s="623"/>
      <c r="Q118" s="623"/>
      <c r="R118" s="623"/>
      <c r="S118" s="623"/>
      <c r="T118" s="623"/>
      <c r="U118" s="623"/>
      <c r="V118" s="623"/>
      <c r="W118" s="623"/>
      <c r="X118" s="623"/>
      <c r="Y118" s="623"/>
      <c r="Z118" s="623"/>
      <c r="AA118" s="582"/>
      <c r="AB118" s="582"/>
      <c r="AC118" s="582"/>
      <c r="AD118" s="582"/>
    </row>
    <row r="119">
      <c r="A119" s="582"/>
      <c r="B119" s="582"/>
      <c r="C119" s="582"/>
      <c r="D119" s="621"/>
      <c r="E119" s="622"/>
      <c r="F119" s="582"/>
      <c r="G119" s="582"/>
      <c r="H119" s="623"/>
      <c r="I119" s="624"/>
      <c r="J119" s="623"/>
      <c r="K119" s="624"/>
      <c r="L119" s="623"/>
      <c r="M119" s="623"/>
      <c r="N119" s="623"/>
      <c r="O119" s="623"/>
      <c r="P119" s="623"/>
      <c r="Q119" s="623"/>
      <c r="R119" s="623"/>
      <c r="S119" s="623"/>
      <c r="T119" s="623"/>
      <c r="U119" s="623"/>
      <c r="V119" s="623"/>
      <c r="W119" s="623"/>
      <c r="X119" s="623"/>
      <c r="Y119" s="623"/>
      <c r="Z119" s="623"/>
      <c r="AA119" s="582"/>
      <c r="AB119" s="582"/>
      <c r="AC119" s="582"/>
      <c r="AD119" s="582"/>
    </row>
    <row r="120">
      <c r="A120" s="582"/>
      <c r="B120" s="582"/>
      <c r="C120" s="582"/>
      <c r="D120" s="621"/>
      <c r="E120" s="622"/>
      <c r="F120" s="582"/>
      <c r="G120" s="582"/>
      <c r="H120" s="623"/>
      <c r="I120" s="624"/>
      <c r="J120" s="623"/>
      <c r="K120" s="624"/>
      <c r="L120" s="623"/>
      <c r="M120" s="623"/>
      <c r="N120" s="623"/>
      <c r="O120" s="623"/>
      <c r="P120" s="623"/>
      <c r="Q120" s="623"/>
      <c r="R120" s="623"/>
      <c r="S120" s="623"/>
      <c r="T120" s="623"/>
      <c r="U120" s="623"/>
      <c r="V120" s="623"/>
      <c r="W120" s="623"/>
      <c r="X120" s="623"/>
      <c r="Y120" s="623"/>
      <c r="Z120" s="623"/>
      <c r="AA120" s="582"/>
      <c r="AB120" s="582"/>
      <c r="AC120" s="582"/>
      <c r="AD120" s="582"/>
    </row>
    <row r="121">
      <c r="A121" s="582"/>
      <c r="B121" s="582"/>
      <c r="C121" s="582"/>
      <c r="D121" s="621"/>
      <c r="E121" s="622"/>
      <c r="F121" s="582"/>
      <c r="G121" s="582"/>
      <c r="H121" s="623"/>
      <c r="I121" s="624"/>
      <c r="J121" s="623"/>
      <c r="K121" s="624"/>
      <c r="L121" s="623"/>
      <c r="M121" s="623"/>
      <c r="N121" s="623"/>
      <c r="O121" s="623"/>
      <c r="P121" s="623"/>
      <c r="Q121" s="623"/>
      <c r="R121" s="623"/>
      <c r="S121" s="623"/>
      <c r="T121" s="623"/>
      <c r="U121" s="623"/>
      <c r="V121" s="623"/>
      <c r="W121" s="623"/>
      <c r="X121" s="623"/>
      <c r="Y121" s="623"/>
      <c r="Z121" s="623"/>
      <c r="AA121" s="582"/>
      <c r="AB121" s="582"/>
      <c r="AC121" s="582"/>
      <c r="AD121" s="582"/>
    </row>
    <row r="122">
      <c r="A122" s="582"/>
      <c r="B122" s="582"/>
      <c r="C122" s="582"/>
      <c r="D122" s="621"/>
      <c r="E122" s="622"/>
      <c r="F122" s="582"/>
      <c r="G122" s="582"/>
      <c r="H122" s="623"/>
      <c r="I122" s="624"/>
      <c r="J122" s="623"/>
      <c r="K122" s="624"/>
      <c r="L122" s="623"/>
      <c r="M122" s="623"/>
      <c r="N122" s="623"/>
      <c r="O122" s="623"/>
      <c r="P122" s="623"/>
      <c r="Q122" s="623"/>
      <c r="R122" s="623"/>
      <c r="S122" s="623"/>
      <c r="T122" s="623"/>
      <c r="U122" s="623"/>
      <c r="V122" s="623"/>
      <c r="W122" s="623"/>
      <c r="X122" s="623"/>
      <c r="Y122" s="623"/>
      <c r="Z122" s="623"/>
      <c r="AA122" s="582"/>
      <c r="AB122" s="582"/>
      <c r="AC122" s="582"/>
      <c r="AD122" s="582"/>
    </row>
    <row r="123">
      <c r="A123" s="582"/>
      <c r="B123" s="582"/>
      <c r="C123" s="582"/>
      <c r="D123" s="621"/>
      <c r="E123" s="622"/>
      <c r="F123" s="582"/>
      <c r="G123" s="582"/>
      <c r="H123" s="623"/>
      <c r="I123" s="624"/>
      <c r="J123" s="623"/>
      <c r="K123" s="624"/>
      <c r="L123" s="623"/>
      <c r="M123" s="623"/>
      <c r="N123" s="623"/>
      <c r="O123" s="623"/>
      <c r="P123" s="623"/>
      <c r="Q123" s="623"/>
      <c r="R123" s="623"/>
      <c r="S123" s="623"/>
      <c r="T123" s="623"/>
      <c r="U123" s="623"/>
      <c r="V123" s="623"/>
      <c r="W123" s="623"/>
      <c r="X123" s="623"/>
      <c r="Y123" s="623"/>
      <c r="Z123" s="623"/>
      <c r="AA123" s="582"/>
      <c r="AB123" s="582"/>
      <c r="AC123" s="582"/>
      <c r="AD123" s="582"/>
    </row>
    <row r="124">
      <c r="A124" s="582"/>
      <c r="B124" s="582"/>
      <c r="C124" s="582"/>
      <c r="D124" s="621"/>
      <c r="E124" s="622"/>
      <c r="F124" s="582"/>
      <c r="G124" s="582"/>
      <c r="H124" s="623"/>
      <c r="I124" s="624"/>
      <c r="J124" s="623"/>
      <c r="K124" s="624"/>
      <c r="L124" s="623"/>
      <c r="M124" s="623"/>
      <c r="N124" s="623"/>
      <c r="O124" s="623"/>
      <c r="P124" s="623"/>
      <c r="Q124" s="623"/>
      <c r="R124" s="623"/>
      <c r="S124" s="623"/>
      <c r="T124" s="623"/>
      <c r="U124" s="623"/>
      <c r="V124" s="623"/>
      <c r="W124" s="623"/>
      <c r="X124" s="623"/>
      <c r="Y124" s="623"/>
      <c r="Z124" s="623"/>
      <c r="AA124" s="582"/>
      <c r="AB124" s="582"/>
      <c r="AC124" s="582"/>
      <c r="AD124" s="582"/>
    </row>
    <row r="125">
      <c r="A125" s="582"/>
      <c r="B125" s="582"/>
      <c r="C125" s="582"/>
      <c r="D125" s="621"/>
      <c r="E125" s="622"/>
      <c r="F125" s="582"/>
      <c r="G125" s="582"/>
      <c r="H125" s="623"/>
      <c r="I125" s="624"/>
      <c r="J125" s="623"/>
      <c r="K125" s="624"/>
      <c r="L125" s="623"/>
      <c r="M125" s="623"/>
      <c r="N125" s="623"/>
      <c r="O125" s="623"/>
      <c r="P125" s="623"/>
      <c r="Q125" s="623"/>
      <c r="R125" s="623"/>
      <c r="S125" s="623"/>
      <c r="T125" s="623"/>
      <c r="U125" s="623"/>
      <c r="V125" s="623"/>
      <c r="W125" s="623"/>
      <c r="X125" s="623"/>
      <c r="Y125" s="623"/>
      <c r="Z125" s="623"/>
      <c r="AA125" s="582"/>
      <c r="AB125" s="582"/>
      <c r="AC125" s="582"/>
      <c r="AD125" s="582"/>
    </row>
    <row r="126">
      <c r="A126" s="582"/>
      <c r="B126" s="582"/>
      <c r="C126" s="582"/>
      <c r="D126" s="621"/>
      <c r="E126" s="622"/>
      <c r="F126" s="582"/>
      <c r="G126" s="582"/>
      <c r="H126" s="623"/>
      <c r="I126" s="624"/>
      <c r="J126" s="623"/>
      <c r="K126" s="624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582"/>
      <c r="AB126" s="582"/>
      <c r="AC126" s="582"/>
      <c r="AD126" s="582"/>
    </row>
    <row r="127">
      <c r="A127" s="582"/>
      <c r="B127" s="582"/>
      <c r="C127" s="582"/>
      <c r="D127" s="621"/>
      <c r="E127" s="622"/>
      <c r="F127" s="582"/>
      <c r="G127" s="582"/>
      <c r="H127" s="623"/>
      <c r="I127" s="624"/>
      <c r="J127" s="623"/>
      <c r="K127" s="624"/>
      <c r="L127" s="623"/>
      <c r="M127" s="623"/>
      <c r="N127" s="623"/>
      <c r="O127" s="623"/>
      <c r="P127" s="623"/>
      <c r="Q127" s="623"/>
      <c r="R127" s="623"/>
      <c r="S127" s="623"/>
      <c r="T127" s="623"/>
      <c r="U127" s="623"/>
      <c r="V127" s="623"/>
      <c r="W127" s="623"/>
      <c r="X127" s="623"/>
      <c r="Y127" s="623"/>
      <c r="Z127" s="623"/>
      <c r="AA127" s="582"/>
      <c r="AB127" s="582"/>
      <c r="AC127" s="582"/>
      <c r="AD127" s="582"/>
    </row>
    <row r="128">
      <c r="A128" s="582"/>
      <c r="B128" s="582"/>
      <c r="C128" s="582"/>
      <c r="D128" s="621"/>
      <c r="E128" s="622"/>
      <c r="F128" s="582"/>
      <c r="G128" s="582"/>
      <c r="H128" s="623"/>
      <c r="I128" s="624"/>
      <c r="J128" s="623"/>
      <c r="K128" s="624"/>
      <c r="L128" s="623"/>
      <c r="M128" s="623"/>
      <c r="N128" s="623"/>
      <c r="O128" s="623"/>
      <c r="P128" s="623"/>
      <c r="Q128" s="623"/>
      <c r="R128" s="623"/>
      <c r="S128" s="623"/>
      <c r="T128" s="623"/>
      <c r="U128" s="623"/>
      <c r="V128" s="623"/>
      <c r="W128" s="623"/>
      <c r="X128" s="623"/>
      <c r="Y128" s="623"/>
      <c r="Z128" s="623"/>
      <c r="AA128" s="582"/>
      <c r="AB128" s="582"/>
      <c r="AC128" s="582"/>
      <c r="AD128" s="582"/>
    </row>
    <row r="129">
      <c r="A129" s="582"/>
      <c r="B129" s="582"/>
      <c r="C129" s="582"/>
      <c r="D129" s="621"/>
      <c r="E129" s="622"/>
      <c r="F129" s="582"/>
      <c r="G129" s="582"/>
      <c r="H129" s="623"/>
      <c r="I129" s="624"/>
      <c r="J129" s="623"/>
      <c r="K129" s="624"/>
      <c r="L129" s="623"/>
      <c r="M129" s="623"/>
      <c r="N129" s="623"/>
      <c r="O129" s="623"/>
      <c r="P129" s="623"/>
      <c r="Q129" s="623"/>
      <c r="R129" s="623"/>
      <c r="S129" s="623"/>
      <c r="T129" s="623"/>
      <c r="U129" s="623"/>
      <c r="V129" s="623"/>
      <c r="W129" s="623"/>
      <c r="X129" s="623"/>
      <c r="Y129" s="623"/>
      <c r="Z129" s="623"/>
      <c r="AA129" s="582"/>
      <c r="AB129" s="582"/>
      <c r="AC129" s="582"/>
      <c r="AD129" s="582"/>
    </row>
    <row r="130">
      <c r="A130" s="582"/>
      <c r="B130" s="582"/>
      <c r="C130" s="582"/>
      <c r="D130" s="621"/>
      <c r="E130" s="622"/>
      <c r="F130" s="582"/>
      <c r="G130" s="582"/>
      <c r="H130" s="623"/>
      <c r="I130" s="624"/>
      <c r="J130" s="623"/>
      <c r="K130" s="624"/>
      <c r="L130" s="623"/>
      <c r="M130" s="623"/>
      <c r="N130" s="623"/>
      <c r="O130" s="623"/>
      <c r="P130" s="623"/>
      <c r="Q130" s="623"/>
      <c r="R130" s="623"/>
      <c r="S130" s="623"/>
      <c r="T130" s="623"/>
      <c r="U130" s="623"/>
      <c r="V130" s="623"/>
      <c r="W130" s="623"/>
      <c r="X130" s="623"/>
      <c r="Y130" s="623"/>
      <c r="Z130" s="623"/>
      <c r="AA130" s="582"/>
      <c r="AB130" s="582"/>
      <c r="AC130" s="582"/>
      <c r="AD130" s="582"/>
    </row>
    <row r="131">
      <c r="A131" s="582"/>
      <c r="B131" s="582"/>
      <c r="C131" s="582"/>
      <c r="D131" s="621"/>
      <c r="E131" s="622"/>
      <c r="F131" s="582"/>
      <c r="G131" s="582"/>
      <c r="H131" s="623"/>
      <c r="I131" s="624"/>
      <c r="J131" s="623"/>
      <c r="K131" s="624"/>
      <c r="L131" s="623"/>
      <c r="M131" s="623"/>
      <c r="N131" s="623"/>
      <c r="O131" s="623"/>
      <c r="P131" s="623"/>
      <c r="Q131" s="623"/>
      <c r="R131" s="623"/>
      <c r="S131" s="623"/>
      <c r="T131" s="623"/>
      <c r="U131" s="623"/>
      <c r="V131" s="623"/>
      <c r="W131" s="623"/>
      <c r="X131" s="623"/>
      <c r="Y131" s="623"/>
      <c r="Z131" s="623"/>
      <c r="AA131" s="582"/>
      <c r="AB131" s="582"/>
      <c r="AC131" s="582"/>
      <c r="AD131" s="582"/>
    </row>
    <row r="132">
      <c r="A132" s="582"/>
      <c r="B132" s="582"/>
      <c r="C132" s="582"/>
      <c r="D132" s="621"/>
      <c r="E132" s="622"/>
      <c r="F132" s="582"/>
      <c r="G132" s="582"/>
      <c r="H132" s="623"/>
      <c r="I132" s="624"/>
      <c r="J132" s="623"/>
      <c r="K132" s="624"/>
      <c r="L132" s="623"/>
      <c r="M132" s="623"/>
      <c r="N132" s="623"/>
      <c r="O132" s="623"/>
      <c r="P132" s="623"/>
      <c r="Q132" s="623"/>
      <c r="R132" s="623"/>
      <c r="S132" s="623"/>
      <c r="T132" s="623"/>
      <c r="U132" s="623"/>
      <c r="V132" s="623"/>
      <c r="W132" s="623"/>
      <c r="X132" s="623"/>
      <c r="Y132" s="623"/>
      <c r="Z132" s="623"/>
      <c r="AA132" s="582"/>
      <c r="AB132" s="582"/>
      <c r="AC132" s="582"/>
      <c r="AD132" s="582"/>
    </row>
    <row r="133">
      <c r="A133" s="582"/>
      <c r="B133" s="582"/>
      <c r="C133" s="582"/>
      <c r="D133" s="621"/>
      <c r="E133" s="622"/>
      <c r="F133" s="582"/>
      <c r="G133" s="582"/>
      <c r="H133" s="623"/>
      <c r="I133" s="624"/>
      <c r="J133" s="623"/>
      <c r="K133" s="624"/>
      <c r="L133" s="623"/>
      <c r="M133" s="623"/>
      <c r="N133" s="623"/>
      <c r="O133" s="623"/>
      <c r="P133" s="623"/>
      <c r="Q133" s="623"/>
      <c r="R133" s="623"/>
      <c r="S133" s="623"/>
      <c r="T133" s="623"/>
      <c r="U133" s="623"/>
      <c r="V133" s="623"/>
      <c r="W133" s="623"/>
      <c r="X133" s="623"/>
      <c r="Y133" s="623"/>
      <c r="Z133" s="623"/>
      <c r="AA133" s="582"/>
      <c r="AB133" s="582"/>
      <c r="AC133" s="582"/>
      <c r="AD133" s="582"/>
    </row>
    <row r="134">
      <c r="A134" s="582"/>
      <c r="B134" s="582"/>
      <c r="C134" s="582"/>
      <c r="D134" s="621"/>
      <c r="E134" s="622"/>
      <c r="F134" s="582"/>
      <c r="G134" s="582"/>
      <c r="H134" s="623"/>
      <c r="I134" s="624"/>
      <c r="J134" s="623"/>
      <c r="K134" s="624"/>
      <c r="L134" s="623"/>
      <c r="M134" s="623"/>
      <c r="N134" s="623"/>
      <c r="O134" s="623"/>
      <c r="P134" s="623"/>
      <c r="Q134" s="623"/>
      <c r="R134" s="623"/>
      <c r="S134" s="623"/>
      <c r="T134" s="623"/>
      <c r="U134" s="623"/>
      <c r="V134" s="623"/>
      <c r="W134" s="623"/>
      <c r="X134" s="623"/>
      <c r="Y134" s="623"/>
      <c r="Z134" s="623"/>
      <c r="AA134" s="582"/>
      <c r="AB134" s="582"/>
      <c r="AC134" s="582"/>
      <c r="AD134" s="582"/>
    </row>
    <row r="135">
      <c r="A135" s="582"/>
      <c r="B135" s="582"/>
      <c r="C135" s="582"/>
      <c r="D135" s="621"/>
      <c r="E135" s="622"/>
      <c r="F135" s="582"/>
      <c r="G135" s="582"/>
      <c r="H135" s="623"/>
      <c r="I135" s="624"/>
      <c r="J135" s="623"/>
      <c r="K135" s="624"/>
      <c r="L135" s="623"/>
      <c r="M135" s="623"/>
      <c r="N135" s="623"/>
      <c r="O135" s="623"/>
      <c r="P135" s="623"/>
      <c r="Q135" s="623"/>
      <c r="R135" s="623"/>
      <c r="S135" s="623"/>
      <c r="T135" s="623"/>
      <c r="U135" s="623"/>
      <c r="V135" s="623"/>
      <c r="W135" s="623"/>
      <c r="X135" s="623"/>
      <c r="Y135" s="623"/>
      <c r="Z135" s="623"/>
      <c r="AA135" s="582"/>
      <c r="AB135" s="582"/>
      <c r="AC135" s="582"/>
      <c r="AD135" s="582"/>
    </row>
    <row r="136">
      <c r="A136" s="582"/>
      <c r="B136" s="582"/>
      <c r="C136" s="582"/>
      <c r="D136" s="621"/>
      <c r="E136" s="622"/>
      <c r="F136" s="582"/>
      <c r="G136" s="582"/>
      <c r="H136" s="623"/>
      <c r="I136" s="624"/>
      <c r="J136" s="623"/>
      <c r="K136" s="624"/>
      <c r="L136" s="623"/>
      <c r="M136" s="623"/>
      <c r="N136" s="623"/>
      <c r="O136" s="623"/>
      <c r="P136" s="623"/>
      <c r="Q136" s="623"/>
      <c r="R136" s="623"/>
      <c r="S136" s="623"/>
      <c r="T136" s="623"/>
      <c r="U136" s="623"/>
      <c r="V136" s="623"/>
      <c r="W136" s="623"/>
      <c r="X136" s="623"/>
      <c r="Y136" s="623"/>
      <c r="Z136" s="623"/>
      <c r="AA136" s="582"/>
      <c r="AB136" s="582"/>
      <c r="AC136" s="582"/>
      <c r="AD136" s="582"/>
    </row>
    <row r="137">
      <c r="A137" s="582"/>
      <c r="B137" s="582"/>
      <c r="C137" s="582"/>
      <c r="D137" s="621"/>
      <c r="E137" s="622"/>
      <c r="F137" s="582"/>
      <c r="G137" s="582"/>
      <c r="H137" s="623"/>
      <c r="I137" s="624"/>
      <c r="J137" s="623"/>
      <c r="K137" s="624"/>
      <c r="L137" s="623"/>
      <c r="M137" s="623"/>
      <c r="N137" s="623"/>
      <c r="O137" s="623"/>
      <c r="P137" s="623"/>
      <c r="Q137" s="623"/>
      <c r="R137" s="623"/>
      <c r="S137" s="623"/>
      <c r="T137" s="623"/>
      <c r="U137" s="623"/>
      <c r="V137" s="623"/>
      <c r="W137" s="623"/>
      <c r="X137" s="623"/>
      <c r="Y137" s="623"/>
      <c r="Z137" s="623"/>
      <c r="AA137" s="582"/>
      <c r="AB137" s="582"/>
      <c r="AC137" s="582"/>
      <c r="AD137" s="582"/>
    </row>
    <row r="138">
      <c r="A138" s="582"/>
      <c r="B138" s="582"/>
      <c r="C138" s="582"/>
      <c r="D138" s="621"/>
      <c r="E138" s="622"/>
      <c r="F138" s="582"/>
      <c r="G138" s="582"/>
      <c r="H138" s="623"/>
      <c r="I138" s="624"/>
      <c r="J138" s="623"/>
      <c r="K138" s="624"/>
      <c r="L138" s="623"/>
      <c r="M138" s="623"/>
      <c r="N138" s="623"/>
      <c r="O138" s="623"/>
      <c r="P138" s="623"/>
      <c r="Q138" s="623"/>
      <c r="R138" s="623"/>
      <c r="S138" s="623"/>
      <c r="T138" s="623"/>
      <c r="U138" s="623"/>
      <c r="V138" s="623"/>
      <c r="W138" s="623"/>
      <c r="X138" s="623"/>
      <c r="Y138" s="623"/>
      <c r="Z138" s="623"/>
      <c r="AA138" s="582"/>
      <c r="AB138" s="582"/>
      <c r="AC138" s="582"/>
      <c r="AD138" s="582"/>
    </row>
    <row r="139">
      <c r="A139" s="582"/>
      <c r="B139" s="582"/>
      <c r="C139" s="582"/>
      <c r="D139" s="621"/>
      <c r="E139" s="622"/>
      <c r="F139" s="582"/>
      <c r="G139" s="582"/>
      <c r="H139" s="623"/>
      <c r="I139" s="624"/>
      <c r="J139" s="623"/>
      <c r="K139" s="624"/>
      <c r="L139" s="623"/>
      <c r="M139" s="623"/>
      <c r="N139" s="623"/>
      <c r="O139" s="623"/>
      <c r="P139" s="623"/>
      <c r="Q139" s="623"/>
      <c r="R139" s="623"/>
      <c r="S139" s="623"/>
      <c r="T139" s="623"/>
      <c r="U139" s="623"/>
      <c r="V139" s="623"/>
      <c r="W139" s="623"/>
      <c r="X139" s="623"/>
      <c r="Y139" s="623"/>
      <c r="Z139" s="623"/>
      <c r="AA139" s="582"/>
      <c r="AB139" s="582"/>
      <c r="AC139" s="582"/>
      <c r="AD139" s="582"/>
    </row>
    <row r="140">
      <c r="A140" s="582"/>
      <c r="B140" s="582"/>
      <c r="C140" s="582"/>
      <c r="D140" s="621"/>
      <c r="E140" s="622"/>
      <c r="F140" s="582"/>
      <c r="G140" s="582"/>
      <c r="H140" s="623"/>
      <c r="I140" s="624"/>
      <c r="J140" s="623"/>
      <c r="K140" s="624"/>
      <c r="L140" s="623"/>
      <c r="M140" s="623"/>
      <c r="N140" s="623"/>
      <c r="O140" s="623"/>
      <c r="P140" s="623"/>
      <c r="Q140" s="623"/>
      <c r="R140" s="623"/>
      <c r="S140" s="623"/>
      <c r="T140" s="623"/>
      <c r="U140" s="623"/>
      <c r="V140" s="623"/>
      <c r="W140" s="623"/>
      <c r="X140" s="623"/>
      <c r="Y140" s="623"/>
      <c r="Z140" s="623"/>
      <c r="AA140" s="582"/>
      <c r="AB140" s="582"/>
      <c r="AC140" s="582"/>
      <c r="AD140" s="582"/>
    </row>
    <row r="141">
      <c r="A141" s="582"/>
      <c r="B141" s="582"/>
      <c r="C141" s="582"/>
      <c r="D141" s="621"/>
      <c r="E141" s="622"/>
      <c r="F141" s="582"/>
      <c r="G141" s="582"/>
      <c r="H141" s="623"/>
      <c r="I141" s="624"/>
      <c r="J141" s="623"/>
      <c r="K141" s="624"/>
      <c r="L141" s="623"/>
      <c r="M141" s="623"/>
      <c r="N141" s="623"/>
      <c r="O141" s="623"/>
      <c r="P141" s="623"/>
      <c r="Q141" s="623"/>
      <c r="R141" s="623"/>
      <c r="S141" s="623"/>
      <c r="T141" s="623"/>
      <c r="U141" s="623"/>
      <c r="V141" s="623"/>
      <c r="W141" s="623"/>
      <c r="X141" s="623"/>
      <c r="Y141" s="623"/>
      <c r="Z141" s="623"/>
      <c r="AA141" s="582"/>
      <c r="AB141" s="582"/>
      <c r="AC141" s="582"/>
      <c r="AD141" s="582"/>
    </row>
    <row r="142">
      <c r="A142" s="582"/>
      <c r="B142" s="582"/>
      <c r="C142" s="582"/>
      <c r="D142" s="621"/>
      <c r="E142" s="622"/>
      <c r="F142" s="582"/>
      <c r="G142" s="582"/>
      <c r="H142" s="623"/>
      <c r="I142" s="624"/>
      <c r="J142" s="623"/>
      <c r="K142" s="624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582"/>
      <c r="AB142" s="582"/>
      <c r="AC142" s="582"/>
      <c r="AD142" s="582"/>
    </row>
    <row r="143">
      <c r="A143" s="582"/>
      <c r="B143" s="582"/>
      <c r="C143" s="582"/>
      <c r="D143" s="621"/>
      <c r="E143" s="622"/>
      <c r="F143" s="582"/>
      <c r="G143" s="582"/>
      <c r="H143" s="623"/>
      <c r="I143" s="624"/>
      <c r="J143" s="623"/>
      <c r="K143" s="624"/>
      <c r="L143" s="623"/>
      <c r="M143" s="623"/>
      <c r="N143" s="623"/>
      <c r="O143" s="623"/>
      <c r="P143" s="623"/>
      <c r="Q143" s="623"/>
      <c r="R143" s="623"/>
      <c r="S143" s="623"/>
      <c r="T143" s="623"/>
      <c r="U143" s="623"/>
      <c r="V143" s="623"/>
      <c r="W143" s="623"/>
      <c r="X143" s="623"/>
      <c r="Y143" s="623"/>
      <c r="Z143" s="623"/>
      <c r="AA143" s="582"/>
      <c r="AB143" s="582"/>
      <c r="AC143" s="582"/>
      <c r="AD143" s="582"/>
    </row>
    <row r="144">
      <c r="A144" s="582"/>
      <c r="B144" s="582"/>
      <c r="C144" s="582"/>
      <c r="D144" s="621"/>
      <c r="E144" s="622"/>
      <c r="F144" s="582"/>
      <c r="G144" s="582"/>
      <c r="H144" s="623"/>
      <c r="I144" s="624"/>
      <c r="J144" s="623"/>
      <c r="K144" s="624"/>
      <c r="L144" s="623"/>
      <c r="M144" s="623"/>
      <c r="N144" s="623"/>
      <c r="O144" s="623"/>
      <c r="P144" s="623"/>
      <c r="Q144" s="623"/>
      <c r="R144" s="623"/>
      <c r="S144" s="623"/>
      <c r="T144" s="623"/>
      <c r="U144" s="623"/>
      <c r="V144" s="623"/>
      <c r="W144" s="623"/>
      <c r="X144" s="623"/>
      <c r="Y144" s="623"/>
      <c r="Z144" s="623"/>
      <c r="AA144" s="582"/>
      <c r="AB144" s="582"/>
      <c r="AC144" s="582"/>
      <c r="AD144" s="582"/>
    </row>
    <row r="145">
      <c r="A145" s="582"/>
      <c r="B145" s="582"/>
      <c r="C145" s="582"/>
      <c r="D145" s="621"/>
      <c r="E145" s="622"/>
      <c r="F145" s="582"/>
      <c r="G145" s="582"/>
      <c r="H145" s="623"/>
      <c r="I145" s="624"/>
      <c r="J145" s="623"/>
      <c r="K145" s="624"/>
      <c r="L145" s="623"/>
      <c r="M145" s="623"/>
      <c r="N145" s="623"/>
      <c r="O145" s="623"/>
      <c r="P145" s="623"/>
      <c r="Q145" s="623"/>
      <c r="R145" s="623"/>
      <c r="S145" s="623"/>
      <c r="T145" s="623"/>
      <c r="U145" s="623"/>
      <c r="V145" s="623"/>
      <c r="W145" s="623"/>
      <c r="X145" s="623"/>
      <c r="Y145" s="623"/>
      <c r="Z145" s="623"/>
      <c r="AA145" s="582"/>
      <c r="AB145" s="582"/>
      <c r="AC145" s="582"/>
      <c r="AD145" s="582"/>
    </row>
    <row r="146">
      <c r="A146" s="582"/>
      <c r="B146" s="582"/>
      <c r="C146" s="582"/>
      <c r="D146" s="621"/>
      <c r="E146" s="622"/>
      <c r="F146" s="582"/>
      <c r="G146" s="582"/>
      <c r="H146" s="623"/>
      <c r="I146" s="624"/>
      <c r="J146" s="623"/>
      <c r="K146" s="624"/>
      <c r="L146" s="623"/>
      <c r="M146" s="623"/>
      <c r="N146" s="623"/>
      <c r="O146" s="623"/>
      <c r="P146" s="623"/>
      <c r="Q146" s="623"/>
      <c r="R146" s="623"/>
      <c r="S146" s="623"/>
      <c r="T146" s="623"/>
      <c r="U146" s="623"/>
      <c r="V146" s="623"/>
      <c r="W146" s="623"/>
      <c r="X146" s="623"/>
      <c r="Y146" s="623"/>
      <c r="Z146" s="623"/>
      <c r="AA146" s="582"/>
      <c r="AB146" s="582"/>
      <c r="AC146" s="582"/>
      <c r="AD146" s="582"/>
    </row>
    <row r="147">
      <c r="A147" s="582"/>
      <c r="B147" s="582"/>
      <c r="C147" s="582"/>
      <c r="D147" s="621"/>
      <c r="E147" s="622"/>
      <c r="F147" s="582"/>
      <c r="G147" s="582"/>
      <c r="H147" s="623"/>
      <c r="I147" s="624"/>
      <c r="J147" s="623"/>
      <c r="K147" s="624"/>
      <c r="L147" s="623"/>
      <c r="M147" s="623"/>
      <c r="N147" s="623"/>
      <c r="O147" s="623"/>
      <c r="P147" s="623"/>
      <c r="Q147" s="623"/>
      <c r="R147" s="623"/>
      <c r="S147" s="623"/>
      <c r="T147" s="623"/>
      <c r="U147" s="623"/>
      <c r="V147" s="623"/>
      <c r="W147" s="623"/>
      <c r="X147" s="623"/>
      <c r="Y147" s="623"/>
      <c r="Z147" s="623"/>
      <c r="AA147" s="582"/>
      <c r="AB147" s="582"/>
      <c r="AC147" s="582"/>
      <c r="AD147" s="582"/>
    </row>
    <row r="148">
      <c r="A148" s="582"/>
      <c r="B148" s="582"/>
      <c r="C148" s="582"/>
      <c r="D148" s="621"/>
      <c r="E148" s="622"/>
      <c r="F148" s="582"/>
      <c r="G148" s="582"/>
      <c r="H148" s="623"/>
      <c r="I148" s="624"/>
      <c r="J148" s="623"/>
      <c r="K148" s="624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/>
      <c r="W148" s="623"/>
      <c r="X148" s="623"/>
      <c r="Y148" s="623"/>
      <c r="Z148" s="623"/>
      <c r="AA148" s="582"/>
      <c r="AB148" s="582"/>
      <c r="AC148" s="582"/>
      <c r="AD148" s="582"/>
    </row>
    <row r="149">
      <c r="A149" s="582"/>
      <c r="B149" s="582"/>
      <c r="C149" s="582"/>
      <c r="D149" s="621"/>
      <c r="E149" s="622"/>
      <c r="F149" s="582"/>
      <c r="G149" s="582"/>
      <c r="H149" s="623"/>
      <c r="I149" s="624"/>
      <c r="J149" s="623"/>
      <c r="K149" s="624"/>
      <c r="L149" s="623"/>
      <c r="M149" s="623"/>
      <c r="N149" s="623"/>
      <c r="O149" s="623"/>
      <c r="P149" s="623"/>
      <c r="Q149" s="623"/>
      <c r="R149" s="623"/>
      <c r="S149" s="623"/>
      <c r="T149" s="623"/>
      <c r="U149" s="623"/>
      <c r="V149" s="623"/>
      <c r="W149" s="623"/>
      <c r="X149" s="623"/>
      <c r="Y149" s="623"/>
      <c r="Z149" s="623"/>
      <c r="AA149" s="582"/>
      <c r="AB149" s="582"/>
      <c r="AC149" s="582"/>
      <c r="AD149" s="582"/>
    </row>
    <row r="150">
      <c r="A150" s="582"/>
      <c r="B150" s="582"/>
      <c r="C150" s="582"/>
      <c r="D150" s="621"/>
      <c r="E150" s="622"/>
      <c r="F150" s="582"/>
      <c r="G150" s="582"/>
      <c r="H150" s="623"/>
      <c r="I150" s="624"/>
      <c r="J150" s="623"/>
      <c r="K150" s="624"/>
      <c r="L150" s="623"/>
      <c r="M150" s="623"/>
      <c r="N150" s="623"/>
      <c r="O150" s="623"/>
      <c r="P150" s="623"/>
      <c r="Q150" s="623"/>
      <c r="R150" s="623"/>
      <c r="S150" s="623"/>
      <c r="T150" s="623"/>
      <c r="U150" s="623"/>
      <c r="V150" s="623"/>
      <c r="W150" s="623"/>
      <c r="X150" s="623"/>
      <c r="Y150" s="623"/>
      <c r="Z150" s="623"/>
      <c r="AA150" s="582"/>
      <c r="AB150" s="582"/>
      <c r="AC150" s="582"/>
      <c r="AD150" s="582"/>
    </row>
    <row r="151">
      <c r="A151" s="582"/>
      <c r="B151" s="582"/>
      <c r="C151" s="582"/>
      <c r="D151" s="621"/>
      <c r="E151" s="622"/>
      <c r="F151" s="582"/>
      <c r="G151" s="582"/>
      <c r="H151" s="623"/>
      <c r="I151" s="624"/>
      <c r="J151" s="623"/>
      <c r="K151" s="624"/>
      <c r="L151" s="623"/>
      <c r="M151" s="623"/>
      <c r="N151" s="623"/>
      <c r="O151" s="623"/>
      <c r="P151" s="623"/>
      <c r="Q151" s="623"/>
      <c r="R151" s="623"/>
      <c r="S151" s="623"/>
      <c r="T151" s="623"/>
      <c r="U151" s="623"/>
      <c r="V151" s="623"/>
      <c r="W151" s="623"/>
      <c r="X151" s="623"/>
      <c r="Y151" s="623"/>
      <c r="Z151" s="623"/>
      <c r="AA151" s="582"/>
      <c r="AB151" s="582"/>
      <c r="AC151" s="582"/>
      <c r="AD151" s="582"/>
    </row>
    <row r="152">
      <c r="A152" s="582"/>
      <c r="B152" s="582"/>
      <c r="C152" s="582"/>
      <c r="D152" s="621"/>
      <c r="E152" s="622"/>
      <c r="F152" s="582"/>
      <c r="G152" s="582"/>
      <c r="H152" s="623"/>
      <c r="I152" s="624"/>
      <c r="J152" s="623"/>
      <c r="K152" s="624"/>
      <c r="L152" s="623"/>
      <c r="M152" s="623"/>
      <c r="N152" s="623"/>
      <c r="O152" s="623"/>
      <c r="P152" s="623"/>
      <c r="Q152" s="623"/>
      <c r="R152" s="623"/>
      <c r="S152" s="623"/>
      <c r="T152" s="623"/>
      <c r="U152" s="623"/>
      <c r="V152" s="623"/>
      <c r="W152" s="623"/>
      <c r="X152" s="623"/>
      <c r="Y152" s="623"/>
      <c r="Z152" s="623"/>
      <c r="AA152" s="582"/>
      <c r="AB152" s="582"/>
      <c r="AC152" s="582"/>
      <c r="AD152" s="582"/>
    </row>
    <row r="153">
      <c r="A153" s="582"/>
      <c r="B153" s="582"/>
      <c r="C153" s="582"/>
      <c r="D153" s="621"/>
      <c r="E153" s="622"/>
      <c r="F153" s="582"/>
      <c r="G153" s="582"/>
      <c r="H153" s="623"/>
      <c r="I153" s="624"/>
      <c r="J153" s="623"/>
      <c r="K153" s="624"/>
      <c r="L153" s="623"/>
      <c r="M153" s="623"/>
      <c r="N153" s="623"/>
      <c r="O153" s="623"/>
      <c r="P153" s="623"/>
      <c r="Q153" s="623"/>
      <c r="R153" s="623"/>
      <c r="S153" s="623"/>
      <c r="T153" s="623"/>
      <c r="U153" s="623"/>
      <c r="V153" s="623"/>
      <c r="W153" s="623"/>
      <c r="X153" s="623"/>
      <c r="Y153" s="623"/>
      <c r="Z153" s="623"/>
      <c r="AA153" s="582"/>
      <c r="AB153" s="582"/>
      <c r="AC153" s="582"/>
      <c r="AD153" s="582"/>
    </row>
    <row r="154">
      <c r="A154" s="582"/>
      <c r="B154" s="582"/>
      <c r="C154" s="582"/>
      <c r="D154" s="621"/>
      <c r="E154" s="622"/>
      <c r="F154" s="582"/>
      <c r="G154" s="582"/>
      <c r="H154" s="623"/>
      <c r="I154" s="624"/>
      <c r="J154" s="623"/>
      <c r="K154" s="624"/>
      <c r="L154" s="623"/>
      <c r="M154" s="623"/>
      <c r="N154" s="623"/>
      <c r="O154" s="623"/>
      <c r="P154" s="623"/>
      <c r="Q154" s="623"/>
      <c r="R154" s="623"/>
      <c r="S154" s="623"/>
      <c r="T154" s="623"/>
      <c r="U154" s="623"/>
      <c r="V154" s="623"/>
      <c r="W154" s="623"/>
      <c r="X154" s="623"/>
      <c r="Y154" s="623"/>
      <c r="Z154" s="623"/>
      <c r="AA154" s="582"/>
      <c r="AB154" s="582"/>
      <c r="AC154" s="582"/>
      <c r="AD154" s="582"/>
    </row>
    <row r="155">
      <c r="A155" s="582"/>
      <c r="B155" s="582"/>
      <c r="C155" s="582"/>
      <c r="D155" s="621"/>
      <c r="E155" s="622"/>
      <c r="F155" s="582"/>
      <c r="G155" s="582"/>
      <c r="H155" s="623"/>
      <c r="I155" s="624"/>
      <c r="J155" s="623"/>
      <c r="K155" s="624"/>
      <c r="L155" s="623"/>
      <c r="M155" s="623"/>
      <c r="N155" s="623"/>
      <c r="O155" s="623"/>
      <c r="P155" s="623"/>
      <c r="Q155" s="623"/>
      <c r="R155" s="623"/>
      <c r="S155" s="623"/>
      <c r="T155" s="623"/>
      <c r="U155" s="623"/>
      <c r="V155" s="623"/>
      <c r="W155" s="623"/>
      <c r="X155" s="623"/>
      <c r="Y155" s="623"/>
      <c r="Z155" s="623"/>
      <c r="AA155" s="582"/>
      <c r="AB155" s="582"/>
      <c r="AC155" s="582"/>
      <c r="AD155" s="582"/>
    </row>
    <row r="156">
      <c r="A156" s="582"/>
      <c r="B156" s="582"/>
      <c r="C156" s="582"/>
      <c r="D156" s="621"/>
      <c r="E156" s="622"/>
      <c r="F156" s="582"/>
      <c r="G156" s="582"/>
      <c r="H156" s="623"/>
      <c r="I156" s="624"/>
      <c r="J156" s="623"/>
      <c r="K156" s="624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/>
      <c r="W156" s="623"/>
      <c r="X156" s="623"/>
      <c r="Y156" s="623"/>
      <c r="Z156" s="623"/>
      <c r="AA156" s="582"/>
      <c r="AB156" s="582"/>
      <c r="AC156" s="582"/>
      <c r="AD156" s="582"/>
    </row>
    <row r="157">
      <c r="A157" s="582"/>
      <c r="B157" s="582"/>
      <c r="C157" s="582"/>
      <c r="D157" s="621"/>
      <c r="E157" s="622"/>
      <c r="F157" s="582"/>
      <c r="G157" s="582"/>
      <c r="H157" s="623"/>
      <c r="I157" s="624"/>
      <c r="J157" s="623"/>
      <c r="K157" s="624"/>
      <c r="L157" s="623"/>
      <c r="M157" s="623"/>
      <c r="N157" s="623"/>
      <c r="O157" s="623"/>
      <c r="P157" s="623"/>
      <c r="Q157" s="623"/>
      <c r="R157" s="623"/>
      <c r="S157" s="623"/>
      <c r="T157" s="623"/>
      <c r="U157" s="623"/>
      <c r="V157" s="623"/>
      <c r="W157" s="623"/>
      <c r="X157" s="623"/>
      <c r="Y157" s="623"/>
      <c r="Z157" s="623"/>
      <c r="AA157" s="582"/>
      <c r="AB157" s="582"/>
      <c r="AC157" s="582"/>
      <c r="AD157" s="582"/>
    </row>
    <row r="158">
      <c r="A158" s="582"/>
      <c r="B158" s="582"/>
      <c r="C158" s="582"/>
      <c r="D158" s="621"/>
      <c r="E158" s="622"/>
      <c r="F158" s="582"/>
      <c r="G158" s="582"/>
      <c r="H158" s="623"/>
      <c r="I158" s="624"/>
      <c r="J158" s="623"/>
      <c r="K158" s="624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582"/>
      <c r="AB158" s="582"/>
      <c r="AC158" s="582"/>
      <c r="AD158" s="582"/>
    </row>
    <row r="159">
      <c r="A159" s="582"/>
      <c r="B159" s="582"/>
      <c r="C159" s="582"/>
      <c r="D159" s="621"/>
      <c r="E159" s="622"/>
      <c r="F159" s="582"/>
      <c r="G159" s="582"/>
      <c r="H159" s="623"/>
      <c r="I159" s="624"/>
      <c r="J159" s="623"/>
      <c r="K159" s="624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23"/>
      <c r="Z159" s="623"/>
      <c r="AA159" s="582"/>
      <c r="AB159" s="582"/>
      <c r="AC159" s="582"/>
      <c r="AD159" s="582"/>
    </row>
    <row r="160">
      <c r="A160" s="582"/>
      <c r="B160" s="582"/>
      <c r="C160" s="582"/>
      <c r="D160" s="621"/>
      <c r="E160" s="622"/>
      <c r="F160" s="582"/>
      <c r="G160" s="582"/>
      <c r="H160" s="623"/>
      <c r="I160" s="624"/>
      <c r="J160" s="623"/>
      <c r="K160" s="624"/>
      <c r="L160" s="623"/>
      <c r="M160" s="623"/>
      <c r="N160" s="623"/>
      <c r="O160" s="623"/>
      <c r="P160" s="623"/>
      <c r="Q160" s="623"/>
      <c r="R160" s="623"/>
      <c r="S160" s="623"/>
      <c r="T160" s="623"/>
      <c r="U160" s="623"/>
      <c r="V160" s="623"/>
      <c r="W160" s="623"/>
      <c r="X160" s="623"/>
      <c r="Y160" s="623"/>
      <c r="Z160" s="623"/>
      <c r="AA160" s="582"/>
      <c r="AB160" s="582"/>
      <c r="AC160" s="582"/>
      <c r="AD160" s="582"/>
    </row>
    <row r="161">
      <c r="A161" s="582"/>
      <c r="B161" s="582"/>
      <c r="C161" s="582"/>
      <c r="D161" s="621"/>
      <c r="E161" s="622"/>
      <c r="F161" s="582"/>
      <c r="G161" s="582"/>
      <c r="H161" s="623"/>
      <c r="I161" s="624"/>
      <c r="J161" s="623"/>
      <c r="K161" s="624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582"/>
      <c r="AB161" s="582"/>
      <c r="AC161" s="582"/>
      <c r="AD161" s="582"/>
    </row>
    <row r="162">
      <c r="A162" s="582"/>
      <c r="B162" s="582"/>
      <c r="C162" s="582"/>
      <c r="D162" s="621"/>
      <c r="E162" s="622"/>
      <c r="F162" s="582"/>
      <c r="G162" s="582"/>
      <c r="H162" s="623"/>
      <c r="I162" s="624"/>
      <c r="J162" s="623"/>
      <c r="K162" s="624"/>
      <c r="L162" s="623"/>
      <c r="M162" s="623"/>
      <c r="N162" s="623"/>
      <c r="O162" s="623"/>
      <c r="P162" s="623"/>
      <c r="Q162" s="623"/>
      <c r="R162" s="623"/>
      <c r="S162" s="623"/>
      <c r="T162" s="623"/>
      <c r="U162" s="623"/>
      <c r="V162" s="623"/>
      <c r="W162" s="623"/>
      <c r="X162" s="623"/>
      <c r="Y162" s="623"/>
      <c r="Z162" s="623"/>
      <c r="AA162" s="582"/>
      <c r="AB162" s="582"/>
      <c r="AC162" s="582"/>
      <c r="AD162" s="582"/>
    </row>
    <row r="163">
      <c r="A163" s="582"/>
      <c r="B163" s="582"/>
      <c r="C163" s="582"/>
      <c r="D163" s="621"/>
      <c r="E163" s="622"/>
      <c r="F163" s="582"/>
      <c r="G163" s="582"/>
      <c r="H163" s="623"/>
      <c r="I163" s="624"/>
      <c r="J163" s="623"/>
      <c r="K163" s="624"/>
      <c r="L163" s="623"/>
      <c r="M163" s="623"/>
      <c r="N163" s="623"/>
      <c r="O163" s="623"/>
      <c r="P163" s="623"/>
      <c r="Q163" s="623"/>
      <c r="R163" s="623"/>
      <c r="S163" s="623"/>
      <c r="T163" s="623"/>
      <c r="U163" s="623"/>
      <c r="V163" s="623"/>
      <c r="W163" s="623"/>
      <c r="X163" s="623"/>
      <c r="Y163" s="623"/>
      <c r="Z163" s="623"/>
      <c r="AA163" s="582"/>
      <c r="AB163" s="582"/>
      <c r="AC163" s="582"/>
      <c r="AD163" s="582"/>
    </row>
    <row r="164">
      <c r="A164" s="582"/>
      <c r="B164" s="582"/>
      <c r="C164" s="582"/>
      <c r="D164" s="621"/>
      <c r="E164" s="622"/>
      <c r="F164" s="582"/>
      <c r="G164" s="582"/>
      <c r="H164" s="623"/>
      <c r="I164" s="624"/>
      <c r="J164" s="623"/>
      <c r="K164" s="624"/>
      <c r="L164" s="623"/>
      <c r="M164" s="623"/>
      <c r="N164" s="623"/>
      <c r="O164" s="623"/>
      <c r="P164" s="623"/>
      <c r="Q164" s="623"/>
      <c r="R164" s="623"/>
      <c r="S164" s="623"/>
      <c r="T164" s="623"/>
      <c r="U164" s="623"/>
      <c r="V164" s="623"/>
      <c r="W164" s="623"/>
      <c r="X164" s="623"/>
      <c r="Y164" s="623"/>
      <c r="Z164" s="623"/>
      <c r="AA164" s="582"/>
      <c r="AB164" s="582"/>
      <c r="AC164" s="582"/>
      <c r="AD164" s="582"/>
    </row>
    <row r="165">
      <c r="A165" s="582"/>
      <c r="B165" s="582"/>
      <c r="C165" s="582"/>
      <c r="D165" s="621"/>
      <c r="E165" s="622"/>
      <c r="F165" s="582"/>
      <c r="G165" s="582"/>
      <c r="H165" s="623"/>
      <c r="I165" s="624"/>
      <c r="J165" s="623"/>
      <c r="K165" s="624"/>
      <c r="L165" s="623"/>
      <c r="M165" s="623"/>
      <c r="N165" s="623"/>
      <c r="O165" s="623"/>
      <c r="P165" s="623"/>
      <c r="Q165" s="623"/>
      <c r="R165" s="623"/>
      <c r="S165" s="623"/>
      <c r="T165" s="623"/>
      <c r="U165" s="623"/>
      <c r="V165" s="623"/>
      <c r="W165" s="623"/>
      <c r="X165" s="623"/>
      <c r="Y165" s="623"/>
      <c r="Z165" s="623"/>
      <c r="AA165" s="582"/>
      <c r="AB165" s="582"/>
      <c r="AC165" s="582"/>
      <c r="AD165" s="582"/>
    </row>
    <row r="166">
      <c r="A166" s="582"/>
      <c r="B166" s="582"/>
      <c r="C166" s="582"/>
      <c r="D166" s="621"/>
      <c r="E166" s="622"/>
      <c r="F166" s="582"/>
      <c r="G166" s="582"/>
      <c r="H166" s="623"/>
      <c r="I166" s="624"/>
      <c r="J166" s="623"/>
      <c r="K166" s="624"/>
      <c r="L166" s="623"/>
      <c r="M166" s="623"/>
      <c r="N166" s="623"/>
      <c r="O166" s="623"/>
      <c r="P166" s="623"/>
      <c r="Q166" s="623"/>
      <c r="R166" s="623"/>
      <c r="S166" s="623"/>
      <c r="T166" s="623"/>
      <c r="U166" s="623"/>
      <c r="V166" s="623"/>
      <c r="W166" s="623"/>
      <c r="X166" s="623"/>
      <c r="Y166" s="623"/>
      <c r="Z166" s="623"/>
      <c r="AA166" s="582"/>
      <c r="AB166" s="582"/>
      <c r="AC166" s="582"/>
      <c r="AD166" s="582"/>
    </row>
    <row r="167">
      <c r="A167" s="582"/>
      <c r="B167" s="582"/>
      <c r="C167" s="582"/>
      <c r="D167" s="621"/>
      <c r="E167" s="622"/>
      <c r="F167" s="582"/>
      <c r="G167" s="582"/>
      <c r="H167" s="623"/>
      <c r="I167" s="624"/>
      <c r="J167" s="623"/>
      <c r="K167" s="624"/>
      <c r="L167" s="623"/>
      <c r="M167" s="623"/>
      <c r="N167" s="623"/>
      <c r="O167" s="623"/>
      <c r="P167" s="623"/>
      <c r="Q167" s="623"/>
      <c r="R167" s="623"/>
      <c r="S167" s="623"/>
      <c r="T167" s="623"/>
      <c r="U167" s="623"/>
      <c r="V167" s="623"/>
      <c r="W167" s="623"/>
      <c r="X167" s="623"/>
      <c r="Y167" s="623"/>
      <c r="Z167" s="623"/>
      <c r="AA167" s="582"/>
      <c r="AB167" s="582"/>
      <c r="AC167" s="582"/>
      <c r="AD167" s="582"/>
    </row>
    <row r="168">
      <c r="A168" s="582"/>
      <c r="B168" s="582"/>
      <c r="C168" s="582"/>
      <c r="D168" s="621"/>
      <c r="E168" s="622"/>
      <c r="F168" s="582"/>
      <c r="G168" s="582"/>
      <c r="H168" s="623"/>
      <c r="I168" s="624"/>
      <c r="J168" s="623"/>
      <c r="K168" s="624"/>
      <c r="L168" s="623"/>
      <c r="M168" s="623"/>
      <c r="N168" s="623"/>
      <c r="O168" s="623"/>
      <c r="P168" s="623"/>
      <c r="Q168" s="623"/>
      <c r="R168" s="623"/>
      <c r="S168" s="623"/>
      <c r="T168" s="623"/>
      <c r="U168" s="623"/>
      <c r="V168" s="623"/>
      <c r="W168" s="623"/>
      <c r="X168" s="623"/>
      <c r="Y168" s="623"/>
      <c r="Z168" s="623"/>
      <c r="AA168" s="582"/>
      <c r="AB168" s="582"/>
      <c r="AC168" s="582"/>
      <c r="AD168" s="582"/>
    </row>
    <row r="169">
      <c r="A169" s="582"/>
      <c r="B169" s="582"/>
      <c r="C169" s="582"/>
      <c r="D169" s="621"/>
      <c r="E169" s="622"/>
      <c r="F169" s="582"/>
      <c r="G169" s="582"/>
      <c r="H169" s="623"/>
      <c r="I169" s="624"/>
      <c r="J169" s="623"/>
      <c r="K169" s="624"/>
      <c r="L169" s="623"/>
      <c r="M169" s="623"/>
      <c r="N169" s="623"/>
      <c r="O169" s="623"/>
      <c r="P169" s="623"/>
      <c r="Q169" s="623"/>
      <c r="R169" s="623"/>
      <c r="S169" s="623"/>
      <c r="T169" s="623"/>
      <c r="U169" s="623"/>
      <c r="V169" s="623"/>
      <c r="W169" s="623"/>
      <c r="X169" s="623"/>
      <c r="Y169" s="623"/>
      <c r="Z169" s="623"/>
      <c r="AA169" s="582"/>
      <c r="AB169" s="582"/>
      <c r="AC169" s="582"/>
      <c r="AD169" s="582"/>
    </row>
    <row r="170">
      <c r="A170" s="582"/>
      <c r="B170" s="582"/>
      <c r="C170" s="582"/>
      <c r="D170" s="621"/>
      <c r="E170" s="622"/>
      <c r="F170" s="582"/>
      <c r="G170" s="582"/>
      <c r="H170" s="623"/>
      <c r="I170" s="624"/>
      <c r="J170" s="623"/>
      <c r="K170" s="624"/>
      <c r="L170" s="623"/>
      <c r="M170" s="623"/>
      <c r="N170" s="623"/>
      <c r="O170" s="623"/>
      <c r="P170" s="623"/>
      <c r="Q170" s="623"/>
      <c r="R170" s="623"/>
      <c r="S170" s="623"/>
      <c r="T170" s="623"/>
      <c r="U170" s="623"/>
      <c r="V170" s="623"/>
      <c r="W170" s="623"/>
      <c r="X170" s="623"/>
      <c r="Y170" s="623"/>
      <c r="Z170" s="623"/>
      <c r="AA170" s="582"/>
      <c r="AB170" s="582"/>
      <c r="AC170" s="582"/>
      <c r="AD170" s="582"/>
    </row>
    <row r="171">
      <c r="A171" s="582"/>
      <c r="B171" s="582"/>
      <c r="C171" s="582"/>
      <c r="D171" s="621"/>
      <c r="E171" s="622"/>
      <c r="F171" s="582"/>
      <c r="G171" s="582"/>
      <c r="H171" s="623"/>
      <c r="I171" s="624"/>
      <c r="J171" s="623"/>
      <c r="K171" s="624"/>
      <c r="L171" s="623"/>
      <c r="M171" s="623"/>
      <c r="N171" s="623"/>
      <c r="O171" s="623"/>
      <c r="P171" s="623"/>
      <c r="Q171" s="623"/>
      <c r="R171" s="623"/>
      <c r="S171" s="623"/>
      <c r="T171" s="623"/>
      <c r="U171" s="623"/>
      <c r="V171" s="623"/>
      <c r="W171" s="623"/>
      <c r="X171" s="623"/>
      <c r="Y171" s="623"/>
      <c r="Z171" s="623"/>
      <c r="AA171" s="582"/>
      <c r="AB171" s="582"/>
      <c r="AC171" s="582"/>
      <c r="AD171" s="582"/>
    </row>
    <row r="172">
      <c r="A172" s="582"/>
      <c r="B172" s="582"/>
      <c r="C172" s="582"/>
      <c r="D172" s="621"/>
      <c r="E172" s="622"/>
      <c r="F172" s="582"/>
      <c r="G172" s="582"/>
      <c r="H172" s="623"/>
      <c r="I172" s="624"/>
      <c r="J172" s="623"/>
      <c r="K172" s="624"/>
      <c r="L172" s="623"/>
      <c r="M172" s="623"/>
      <c r="N172" s="623"/>
      <c r="O172" s="623"/>
      <c r="P172" s="623"/>
      <c r="Q172" s="623"/>
      <c r="R172" s="623"/>
      <c r="S172" s="623"/>
      <c r="T172" s="623"/>
      <c r="U172" s="623"/>
      <c r="V172" s="623"/>
      <c r="W172" s="623"/>
      <c r="X172" s="623"/>
      <c r="Y172" s="623"/>
      <c r="Z172" s="623"/>
      <c r="AA172" s="582"/>
      <c r="AB172" s="582"/>
      <c r="AC172" s="582"/>
      <c r="AD172" s="582"/>
    </row>
    <row r="173">
      <c r="A173" s="582"/>
      <c r="B173" s="582"/>
      <c r="C173" s="582"/>
      <c r="D173" s="621"/>
      <c r="E173" s="622"/>
      <c r="F173" s="582"/>
      <c r="G173" s="582"/>
      <c r="H173" s="623"/>
      <c r="I173" s="624"/>
      <c r="J173" s="623"/>
      <c r="K173" s="624"/>
      <c r="L173" s="623"/>
      <c r="M173" s="623"/>
      <c r="N173" s="623"/>
      <c r="O173" s="623"/>
      <c r="P173" s="623"/>
      <c r="Q173" s="623"/>
      <c r="R173" s="623"/>
      <c r="S173" s="623"/>
      <c r="T173" s="623"/>
      <c r="U173" s="623"/>
      <c r="V173" s="623"/>
      <c r="W173" s="623"/>
      <c r="X173" s="623"/>
      <c r="Y173" s="623"/>
      <c r="Z173" s="623"/>
      <c r="AA173" s="582"/>
      <c r="AB173" s="582"/>
      <c r="AC173" s="582"/>
      <c r="AD173" s="582"/>
    </row>
    <row r="174">
      <c r="A174" s="582"/>
      <c r="B174" s="582"/>
      <c r="C174" s="582"/>
      <c r="D174" s="621"/>
      <c r="E174" s="622"/>
      <c r="F174" s="582"/>
      <c r="G174" s="582"/>
      <c r="H174" s="623"/>
      <c r="I174" s="624"/>
      <c r="J174" s="623"/>
      <c r="K174" s="624"/>
      <c r="L174" s="623"/>
      <c r="M174" s="623"/>
      <c r="N174" s="623"/>
      <c r="O174" s="623"/>
      <c r="P174" s="623"/>
      <c r="Q174" s="623"/>
      <c r="R174" s="623"/>
      <c r="S174" s="623"/>
      <c r="T174" s="623"/>
      <c r="U174" s="623"/>
      <c r="V174" s="623"/>
      <c r="W174" s="623"/>
      <c r="X174" s="623"/>
      <c r="Y174" s="623"/>
      <c r="Z174" s="623"/>
      <c r="AA174" s="582"/>
      <c r="AB174" s="582"/>
      <c r="AC174" s="582"/>
      <c r="AD174" s="582"/>
    </row>
    <row r="175">
      <c r="A175" s="582"/>
      <c r="B175" s="582"/>
      <c r="C175" s="582"/>
      <c r="D175" s="621"/>
      <c r="E175" s="622"/>
      <c r="F175" s="582"/>
      <c r="G175" s="582"/>
      <c r="H175" s="623"/>
      <c r="I175" s="624"/>
      <c r="J175" s="623"/>
      <c r="K175" s="624"/>
      <c r="L175" s="623"/>
      <c r="M175" s="623"/>
      <c r="N175" s="623"/>
      <c r="O175" s="623"/>
      <c r="P175" s="623"/>
      <c r="Q175" s="623"/>
      <c r="R175" s="623"/>
      <c r="S175" s="623"/>
      <c r="T175" s="623"/>
      <c r="U175" s="623"/>
      <c r="V175" s="623"/>
      <c r="W175" s="623"/>
      <c r="X175" s="623"/>
      <c r="Y175" s="623"/>
      <c r="Z175" s="623"/>
      <c r="AA175" s="582"/>
      <c r="AB175" s="582"/>
      <c r="AC175" s="582"/>
      <c r="AD175" s="582"/>
    </row>
    <row r="176">
      <c r="A176" s="582"/>
      <c r="B176" s="582"/>
      <c r="C176" s="582"/>
      <c r="D176" s="621"/>
      <c r="E176" s="622"/>
      <c r="F176" s="582"/>
      <c r="G176" s="582"/>
      <c r="H176" s="623"/>
      <c r="I176" s="624"/>
      <c r="J176" s="623"/>
      <c r="K176" s="624"/>
      <c r="L176" s="623"/>
      <c r="M176" s="623"/>
      <c r="N176" s="623"/>
      <c r="O176" s="623"/>
      <c r="P176" s="623"/>
      <c r="Q176" s="623"/>
      <c r="R176" s="623"/>
      <c r="S176" s="623"/>
      <c r="T176" s="623"/>
      <c r="U176" s="623"/>
      <c r="V176" s="623"/>
      <c r="W176" s="623"/>
      <c r="X176" s="623"/>
      <c r="Y176" s="623"/>
      <c r="Z176" s="623"/>
      <c r="AA176" s="582"/>
      <c r="AB176" s="582"/>
      <c r="AC176" s="582"/>
      <c r="AD176" s="582"/>
    </row>
    <row r="177">
      <c r="A177" s="582"/>
      <c r="B177" s="582"/>
      <c r="C177" s="582"/>
      <c r="D177" s="621"/>
      <c r="E177" s="622"/>
      <c r="F177" s="582"/>
      <c r="G177" s="582"/>
      <c r="H177" s="623"/>
      <c r="I177" s="624"/>
      <c r="J177" s="623"/>
      <c r="K177" s="624"/>
      <c r="L177" s="623"/>
      <c r="M177" s="623"/>
      <c r="N177" s="623"/>
      <c r="O177" s="623"/>
      <c r="P177" s="623"/>
      <c r="Q177" s="623"/>
      <c r="R177" s="623"/>
      <c r="S177" s="623"/>
      <c r="T177" s="623"/>
      <c r="U177" s="623"/>
      <c r="V177" s="623"/>
      <c r="W177" s="623"/>
      <c r="X177" s="623"/>
      <c r="Y177" s="623"/>
      <c r="Z177" s="623"/>
      <c r="AA177" s="582"/>
      <c r="AB177" s="582"/>
      <c r="AC177" s="582"/>
      <c r="AD177" s="582"/>
    </row>
    <row r="178">
      <c r="A178" s="582"/>
      <c r="B178" s="582"/>
      <c r="C178" s="582"/>
      <c r="D178" s="621"/>
      <c r="E178" s="622"/>
      <c r="F178" s="582"/>
      <c r="G178" s="582"/>
      <c r="H178" s="623"/>
      <c r="I178" s="624"/>
      <c r="J178" s="623"/>
      <c r="K178" s="624"/>
      <c r="L178" s="623"/>
      <c r="M178" s="623"/>
      <c r="N178" s="623"/>
      <c r="O178" s="623"/>
      <c r="P178" s="623"/>
      <c r="Q178" s="623"/>
      <c r="R178" s="623"/>
      <c r="S178" s="623"/>
      <c r="T178" s="623"/>
      <c r="U178" s="623"/>
      <c r="V178" s="623"/>
      <c r="W178" s="623"/>
      <c r="X178" s="623"/>
      <c r="Y178" s="623"/>
      <c r="Z178" s="623"/>
      <c r="AA178" s="582"/>
      <c r="AB178" s="582"/>
      <c r="AC178" s="582"/>
      <c r="AD178" s="582"/>
    </row>
    <row r="179">
      <c r="A179" s="582"/>
      <c r="B179" s="582"/>
      <c r="C179" s="582"/>
      <c r="D179" s="621"/>
      <c r="E179" s="622"/>
      <c r="F179" s="582"/>
      <c r="G179" s="582"/>
      <c r="H179" s="623"/>
      <c r="I179" s="624"/>
      <c r="J179" s="623"/>
      <c r="K179" s="624"/>
      <c r="L179" s="623"/>
      <c r="M179" s="623"/>
      <c r="N179" s="623"/>
      <c r="O179" s="623"/>
      <c r="P179" s="623"/>
      <c r="Q179" s="623"/>
      <c r="R179" s="623"/>
      <c r="S179" s="623"/>
      <c r="T179" s="623"/>
      <c r="U179" s="623"/>
      <c r="V179" s="623"/>
      <c r="W179" s="623"/>
      <c r="X179" s="623"/>
      <c r="Y179" s="623"/>
      <c r="Z179" s="623"/>
      <c r="AA179" s="582"/>
      <c r="AB179" s="582"/>
      <c r="AC179" s="582"/>
      <c r="AD179" s="582"/>
    </row>
    <row r="180">
      <c r="A180" s="582"/>
      <c r="B180" s="582"/>
      <c r="C180" s="582"/>
      <c r="D180" s="621"/>
      <c r="E180" s="622"/>
      <c r="F180" s="582"/>
      <c r="G180" s="582"/>
      <c r="H180" s="623"/>
      <c r="I180" s="624"/>
      <c r="J180" s="623"/>
      <c r="K180" s="624"/>
      <c r="L180" s="623"/>
      <c r="M180" s="623"/>
      <c r="N180" s="623"/>
      <c r="O180" s="623"/>
      <c r="P180" s="623"/>
      <c r="Q180" s="623"/>
      <c r="R180" s="623"/>
      <c r="S180" s="623"/>
      <c r="T180" s="623"/>
      <c r="U180" s="623"/>
      <c r="V180" s="623"/>
      <c r="W180" s="623"/>
      <c r="X180" s="623"/>
      <c r="Y180" s="623"/>
      <c r="Z180" s="623"/>
      <c r="AA180" s="582"/>
      <c r="AB180" s="582"/>
      <c r="AC180" s="582"/>
      <c r="AD180" s="582"/>
    </row>
    <row r="181">
      <c r="A181" s="582"/>
      <c r="B181" s="582"/>
      <c r="C181" s="582"/>
      <c r="D181" s="621"/>
      <c r="E181" s="622"/>
      <c r="F181" s="582"/>
      <c r="G181" s="582"/>
      <c r="H181" s="623"/>
      <c r="I181" s="624"/>
      <c r="J181" s="623"/>
      <c r="K181" s="624"/>
      <c r="L181" s="623"/>
      <c r="M181" s="623"/>
      <c r="N181" s="623"/>
      <c r="O181" s="623"/>
      <c r="P181" s="623"/>
      <c r="Q181" s="623"/>
      <c r="R181" s="623"/>
      <c r="S181" s="623"/>
      <c r="T181" s="623"/>
      <c r="U181" s="623"/>
      <c r="V181" s="623"/>
      <c r="W181" s="623"/>
      <c r="X181" s="623"/>
      <c r="Y181" s="623"/>
      <c r="Z181" s="623"/>
      <c r="AA181" s="582"/>
      <c r="AB181" s="582"/>
      <c r="AC181" s="582"/>
      <c r="AD181" s="582"/>
    </row>
    <row r="182">
      <c r="A182" s="582"/>
      <c r="B182" s="582"/>
      <c r="C182" s="582"/>
      <c r="D182" s="621"/>
      <c r="E182" s="622"/>
      <c r="F182" s="582"/>
      <c r="G182" s="582"/>
      <c r="H182" s="623"/>
      <c r="I182" s="624"/>
      <c r="J182" s="623"/>
      <c r="K182" s="624"/>
      <c r="L182" s="623"/>
      <c r="M182" s="623"/>
      <c r="N182" s="623"/>
      <c r="O182" s="623"/>
      <c r="P182" s="623"/>
      <c r="Q182" s="623"/>
      <c r="R182" s="623"/>
      <c r="S182" s="623"/>
      <c r="T182" s="623"/>
      <c r="U182" s="623"/>
      <c r="V182" s="623"/>
      <c r="W182" s="623"/>
      <c r="X182" s="623"/>
      <c r="Y182" s="623"/>
      <c r="Z182" s="623"/>
      <c r="AA182" s="582"/>
      <c r="AB182" s="582"/>
      <c r="AC182" s="582"/>
      <c r="AD182" s="582"/>
    </row>
    <row r="183">
      <c r="A183" s="582"/>
      <c r="B183" s="582"/>
      <c r="C183" s="582"/>
      <c r="D183" s="621"/>
      <c r="E183" s="622"/>
      <c r="F183" s="582"/>
      <c r="G183" s="582"/>
      <c r="H183" s="623"/>
      <c r="I183" s="624"/>
      <c r="J183" s="623"/>
      <c r="K183" s="624"/>
      <c r="L183" s="623"/>
      <c r="M183" s="623"/>
      <c r="N183" s="623"/>
      <c r="O183" s="623"/>
      <c r="P183" s="623"/>
      <c r="Q183" s="623"/>
      <c r="R183" s="623"/>
      <c r="S183" s="623"/>
      <c r="T183" s="623"/>
      <c r="U183" s="623"/>
      <c r="V183" s="623"/>
      <c r="W183" s="623"/>
      <c r="X183" s="623"/>
      <c r="Y183" s="623"/>
      <c r="Z183" s="623"/>
      <c r="AA183" s="582"/>
      <c r="AB183" s="582"/>
      <c r="AC183" s="582"/>
      <c r="AD183" s="582"/>
    </row>
    <row r="184">
      <c r="A184" s="582"/>
      <c r="B184" s="582"/>
      <c r="C184" s="582"/>
      <c r="D184" s="621"/>
      <c r="E184" s="622"/>
      <c r="F184" s="582"/>
      <c r="G184" s="582"/>
      <c r="H184" s="623"/>
      <c r="I184" s="624"/>
      <c r="J184" s="623"/>
      <c r="K184" s="624"/>
      <c r="L184" s="623"/>
      <c r="M184" s="623"/>
      <c r="N184" s="623"/>
      <c r="O184" s="623"/>
      <c r="P184" s="623"/>
      <c r="Q184" s="623"/>
      <c r="R184" s="623"/>
      <c r="S184" s="623"/>
      <c r="T184" s="623"/>
      <c r="U184" s="623"/>
      <c r="V184" s="623"/>
      <c r="W184" s="623"/>
      <c r="X184" s="623"/>
      <c r="Y184" s="623"/>
      <c r="Z184" s="623"/>
      <c r="AA184" s="582"/>
      <c r="AB184" s="582"/>
      <c r="AC184" s="582"/>
      <c r="AD184" s="582"/>
    </row>
    <row r="185">
      <c r="A185" s="582"/>
      <c r="B185" s="582"/>
      <c r="C185" s="582"/>
      <c r="D185" s="621"/>
      <c r="E185" s="622"/>
      <c r="F185" s="582"/>
      <c r="G185" s="582"/>
      <c r="H185" s="623"/>
      <c r="I185" s="624"/>
      <c r="J185" s="623"/>
      <c r="K185" s="624"/>
      <c r="L185" s="623"/>
      <c r="M185" s="623"/>
      <c r="N185" s="623"/>
      <c r="O185" s="623"/>
      <c r="P185" s="623"/>
      <c r="Q185" s="623"/>
      <c r="R185" s="623"/>
      <c r="S185" s="623"/>
      <c r="T185" s="623"/>
      <c r="U185" s="623"/>
      <c r="V185" s="623"/>
      <c r="W185" s="623"/>
      <c r="X185" s="623"/>
      <c r="Y185" s="623"/>
      <c r="Z185" s="623"/>
      <c r="AA185" s="582"/>
      <c r="AB185" s="582"/>
      <c r="AC185" s="582"/>
      <c r="AD185" s="582"/>
    </row>
    <row r="186">
      <c r="A186" s="582"/>
      <c r="B186" s="582"/>
      <c r="C186" s="582"/>
      <c r="D186" s="621"/>
      <c r="E186" s="622"/>
      <c r="F186" s="582"/>
      <c r="G186" s="582"/>
      <c r="H186" s="623"/>
      <c r="I186" s="624"/>
      <c r="J186" s="623"/>
      <c r="K186" s="624"/>
      <c r="L186" s="623"/>
      <c r="M186" s="623"/>
      <c r="N186" s="623"/>
      <c r="O186" s="623"/>
      <c r="P186" s="623"/>
      <c r="Q186" s="623"/>
      <c r="R186" s="623"/>
      <c r="S186" s="623"/>
      <c r="T186" s="623"/>
      <c r="U186" s="623"/>
      <c r="V186" s="623"/>
      <c r="W186" s="623"/>
      <c r="X186" s="623"/>
      <c r="Y186" s="623"/>
      <c r="Z186" s="623"/>
      <c r="AA186" s="582"/>
      <c r="AB186" s="582"/>
      <c r="AC186" s="582"/>
      <c r="AD186" s="582"/>
    </row>
    <row r="187">
      <c r="A187" s="582"/>
      <c r="B187" s="582"/>
      <c r="C187" s="582"/>
      <c r="D187" s="621"/>
      <c r="E187" s="622"/>
      <c r="F187" s="582"/>
      <c r="G187" s="582"/>
      <c r="H187" s="623"/>
      <c r="I187" s="624"/>
      <c r="J187" s="623"/>
      <c r="K187" s="624"/>
      <c r="L187" s="623"/>
      <c r="M187" s="623"/>
      <c r="N187" s="623"/>
      <c r="O187" s="623"/>
      <c r="P187" s="623"/>
      <c r="Q187" s="623"/>
      <c r="R187" s="623"/>
      <c r="S187" s="623"/>
      <c r="T187" s="623"/>
      <c r="U187" s="623"/>
      <c r="V187" s="623"/>
      <c r="W187" s="623"/>
      <c r="X187" s="623"/>
      <c r="Y187" s="623"/>
      <c r="Z187" s="623"/>
      <c r="AA187" s="582"/>
      <c r="AB187" s="582"/>
      <c r="AC187" s="582"/>
      <c r="AD187" s="582"/>
    </row>
    <row r="188">
      <c r="A188" s="582"/>
      <c r="B188" s="582"/>
      <c r="C188" s="582"/>
      <c r="D188" s="621"/>
      <c r="E188" s="622"/>
      <c r="F188" s="582"/>
      <c r="G188" s="582"/>
      <c r="H188" s="623"/>
      <c r="I188" s="624"/>
      <c r="J188" s="623"/>
      <c r="K188" s="624"/>
      <c r="L188" s="623"/>
      <c r="M188" s="623"/>
      <c r="N188" s="623"/>
      <c r="O188" s="623"/>
      <c r="P188" s="623"/>
      <c r="Q188" s="623"/>
      <c r="R188" s="623"/>
      <c r="S188" s="623"/>
      <c r="T188" s="623"/>
      <c r="U188" s="623"/>
      <c r="V188" s="623"/>
      <c r="W188" s="623"/>
      <c r="X188" s="623"/>
      <c r="Y188" s="623"/>
      <c r="Z188" s="623"/>
      <c r="AA188" s="582"/>
      <c r="AB188" s="582"/>
      <c r="AC188" s="582"/>
      <c r="AD188" s="582"/>
    </row>
    <row r="189">
      <c r="A189" s="582"/>
      <c r="B189" s="582"/>
      <c r="C189" s="582"/>
      <c r="D189" s="621"/>
      <c r="E189" s="622"/>
      <c r="F189" s="582"/>
      <c r="G189" s="582"/>
      <c r="H189" s="623"/>
      <c r="I189" s="624"/>
      <c r="J189" s="623"/>
      <c r="K189" s="624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23"/>
      <c r="Z189" s="623"/>
      <c r="AA189" s="582"/>
      <c r="AB189" s="582"/>
      <c r="AC189" s="582"/>
      <c r="AD189" s="582"/>
    </row>
    <row r="190">
      <c r="A190" s="582"/>
      <c r="B190" s="582"/>
      <c r="C190" s="582"/>
      <c r="D190" s="621"/>
      <c r="E190" s="622"/>
      <c r="F190" s="582"/>
      <c r="G190" s="582"/>
      <c r="H190" s="623"/>
      <c r="I190" s="624"/>
      <c r="J190" s="623"/>
      <c r="K190" s="624"/>
      <c r="L190" s="623"/>
      <c r="M190" s="623"/>
      <c r="N190" s="623"/>
      <c r="O190" s="623"/>
      <c r="P190" s="623"/>
      <c r="Q190" s="623"/>
      <c r="R190" s="623"/>
      <c r="S190" s="623"/>
      <c r="T190" s="623"/>
      <c r="U190" s="623"/>
      <c r="V190" s="623"/>
      <c r="W190" s="623"/>
      <c r="X190" s="623"/>
      <c r="Y190" s="623"/>
      <c r="Z190" s="623"/>
      <c r="AA190" s="582"/>
      <c r="AB190" s="582"/>
      <c r="AC190" s="582"/>
      <c r="AD190" s="582"/>
    </row>
    <row r="191">
      <c r="A191" s="582"/>
      <c r="B191" s="582"/>
      <c r="C191" s="582"/>
      <c r="D191" s="621"/>
      <c r="E191" s="622"/>
      <c r="F191" s="582"/>
      <c r="G191" s="582"/>
      <c r="H191" s="623"/>
      <c r="I191" s="624"/>
      <c r="J191" s="623"/>
      <c r="K191" s="624"/>
      <c r="L191" s="623"/>
      <c r="M191" s="623"/>
      <c r="N191" s="623"/>
      <c r="O191" s="623"/>
      <c r="P191" s="623"/>
      <c r="Q191" s="623"/>
      <c r="R191" s="623"/>
      <c r="S191" s="623"/>
      <c r="T191" s="623"/>
      <c r="U191" s="623"/>
      <c r="V191" s="623"/>
      <c r="W191" s="623"/>
      <c r="X191" s="623"/>
      <c r="Y191" s="623"/>
      <c r="Z191" s="623"/>
      <c r="AA191" s="582"/>
      <c r="AB191" s="582"/>
      <c r="AC191" s="582"/>
      <c r="AD191" s="582"/>
    </row>
    <row r="192">
      <c r="A192" s="582"/>
      <c r="B192" s="582"/>
      <c r="C192" s="582"/>
      <c r="D192" s="621"/>
      <c r="E192" s="622"/>
      <c r="F192" s="582"/>
      <c r="G192" s="582"/>
      <c r="H192" s="623"/>
      <c r="I192" s="624"/>
      <c r="J192" s="623"/>
      <c r="K192" s="624"/>
      <c r="L192" s="623"/>
      <c r="M192" s="623"/>
      <c r="N192" s="623"/>
      <c r="O192" s="623"/>
      <c r="P192" s="623"/>
      <c r="Q192" s="623"/>
      <c r="R192" s="623"/>
      <c r="S192" s="623"/>
      <c r="T192" s="623"/>
      <c r="U192" s="623"/>
      <c r="V192" s="623"/>
      <c r="W192" s="623"/>
      <c r="X192" s="623"/>
      <c r="Y192" s="623"/>
      <c r="Z192" s="623"/>
      <c r="AA192" s="582"/>
      <c r="AB192" s="582"/>
      <c r="AC192" s="582"/>
      <c r="AD192" s="582"/>
    </row>
    <row r="193">
      <c r="A193" s="582"/>
      <c r="B193" s="582"/>
      <c r="C193" s="582"/>
      <c r="D193" s="621"/>
      <c r="E193" s="622"/>
      <c r="F193" s="582"/>
      <c r="G193" s="582"/>
      <c r="H193" s="623"/>
      <c r="I193" s="624"/>
      <c r="J193" s="623"/>
      <c r="K193" s="624"/>
      <c r="L193" s="623"/>
      <c r="M193" s="623"/>
      <c r="N193" s="623"/>
      <c r="O193" s="623"/>
      <c r="P193" s="623"/>
      <c r="Q193" s="623"/>
      <c r="R193" s="623"/>
      <c r="S193" s="623"/>
      <c r="T193" s="623"/>
      <c r="U193" s="623"/>
      <c r="V193" s="623"/>
      <c r="W193" s="623"/>
      <c r="X193" s="623"/>
      <c r="Y193" s="623"/>
      <c r="Z193" s="623"/>
      <c r="AA193" s="582"/>
      <c r="AB193" s="582"/>
      <c r="AC193" s="582"/>
      <c r="AD193" s="582"/>
    </row>
    <row r="194">
      <c r="A194" s="582"/>
      <c r="B194" s="582"/>
      <c r="C194" s="582"/>
      <c r="D194" s="621"/>
      <c r="E194" s="622"/>
      <c r="F194" s="582"/>
      <c r="G194" s="582"/>
      <c r="H194" s="623"/>
      <c r="I194" s="624"/>
      <c r="J194" s="623"/>
      <c r="K194" s="624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582"/>
      <c r="AB194" s="582"/>
      <c r="AC194" s="582"/>
      <c r="AD194" s="582"/>
    </row>
    <row r="195">
      <c r="A195" s="582"/>
      <c r="B195" s="582"/>
      <c r="C195" s="582"/>
      <c r="D195" s="621"/>
      <c r="E195" s="622"/>
      <c r="F195" s="582"/>
      <c r="G195" s="582"/>
      <c r="H195" s="623"/>
      <c r="I195" s="624"/>
      <c r="J195" s="623"/>
      <c r="K195" s="624"/>
      <c r="L195" s="623"/>
      <c r="M195" s="623"/>
      <c r="N195" s="623"/>
      <c r="O195" s="623"/>
      <c r="P195" s="623"/>
      <c r="Q195" s="623"/>
      <c r="R195" s="623"/>
      <c r="S195" s="623"/>
      <c r="T195" s="623"/>
      <c r="U195" s="623"/>
      <c r="V195" s="623"/>
      <c r="W195" s="623"/>
      <c r="X195" s="623"/>
      <c r="Y195" s="623"/>
      <c r="Z195" s="623"/>
      <c r="AA195" s="582"/>
      <c r="AB195" s="582"/>
      <c r="AC195" s="582"/>
      <c r="AD195" s="582"/>
    </row>
    <row r="196">
      <c r="A196" s="582"/>
      <c r="B196" s="582"/>
      <c r="C196" s="582"/>
      <c r="D196" s="621"/>
      <c r="E196" s="622"/>
      <c r="F196" s="582"/>
      <c r="G196" s="582"/>
      <c r="H196" s="623"/>
      <c r="I196" s="624"/>
      <c r="J196" s="623"/>
      <c r="K196" s="624"/>
      <c r="L196" s="623"/>
      <c r="M196" s="623"/>
      <c r="N196" s="623"/>
      <c r="O196" s="623"/>
      <c r="P196" s="623"/>
      <c r="Q196" s="623"/>
      <c r="R196" s="623"/>
      <c r="S196" s="623"/>
      <c r="T196" s="623"/>
      <c r="U196" s="623"/>
      <c r="V196" s="623"/>
      <c r="W196" s="623"/>
      <c r="X196" s="623"/>
      <c r="Y196" s="623"/>
      <c r="Z196" s="623"/>
      <c r="AA196" s="582"/>
      <c r="AB196" s="582"/>
      <c r="AC196" s="582"/>
      <c r="AD196" s="582"/>
    </row>
    <row r="197">
      <c r="A197" s="582"/>
      <c r="B197" s="582"/>
      <c r="C197" s="582"/>
      <c r="D197" s="621"/>
      <c r="E197" s="622"/>
      <c r="F197" s="582"/>
      <c r="G197" s="582"/>
      <c r="H197" s="623"/>
      <c r="I197" s="624"/>
      <c r="J197" s="623"/>
      <c r="K197" s="624"/>
      <c r="L197" s="623"/>
      <c r="M197" s="623"/>
      <c r="N197" s="623"/>
      <c r="O197" s="623"/>
      <c r="P197" s="623"/>
      <c r="Q197" s="623"/>
      <c r="R197" s="623"/>
      <c r="S197" s="623"/>
      <c r="T197" s="623"/>
      <c r="U197" s="623"/>
      <c r="V197" s="623"/>
      <c r="W197" s="623"/>
      <c r="X197" s="623"/>
      <c r="Y197" s="623"/>
      <c r="Z197" s="623"/>
      <c r="AA197" s="582"/>
      <c r="AB197" s="582"/>
      <c r="AC197" s="582"/>
      <c r="AD197" s="582"/>
    </row>
    <row r="198">
      <c r="A198" s="582"/>
      <c r="B198" s="582"/>
      <c r="C198" s="582"/>
      <c r="D198" s="621"/>
      <c r="E198" s="622"/>
      <c r="F198" s="582"/>
      <c r="G198" s="582"/>
      <c r="H198" s="623"/>
      <c r="I198" s="624"/>
      <c r="J198" s="623"/>
      <c r="K198" s="624"/>
      <c r="L198" s="623"/>
      <c r="M198" s="623"/>
      <c r="N198" s="623"/>
      <c r="O198" s="623"/>
      <c r="P198" s="623"/>
      <c r="Q198" s="623"/>
      <c r="R198" s="623"/>
      <c r="S198" s="623"/>
      <c r="T198" s="623"/>
      <c r="U198" s="623"/>
      <c r="V198" s="623"/>
      <c r="W198" s="623"/>
      <c r="X198" s="623"/>
      <c r="Y198" s="623"/>
      <c r="Z198" s="623"/>
      <c r="AA198" s="582"/>
      <c r="AB198" s="582"/>
      <c r="AC198" s="582"/>
      <c r="AD198" s="582"/>
    </row>
    <row r="199">
      <c r="A199" s="582"/>
      <c r="B199" s="582"/>
      <c r="C199" s="582"/>
      <c r="D199" s="621"/>
      <c r="E199" s="622"/>
      <c r="F199" s="582"/>
      <c r="G199" s="582"/>
      <c r="H199" s="623"/>
      <c r="I199" s="624"/>
      <c r="J199" s="623"/>
      <c r="K199" s="624"/>
      <c r="L199" s="623"/>
      <c r="M199" s="623"/>
      <c r="N199" s="623"/>
      <c r="O199" s="623"/>
      <c r="P199" s="623"/>
      <c r="Q199" s="623"/>
      <c r="R199" s="623"/>
      <c r="S199" s="623"/>
      <c r="T199" s="623"/>
      <c r="U199" s="623"/>
      <c r="V199" s="623"/>
      <c r="W199" s="623"/>
      <c r="X199" s="623"/>
      <c r="Y199" s="623"/>
      <c r="Z199" s="623"/>
      <c r="AA199" s="582"/>
      <c r="AB199" s="582"/>
      <c r="AC199" s="582"/>
      <c r="AD199" s="582"/>
    </row>
    <row r="200">
      <c r="A200" s="582"/>
      <c r="B200" s="582"/>
      <c r="C200" s="582"/>
      <c r="D200" s="621"/>
      <c r="E200" s="622"/>
      <c r="F200" s="582"/>
      <c r="G200" s="582"/>
      <c r="H200" s="623"/>
      <c r="I200" s="624"/>
      <c r="J200" s="623"/>
      <c r="K200" s="624"/>
      <c r="L200" s="623"/>
      <c r="M200" s="623"/>
      <c r="N200" s="623"/>
      <c r="O200" s="623"/>
      <c r="P200" s="623"/>
      <c r="Q200" s="623"/>
      <c r="R200" s="623"/>
      <c r="S200" s="623"/>
      <c r="T200" s="623"/>
      <c r="U200" s="623"/>
      <c r="V200" s="623"/>
      <c r="W200" s="623"/>
      <c r="X200" s="623"/>
      <c r="Y200" s="623"/>
      <c r="Z200" s="623"/>
      <c r="AA200" s="582"/>
      <c r="AB200" s="582"/>
      <c r="AC200" s="582"/>
      <c r="AD200" s="582"/>
    </row>
  </sheetData>
  <mergeCells>
    <mergeCell ref="O17:P17"/>
    <mergeCell ref="O1:P1"/>
    <mergeCell ref="M17:N17"/>
    <mergeCell ref="M1:N1"/>
    <mergeCell ref="K17:L17"/>
    <mergeCell ref="K1:L1"/>
    <mergeCell ref="I17:J17"/>
    <mergeCell ref="I1:J1"/>
    <mergeCell ref="A3:A15"/>
    <mergeCell ref="B3:B15"/>
    <mergeCell ref="A1:A2"/>
    <mergeCell ref="B1:B2"/>
    <mergeCell ref="C1:C2"/>
    <mergeCell ref="E1:E2"/>
    <mergeCell ref="F1:F2"/>
    <mergeCell ref="G1:H1"/>
    <mergeCell ref="D1:D2"/>
    <mergeCell ref="Q17:R17"/>
    <mergeCell ref="Q1:R1"/>
    <mergeCell ref="S17:T17"/>
    <mergeCell ref="S1:T1"/>
    <mergeCell ref="U17:V17"/>
    <mergeCell ref="U1:V1"/>
    <mergeCell ref="W17:X17"/>
    <mergeCell ref="W1:X1"/>
    <mergeCell ref="AA1:AA2"/>
    <mergeCell ref="AB1:AB2"/>
    <mergeCell ref="AC1:AC2"/>
    <mergeCell ref="Y17:Z17"/>
    <mergeCell ref="Y1:Z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10"/>
    <col collapsed="false" customWidth="true" hidden="false" max="7" min="7" style="0" width="52"/>
    <col collapsed="false" customWidth="true" hidden="false" max="11" min="11" style="0" width="28"/>
    <col collapsed="false" customWidth="true" hidden="false" max="13" min="13" style="0" width="15"/>
    <col collapsed="false" customWidth="true" hidden="false" max="3" min="3" style="0" width="25"/>
    <col collapsed="false" customWidth="true" hidden="false" max="8" min="8" style="0" width="18"/>
    <col collapsed="false" customWidth="true" hidden="false" max="10" min="10" style="0" width="28"/>
    <col collapsed="false" customWidth="true" hidden="false" max="2" min="2" style="0" width="19"/>
  </cols>
  <sheetData>
    <row r="1">
      <c r="A1" s="626" t="s">
        <v>866</v>
      </c>
      <c r="B1" s="627" t="s">
        <v>867</v>
      </c>
      <c r="C1" s="626" t="s">
        <v>868</v>
      </c>
      <c r="D1" s="628" t="s">
        <v>869</v>
      </c>
      <c r="E1" s="629" t="s">
        <v>870</v>
      </c>
      <c r="F1" s="630" t="s">
        <v>871</v>
      </c>
      <c r="G1" s="626" t="s">
        <v>872</v>
      </c>
      <c r="H1" s="626" t="s">
        <v>873</v>
      </c>
      <c r="I1" s="626" t="s">
        <v>874</v>
      </c>
      <c r="J1" s="631" t="s">
        <v>875</v>
      </c>
      <c r="K1" s="626" t="s">
        <v>876</v>
      </c>
      <c r="L1" s="632" t="s">
        <v>877</v>
      </c>
      <c r="M1" s="632" t="s">
        <v>878</v>
      </c>
      <c r="N1" s="633"/>
      <c r="O1" s="633"/>
      <c r="P1" s="633"/>
      <c r="Q1" s="633"/>
      <c r="R1" s="633"/>
    </row>
    <row r="2">
      <c r="A2" s="634">
        <v>45992</v>
      </c>
      <c r="B2" s="635">
        <v>697884024023500</v>
      </c>
      <c r="C2" s="636" t="s">
        <v>879</v>
      </c>
      <c r="D2" s="637">
        <v>292.05</v>
      </c>
      <c r="E2" s="636">
        <v>2</v>
      </c>
      <c r="F2" s="638">
        <f t="shared" ref="F2:F12" si="0">D2*E2</f>
      </c>
      <c r="G2" s="639" t="s">
        <v>880</v>
      </c>
      <c r="H2" s="636" t="s">
        <v>881</v>
      </c>
      <c r="I2" s="640" t="s">
        <v>882</v>
      </c>
      <c r="J2" s="636" t="s">
        <v>883</v>
      </c>
      <c r="K2" s="636" t="s">
        <v>884</v>
      </c>
      <c r="L2" s="636" t="s">
        <v>885</v>
      </c>
      <c r="M2" s="636">
        <v>78964363449241</v>
      </c>
      <c r="N2" s="633"/>
      <c r="O2" s="633"/>
      <c r="P2" s="633"/>
      <c r="Q2" s="633"/>
      <c r="R2" s="633"/>
    </row>
    <row r="3">
      <c r="A3" s="641">
        <v>45994</v>
      </c>
      <c r="B3" s="642">
        <v>6926391403364</v>
      </c>
      <c r="C3" s="643" t="s">
        <v>886</v>
      </c>
      <c r="D3" s="644">
        <v>174.42</v>
      </c>
      <c r="E3" s="645">
        <v>50</v>
      </c>
      <c r="F3" s="646">
        <f t="shared" si="0"/>
      </c>
      <c r="G3" s="645" t="s">
        <v>887</v>
      </c>
      <c r="H3" s="645" t="s">
        <v>881</v>
      </c>
      <c r="I3" s="645" t="s">
        <v>888</v>
      </c>
      <c r="J3" s="645" t="s">
        <v>889</v>
      </c>
      <c r="K3" s="645" t="s">
        <v>890</v>
      </c>
      <c r="L3" s="645" t="s">
        <v>885</v>
      </c>
      <c r="M3" s="647">
        <v>78964361439004</v>
      </c>
      <c r="N3" s="633"/>
      <c r="O3" s="633"/>
      <c r="P3" s="633"/>
      <c r="Q3" s="633"/>
      <c r="R3" s="633"/>
    </row>
    <row r="4">
      <c r="A4" s="641">
        <v>45996</v>
      </c>
      <c r="B4" s="645">
        <v>697884024024200</v>
      </c>
      <c r="C4" s="645" t="s">
        <v>891</v>
      </c>
      <c r="D4" s="648">
        <v>118.65</v>
      </c>
      <c r="E4" s="645">
        <v>20</v>
      </c>
      <c r="F4" s="646">
        <f t="shared" si="0"/>
      </c>
      <c r="G4" s="645" t="s">
        <v>892</v>
      </c>
      <c r="H4" s="645" t="s">
        <v>893</v>
      </c>
      <c r="I4" s="645" t="s">
        <v>894</v>
      </c>
      <c r="J4" s="645" t="s">
        <v>895</v>
      </c>
      <c r="K4" s="645" t="s">
        <v>896</v>
      </c>
      <c r="L4" s="645" t="s">
        <v>885</v>
      </c>
      <c r="M4" s="645" t="s">
        <v>897</v>
      </c>
      <c r="N4" s="633"/>
      <c r="O4" s="633"/>
      <c r="P4" s="633"/>
      <c r="Q4" s="633"/>
      <c r="R4" s="633"/>
    </row>
    <row r="5">
      <c r="A5" s="641">
        <v>46014</v>
      </c>
      <c r="B5" s="645">
        <v>692639140427900</v>
      </c>
      <c r="C5" s="645" t="s">
        <v>898</v>
      </c>
      <c r="D5" s="648">
        <v>441</v>
      </c>
      <c r="E5" s="645">
        <v>5</v>
      </c>
      <c r="F5" s="646">
        <f t="shared" si="0"/>
      </c>
      <c r="G5" s="649" t="s">
        <v>892</v>
      </c>
      <c r="H5" s="645" t="s">
        <v>893</v>
      </c>
      <c r="I5" s="645" t="s">
        <v>894</v>
      </c>
      <c r="J5" s="645" t="s">
        <v>899</v>
      </c>
      <c r="K5" s="645" t="s">
        <v>900</v>
      </c>
      <c r="L5" s="645" t="s">
        <v>885</v>
      </c>
      <c r="M5" s="645" t="s">
        <v>901</v>
      </c>
      <c r="N5" s="633"/>
      <c r="O5" s="633"/>
      <c r="P5" s="633"/>
      <c r="Q5" s="633"/>
      <c r="R5" s="633"/>
    </row>
    <row r="6">
      <c r="A6" s="641">
        <v>46014</v>
      </c>
      <c r="B6" s="645">
        <v>697884024024200</v>
      </c>
      <c r="C6" s="636" t="s">
        <v>902</v>
      </c>
      <c r="D6" s="637">
        <v>118.65</v>
      </c>
      <c r="E6" s="636">
        <v>20</v>
      </c>
      <c r="F6" s="638">
        <f t="shared" si="0"/>
      </c>
      <c r="G6" s="639"/>
      <c r="H6" s="636"/>
      <c r="I6" s="636"/>
      <c r="J6" s="650"/>
      <c r="K6" s="650"/>
      <c r="L6" s="650"/>
      <c r="M6" s="650"/>
      <c r="N6" s="633"/>
      <c r="O6" s="633"/>
      <c r="P6" s="633"/>
      <c r="Q6" s="633"/>
      <c r="R6" s="633"/>
    </row>
    <row r="7">
      <c r="A7" s="641">
        <v>46017</v>
      </c>
      <c r="B7" s="651">
        <v>697884024024200</v>
      </c>
      <c r="C7" s="645" t="s">
        <v>902</v>
      </c>
      <c r="D7" s="648">
        <v>378</v>
      </c>
      <c r="E7" s="645">
        <v>5</v>
      </c>
      <c r="F7" s="646">
        <f t="shared" si="0"/>
      </c>
      <c r="G7" s="645" t="s">
        <v>903</v>
      </c>
      <c r="H7" s="649" t="s">
        <v>904</v>
      </c>
      <c r="I7" s="645" t="s">
        <v>882</v>
      </c>
      <c r="J7" s="645"/>
      <c r="K7" s="645" t="s">
        <v>905</v>
      </c>
      <c r="L7" s="652"/>
      <c r="M7" s="647"/>
      <c r="N7" s="653"/>
      <c r="O7" s="633"/>
      <c r="P7" s="633"/>
      <c r="Q7" s="633"/>
      <c r="R7" s="633"/>
    </row>
    <row r="8">
      <c r="A8" s="641">
        <v>46017</v>
      </c>
      <c r="B8" s="654">
        <v>697884024026600</v>
      </c>
      <c r="C8" s="655" t="s">
        <v>906</v>
      </c>
      <c r="D8" s="648">
        <v>169</v>
      </c>
      <c r="E8" s="645">
        <v>5</v>
      </c>
      <c r="F8" s="646">
        <f t="shared" si="0"/>
      </c>
      <c r="G8" s="645"/>
      <c r="H8" s="649"/>
      <c r="I8" s="645"/>
      <c r="J8" s="647"/>
      <c r="K8" s="645"/>
      <c r="L8" s="652"/>
      <c r="M8" s="647"/>
      <c r="N8" s="653"/>
      <c r="O8" s="633"/>
      <c r="P8" s="633"/>
      <c r="Q8" s="633"/>
      <c r="R8" s="633"/>
    </row>
    <row r="9">
      <c r="A9" s="641">
        <v>46029</v>
      </c>
      <c r="B9" s="656">
        <v>697884024027300</v>
      </c>
      <c r="C9" s="645" t="s">
        <v>907</v>
      </c>
      <c r="D9" s="648">
        <v>269</v>
      </c>
      <c r="E9" s="636">
        <v>20</v>
      </c>
      <c r="F9" s="646">
        <f t="shared" si="0"/>
      </c>
      <c r="G9" s="645" t="s">
        <v>908</v>
      </c>
      <c r="H9" s="636" t="s">
        <v>881</v>
      </c>
      <c r="I9" s="636" t="s">
        <v>882</v>
      </c>
      <c r="J9" s="636" t="s">
        <v>883</v>
      </c>
      <c r="K9" s="636" t="s">
        <v>909</v>
      </c>
      <c r="L9" s="636" t="s">
        <v>885</v>
      </c>
      <c r="M9" s="636">
        <v>78972729764351</v>
      </c>
      <c r="N9" s="633"/>
      <c r="O9" s="633"/>
      <c r="P9" s="633"/>
      <c r="Q9" s="633"/>
      <c r="R9" s="633"/>
    </row>
    <row r="10">
      <c r="A10" s="657">
        <v>46031</v>
      </c>
      <c r="B10" s="636">
        <v>697884024024200</v>
      </c>
      <c r="C10" s="636" t="s">
        <v>891</v>
      </c>
      <c r="D10" s="658">
        <v>118.65</v>
      </c>
      <c r="E10" s="636">
        <v>30</v>
      </c>
      <c r="F10" s="659">
        <f t="shared" si="0"/>
      </c>
      <c r="G10" s="640" t="s">
        <v>892</v>
      </c>
      <c r="H10" s="636" t="s">
        <v>893</v>
      </c>
      <c r="I10" s="636" t="s">
        <v>894</v>
      </c>
      <c r="J10" s="640" t="s">
        <v>910</v>
      </c>
      <c r="K10" s="645" t="s">
        <v>911</v>
      </c>
      <c r="L10" s="645" t="s">
        <v>885</v>
      </c>
      <c r="M10" s="645"/>
      <c r="N10" s="633"/>
      <c r="O10" s="633"/>
      <c r="P10" s="633"/>
      <c r="Q10" s="633"/>
      <c r="R10" s="633"/>
    </row>
    <row r="11">
      <c r="A11" s="660">
        <v>46034</v>
      </c>
      <c r="B11" s="645">
        <v>692639140032500</v>
      </c>
      <c r="C11" s="645" t="s">
        <v>912</v>
      </c>
      <c r="D11" s="648">
        <v>264.6</v>
      </c>
      <c r="E11" s="645">
        <v>20</v>
      </c>
      <c r="F11" s="646">
        <f t="shared" si="0"/>
      </c>
      <c r="G11" s="645" t="s">
        <v>892</v>
      </c>
      <c r="H11" s="645" t="s">
        <v>893</v>
      </c>
      <c r="I11" s="645" t="s">
        <v>894</v>
      </c>
      <c r="J11" s="651" t="s">
        <v>913</v>
      </c>
      <c r="K11" s="645"/>
      <c r="L11" s="645" t="s">
        <v>885</v>
      </c>
      <c r="M11" s="647"/>
      <c r="N11" s="633"/>
      <c r="O11" s="633"/>
      <c r="P11" s="633"/>
      <c r="Q11" s="633"/>
      <c r="R11" s="633"/>
    </row>
    <row r="12">
      <c r="A12" s="660">
        <v>46044</v>
      </c>
      <c r="B12" s="661">
        <v>697884024042600</v>
      </c>
      <c r="C12" s="662" t="s">
        <v>914</v>
      </c>
      <c r="D12" s="663">
        <v>115.15</v>
      </c>
      <c r="E12" s="632">
        <v>330</v>
      </c>
      <c r="F12" s="646">
        <f t="shared" si="0"/>
      </c>
      <c r="G12" s="645" t="s">
        <v>892</v>
      </c>
      <c r="H12" s="645" t="s">
        <v>893</v>
      </c>
      <c r="I12" s="645" t="s">
        <v>894</v>
      </c>
      <c r="J12" s="651" t="s">
        <v>915</v>
      </c>
      <c r="K12" s="664" t="s">
        <v>916</v>
      </c>
      <c r="L12" s="645" t="s">
        <v>885</v>
      </c>
      <c r="M12" s="645" t="s">
        <v>917</v>
      </c>
      <c r="N12" s="633"/>
      <c r="O12" s="633"/>
      <c r="P12" s="633"/>
      <c r="Q12" s="633"/>
      <c r="R12" s="633"/>
    </row>
    <row r="13">
      <c r="A13" s="660"/>
      <c r="B13" s="633"/>
      <c r="C13" s="633"/>
      <c r="D13" s="665"/>
      <c r="E13" s="633"/>
      <c r="F13" s="666"/>
      <c r="G13" s="633"/>
      <c r="H13" s="633"/>
      <c r="I13" s="633"/>
      <c r="J13" s="633"/>
      <c r="K13" s="633"/>
      <c r="L13" s="633"/>
      <c r="M13" s="633"/>
      <c r="N13" s="633"/>
      <c r="O13" s="633"/>
      <c r="P13" s="633"/>
      <c r="Q13" s="633"/>
      <c r="R13" s="633"/>
    </row>
    <row r="14">
      <c r="A14" s="633"/>
      <c r="B14" s="633"/>
      <c r="C14" s="633"/>
      <c r="D14" s="665"/>
      <c r="E14" s="633"/>
      <c r="F14" s="666"/>
      <c r="G14" s="633"/>
      <c r="H14" s="633"/>
      <c r="I14" s="633"/>
      <c r="J14" s="633"/>
      <c r="K14" s="633"/>
      <c r="L14" s="633"/>
      <c r="M14" s="633"/>
      <c r="N14" s="633"/>
      <c r="O14" s="633"/>
      <c r="P14" s="633"/>
      <c r="Q14" s="633"/>
      <c r="R14" s="633"/>
    </row>
    <row r="15">
      <c r="A15" s="633"/>
      <c r="B15" s="633"/>
      <c r="C15" s="633"/>
      <c r="D15" s="665"/>
      <c r="E15" s="633"/>
      <c r="F15" s="666"/>
      <c r="G15" s="633"/>
      <c r="H15" s="633"/>
      <c r="I15" s="633"/>
      <c r="J15" s="633"/>
      <c r="K15" s="633"/>
      <c r="L15" s="633"/>
      <c r="M15" s="633"/>
      <c r="N15" s="633"/>
      <c r="O15" s="633"/>
      <c r="P15" s="633"/>
      <c r="Q15" s="633"/>
      <c r="R15" s="633"/>
    </row>
    <row r="16">
      <c r="A16" s="633"/>
      <c r="B16" s="633"/>
      <c r="C16" s="633"/>
      <c r="D16" s="665"/>
      <c r="E16" s="633"/>
      <c r="F16" s="666"/>
      <c r="G16" s="633"/>
      <c r="H16" s="633"/>
      <c r="I16" s="633"/>
      <c r="J16" s="633"/>
      <c r="K16" s="633"/>
      <c r="L16" s="633"/>
      <c r="M16" s="633"/>
      <c r="N16" s="633"/>
      <c r="O16" s="633"/>
      <c r="P16" s="633"/>
      <c r="Q16" s="633"/>
      <c r="R16" s="633"/>
    </row>
    <row r="17">
      <c r="A17" s="633"/>
      <c r="B17" s="633"/>
      <c r="C17" s="633"/>
      <c r="D17" s="665"/>
      <c r="E17" s="633"/>
      <c r="F17" s="666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3"/>
      <c r="R17" s="633"/>
    </row>
    <row r="18">
      <c r="A18" s="633"/>
      <c r="B18" s="633"/>
      <c r="C18" s="633"/>
      <c r="D18" s="665"/>
      <c r="E18" s="633"/>
      <c r="F18" s="666"/>
      <c r="G18" s="633"/>
      <c r="H18" s="633"/>
      <c r="I18" s="633"/>
      <c r="J18" s="633"/>
      <c r="K18" s="633"/>
      <c r="L18" s="633"/>
      <c r="M18" s="633"/>
      <c r="N18" s="633"/>
      <c r="O18" s="633"/>
      <c r="P18" s="633"/>
      <c r="Q18" s="633"/>
      <c r="R18" s="633"/>
    </row>
    <row r="19">
      <c r="A19" s="633"/>
      <c r="B19" s="633"/>
      <c r="C19" s="633"/>
      <c r="D19" s="665"/>
      <c r="E19" s="633"/>
      <c r="F19" s="666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</row>
    <row r="20">
      <c r="A20" s="633"/>
      <c r="B20" s="633"/>
      <c r="C20" s="633"/>
      <c r="D20" s="665"/>
      <c r="E20" s="633"/>
      <c r="F20" s="666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</row>
    <row r="21">
      <c r="A21" s="633"/>
      <c r="B21" s="633"/>
      <c r="C21" s="633"/>
      <c r="D21" s="665"/>
      <c r="E21" s="633"/>
      <c r="F21" s="666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</row>
    <row r="22">
      <c r="A22" s="633"/>
      <c r="B22" s="633"/>
      <c r="C22" s="633"/>
      <c r="D22" s="665"/>
      <c r="E22" s="633"/>
      <c r="F22" s="666"/>
      <c r="G22" s="633"/>
      <c r="H22" s="633"/>
      <c r="I22" s="633"/>
      <c r="J22" s="633"/>
      <c r="K22" s="633"/>
      <c r="L22" s="633"/>
      <c r="M22" s="633"/>
      <c r="N22" s="633"/>
      <c r="O22" s="633"/>
      <c r="P22" s="633"/>
      <c r="Q22" s="633"/>
      <c r="R22" s="633"/>
    </row>
    <row r="23">
      <c r="A23" s="633"/>
      <c r="B23" s="633"/>
      <c r="C23" s="633"/>
      <c r="D23" s="665"/>
      <c r="E23" s="633"/>
      <c r="F23" s="666"/>
      <c r="G23" s="633"/>
      <c r="H23" s="633"/>
      <c r="I23" s="633"/>
      <c r="J23" s="633"/>
      <c r="K23" s="633"/>
      <c r="L23" s="633"/>
      <c r="M23" s="633"/>
      <c r="N23" s="633"/>
      <c r="O23" s="633"/>
      <c r="P23" s="633"/>
      <c r="Q23" s="633"/>
      <c r="R23" s="633"/>
    </row>
    <row r="24">
      <c r="A24" s="633"/>
      <c r="B24" s="633"/>
      <c r="C24" s="633"/>
      <c r="D24" s="665"/>
      <c r="E24" s="633"/>
      <c r="F24" s="666"/>
      <c r="G24" s="633"/>
      <c r="H24" s="633"/>
      <c r="I24" s="633"/>
      <c r="J24" s="633"/>
      <c r="K24" s="633"/>
      <c r="L24" s="633"/>
      <c r="M24" s="633"/>
      <c r="N24" s="633"/>
      <c r="O24" s="633"/>
      <c r="P24" s="633"/>
      <c r="Q24" s="633"/>
      <c r="R24" s="633"/>
    </row>
    <row r="25">
      <c r="A25" s="633"/>
      <c r="B25" s="633"/>
      <c r="C25" s="633"/>
      <c r="D25" s="665"/>
      <c r="E25" s="633"/>
      <c r="F25" s="666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</row>
    <row r="26">
      <c r="A26" s="633"/>
      <c r="B26" s="633"/>
      <c r="C26" s="633"/>
      <c r="D26" s="665"/>
      <c r="E26" s="633"/>
      <c r="F26" s="666"/>
      <c r="G26" s="633"/>
      <c r="H26" s="633"/>
      <c r="I26" s="633"/>
      <c r="J26" s="633"/>
      <c r="K26" s="633"/>
      <c r="L26" s="633"/>
      <c r="M26" s="633"/>
      <c r="N26" s="633"/>
      <c r="O26" s="633"/>
      <c r="P26" s="633"/>
      <c r="Q26" s="633"/>
      <c r="R26" s="633"/>
    </row>
    <row r="27">
      <c r="A27" s="633"/>
      <c r="B27" s="633"/>
      <c r="C27" s="633"/>
      <c r="D27" s="665"/>
      <c r="E27" s="633"/>
      <c r="F27" s="666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3"/>
      <c r="R27" s="633"/>
    </row>
    <row r="28">
      <c r="A28" s="633"/>
      <c r="B28" s="633"/>
      <c r="C28" s="633"/>
      <c r="D28" s="665"/>
      <c r="E28" s="633"/>
      <c r="F28" s="666"/>
      <c r="G28" s="633"/>
      <c r="H28" s="633"/>
      <c r="I28" s="633"/>
      <c r="J28" s="633"/>
      <c r="K28" s="633"/>
      <c r="L28" s="633"/>
      <c r="M28" s="633"/>
      <c r="N28" s="633"/>
      <c r="O28" s="633"/>
      <c r="P28" s="633"/>
      <c r="Q28" s="633"/>
      <c r="R28" s="633"/>
    </row>
    <row r="29">
      <c r="A29" s="633"/>
      <c r="B29" s="633"/>
      <c r="C29" s="633"/>
      <c r="D29" s="665"/>
      <c r="E29" s="633"/>
      <c r="F29" s="666"/>
      <c r="G29" s="633"/>
      <c r="H29" s="633"/>
      <c r="I29" s="633"/>
      <c r="J29" s="633"/>
      <c r="K29" s="633"/>
      <c r="L29" s="633"/>
      <c r="M29" s="633"/>
      <c r="N29" s="633"/>
      <c r="O29" s="633"/>
      <c r="P29" s="633"/>
      <c r="Q29" s="633"/>
      <c r="R29" s="633"/>
    </row>
    <row r="30">
      <c r="A30" s="633"/>
      <c r="B30" s="633"/>
      <c r="C30" s="633"/>
      <c r="D30" s="665"/>
      <c r="E30" s="633"/>
      <c r="F30" s="666"/>
      <c r="G30" s="633"/>
      <c r="H30" s="633"/>
      <c r="I30" s="633"/>
      <c r="J30" s="633"/>
      <c r="K30" s="633"/>
      <c r="L30" s="633"/>
      <c r="M30" s="633"/>
      <c r="N30" s="633"/>
      <c r="O30" s="633"/>
      <c r="P30" s="633"/>
      <c r="Q30" s="633"/>
      <c r="R30" s="633"/>
    </row>
    <row r="31">
      <c r="A31" s="633"/>
      <c r="B31" s="633"/>
      <c r="C31" s="633"/>
      <c r="D31" s="665"/>
      <c r="E31" s="633"/>
      <c r="F31" s="666"/>
      <c r="G31" s="633"/>
      <c r="H31" s="633"/>
      <c r="I31" s="633"/>
      <c r="J31" s="633"/>
      <c r="K31" s="633"/>
      <c r="L31" s="633"/>
      <c r="M31" s="633"/>
      <c r="N31" s="633"/>
      <c r="O31" s="633"/>
      <c r="P31" s="633"/>
      <c r="Q31" s="633"/>
      <c r="R31" s="633"/>
    </row>
    <row r="32">
      <c r="A32" s="633"/>
      <c r="B32" s="633"/>
      <c r="C32" s="633"/>
      <c r="D32" s="665"/>
      <c r="E32" s="633"/>
      <c r="F32" s="666"/>
      <c r="G32" s="633"/>
      <c r="H32" s="633"/>
      <c r="I32" s="633"/>
      <c r="J32" s="633"/>
      <c r="K32" s="633"/>
      <c r="L32" s="633"/>
      <c r="M32" s="633"/>
      <c r="N32" s="633"/>
      <c r="O32" s="633"/>
      <c r="P32" s="633"/>
      <c r="Q32" s="633"/>
      <c r="R32" s="633"/>
    </row>
    <row r="33">
      <c r="A33" s="633"/>
      <c r="B33" s="633"/>
      <c r="C33" s="633"/>
      <c r="D33" s="665"/>
      <c r="E33" s="633"/>
      <c r="F33" s="666"/>
      <c r="G33" s="633"/>
      <c r="H33" s="633"/>
      <c r="I33" s="633"/>
      <c r="J33" s="633"/>
      <c r="K33" s="633"/>
      <c r="L33" s="633"/>
      <c r="M33" s="633"/>
      <c r="N33" s="633"/>
      <c r="O33" s="633"/>
      <c r="P33" s="633"/>
      <c r="Q33" s="633"/>
      <c r="R33" s="633"/>
    </row>
    <row r="34">
      <c r="A34" s="633"/>
      <c r="B34" s="633"/>
      <c r="C34" s="633"/>
      <c r="D34" s="665"/>
      <c r="E34" s="633"/>
      <c r="F34" s="666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</row>
    <row r="35">
      <c r="A35" s="633"/>
      <c r="B35" s="633"/>
      <c r="C35" s="633"/>
      <c r="D35" s="665"/>
      <c r="E35" s="633"/>
      <c r="F35" s="666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</row>
    <row r="36">
      <c r="A36" s="633"/>
      <c r="B36" s="633"/>
      <c r="C36" s="633"/>
      <c r="D36" s="665"/>
      <c r="E36" s="633"/>
      <c r="F36" s="666"/>
      <c r="G36" s="633"/>
      <c r="H36" s="633"/>
      <c r="I36" s="633"/>
      <c r="J36" s="633"/>
      <c r="K36" s="633"/>
      <c r="L36" s="633"/>
      <c r="M36" s="633"/>
      <c r="N36" s="633"/>
      <c r="O36" s="633"/>
      <c r="P36" s="633"/>
      <c r="Q36" s="633"/>
      <c r="R36" s="633"/>
    </row>
    <row r="37">
      <c r="A37" s="633"/>
      <c r="B37" s="633"/>
      <c r="C37" s="633"/>
      <c r="D37" s="665"/>
      <c r="E37" s="633"/>
      <c r="F37" s="666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</row>
    <row r="38">
      <c r="A38" s="633"/>
      <c r="B38" s="633"/>
      <c r="C38" s="633"/>
      <c r="D38" s="665"/>
      <c r="E38" s="633"/>
      <c r="F38" s="666"/>
      <c r="G38" s="633"/>
      <c r="H38" s="633"/>
      <c r="I38" s="633"/>
      <c r="J38" s="633"/>
      <c r="K38" s="633"/>
      <c r="L38" s="633"/>
      <c r="M38" s="633"/>
      <c r="N38" s="633"/>
      <c r="O38" s="633"/>
      <c r="P38" s="633"/>
      <c r="Q38" s="633"/>
      <c r="R38" s="633"/>
    </row>
    <row r="39">
      <c r="A39" s="633"/>
      <c r="B39" s="633"/>
      <c r="C39" s="633"/>
      <c r="D39" s="665"/>
      <c r="E39" s="633"/>
      <c r="F39" s="666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</row>
    <row r="40">
      <c r="A40" s="633"/>
      <c r="B40" s="633"/>
      <c r="C40" s="633"/>
      <c r="D40" s="665"/>
      <c r="E40" s="633"/>
      <c r="F40" s="666"/>
      <c r="G40" s="633"/>
      <c r="H40" s="633"/>
      <c r="I40" s="633"/>
      <c r="J40" s="633"/>
      <c r="K40" s="633"/>
      <c r="L40" s="633"/>
      <c r="M40" s="633"/>
      <c r="N40" s="633"/>
      <c r="O40" s="633"/>
      <c r="P40" s="633"/>
      <c r="Q40" s="633"/>
      <c r="R40" s="633"/>
    </row>
    <row r="41">
      <c r="A41" s="633"/>
      <c r="B41" s="633"/>
      <c r="C41" s="633"/>
      <c r="D41" s="665"/>
      <c r="E41" s="633"/>
      <c r="F41" s="666"/>
      <c r="G41" s="633"/>
      <c r="H41" s="633"/>
      <c r="I41" s="633"/>
      <c r="J41" s="633"/>
      <c r="K41" s="633"/>
      <c r="L41" s="633"/>
      <c r="M41" s="633"/>
      <c r="N41" s="633"/>
      <c r="O41" s="633"/>
      <c r="P41" s="633"/>
      <c r="Q41" s="633"/>
      <c r="R41" s="633"/>
    </row>
    <row r="42">
      <c r="A42" s="633"/>
      <c r="B42" s="633"/>
      <c r="C42" s="633"/>
      <c r="D42" s="665"/>
      <c r="E42" s="633"/>
      <c r="F42" s="666"/>
      <c r="G42" s="633"/>
      <c r="H42" s="633"/>
      <c r="I42" s="633"/>
      <c r="J42" s="633"/>
      <c r="K42" s="633"/>
      <c r="L42" s="633"/>
      <c r="M42" s="633"/>
      <c r="N42" s="633"/>
      <c r="O42" s="633"/>
      <c r="P42" s="633"/>
      <c r="Q42" s="633"/>
      <c r="R42" s="633"/>
    </row>
    <row r="43">
      <c r="A43" s="633"/>
      <c r="B43" s="633"/>
      <c r="C43" s="633"/>
      <c r="D43" s="665"/>
      <c r="E43" s="633"/>
      <c r="F43" s="666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</row>
    <row r="44">
      <c r="A44" s="633"/>
      <c r="B44" s="633"/>
      <c r="C44" s="633"/>
      <c r="D44" s="665"/>
      <c r="E44" s="633"/>
      <c r="F44" s="666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</row>
    <row r="45">
      <c r="A45" s="633"/>
      <c r="B45" s="633"/>
      <c r="C45" s="633"/>
      <c r="D45" s="665"/>
      <c r="E45" s="633"/>
      <c r="F45" s="666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</row>
    <row r="46">
      <c r="A46" s="633"/>
      <c r="B46" s="633"/>
      <c r="C46" s="633"/>
      <c r="D46" s="665"/>
      <c r="E46" s="633"/>
      <c r="F46" s="666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</row>
    <row r="47">
      <c r="A47" s="633"/>
      <c r="B47" s="633"/>
      <c r="C47" s="633"/>
      <c r="D47" s="665"/>
      <c r="E47" s="633"/>
      <c r="F47" s="666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</row>
    <row r="48">
      <c r="A48" s="633"/>
      <c r="B48" s="633"/>
      <c r="C48" s="633"/>
      <c r="D48" s="665"/>
      <c r="E48" s="633"/>
      <c r="F48" s="666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</row>
    <row r="49">
      <c r="A49" s="633"/>
      <c r="B49" s="633"/>
      <c r="C49" s="633"/>
      <c r="D49" s="665"/>
      <c r="E49" s="633"/>
      <c r="F49" s="666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  <c r="R49" s="633"/>
    </row>
    <row r="50">
      <c r="A50" s="633"/>
      <c r="B50" s="633"/>
      <c r="C50" s="633"/>
      <c r="D50" s="665"/>
      <c r="E50" s="633"/>
      <c r="F50" s="666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</row>
    <row r="51">
      <c r="A51" s="633"/>
      <c r="B51" s="633"/>
      <c r="C51" s="633"/>
      <c r="D51" s="665"/>
      <c r="E51" s="633"/>
      <c r="F51" s="666"/>
      <c r="G51" s="633"/>
      <c r="H51" s="633"/>
      <c r="I51" s="633"/>
      <c r="J51" s="633"/>
      <c r="K51" s="633"/>
      <c r="L51" s="633"/>
      <c r="M51" s="633"/>
      <c r="N51" s="633"/>
      <c r="O51" s="633"/>
      <c r="P51" s="633"/>
      <c r="Q51" s="633"/>
      <c r="R51" s="633"/>
    </row>
    <row r="52">
      <c r="A52" s="633"/>
      <c r="B52" s="633"/>
      <c r="C52" s="633"/>
      <c r="D52" s="665"/>
      <c r="E52" s="633"/>
      <c r="F52" s="666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</row>
    <row r="53">
      <c r="A53" s="633"/>
      <c r="B53" s="633"/>
      <c r="C53" s="633"/>
      <c r="D53" s="665"/>
      <c r="E53" s="633"/>
      <c r="F53" s="666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</row>
    <row r="54">
      <c r="A54" s="633"/>
      <c r="B54" s="633"/>
      <c r="C54" s="633"/>
      <c r="D54" s="665"/>
      <c r="E54" s="633"/>
      <c r="F54" s="666"/>
      <c r="G54" s="633"/>
      <c r="H54" s="633"/>
      <c r="I54" s="633"/>
      <c r="J54" s="633"/>
      <c r="K54" s="633"/>
      <c r="L54" s="633"/>
      <c r="M54" s="633"/>
      <c r="N54" s="633"/>
      <c r="O54" s="633"/>
      <c r="P54" s="633"/>
      <c r="Q54" s="633"/>
      <c r="R54" s="633"/>
    </row>
    <row r="55">
      <c r="A55" s="633"/>
      <c r="B55" s="633"/>
      <c r="C55" s="633"/>
      <c r="D55" s="665"/>
      <c r="E55" s="633"/>
      <c r="F55" s="666"/>
      <c r="G55" s="633"/>
      <c r="H55" s="633"/>
      <c r="I55" s="633"/>
      <c r="J55" s="633"/>
      <c r="K55" s="633"/>
      <c r="L55" s="633"/>
      <c r="M55" s="633"/>
      <c r="N55" s="633"/>
      <c r="O55" s="633"/>
      <c r="P55" s="633"/>
      <c r="Q55" s="633"/>
      <c r="R55" s="633"/>
    </row>
    <row r="56">
      <c r="A56" s="633"/>
      <c r="B56" s="633"/>
      <c r="C56" s="633"/>
      <c r="D56" s="665"/>
      <c r="E56" s="633"/>
      <c r="F56" s="666"/>
      <c r="G56" s="633"/>
      <c r="H56" s="633"/>
      <c r="I56" s="633"/>
      <c r="J56" s="633"/>
      <c r="K56" s="633"/>
      <c r="L56" s="633"/>
      <c r="M56" s="633"/>
      <c r="N56" s="633"/>
      <c r="O56" s="633"/>
      <c r="P56" s="633"/>
      <c r="Q56" s="633"/>
      <c r="R56" s="633"/>
    </row>
    <row r="57">
      <c r="A57" s="633"/>
      <c r="B57" s="633"/>
      <c r="C57" s="633"/>
      <c r="D57" s="665"/>
      <c r="E57" s="633"/>
      <c r="F57" s="666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3"/>
      <c r="R57" s="633"/>
    </row>
    <row r="58">
      <c r="A58" s="633"/>
      <c r="B58" s="633"/>
      <c r="C58" s="633"/>
      <c r="D58" s="665"/>
      <c r="E58" s="633"/>
      <c r="F58" s="666"/>
      <c r="G58" s="633"/>
      <c r="H58" s="633"/>
      <c r="I58" s="633"/>
      <c r="J58" s="633"/>
      <c r="K58" s="633"/>
      <c r="L58" s="633"/>
      <c r="M58" s="633"/>
      <c r="N58" s="633"/>
      <c r="O58" s="633"/>
      <c r="P58" s="633"/>
      <c r="Q58" s="633"/>
      <c r="R58" s="633"/>
    </row>
    <row r="59">
      <c r="A59" s="633"/>
      <c r="B59" s="633"/>
      <c r="C59" s="633"/>
      <c r="D59" s="665"/>
      <c r="E59" s="633"/>
      <c r="F59" s="666"/>
      <c r="G59" s="633"/>
      <c r="H59" s="633"/>
      <c r="I59" s="633"/>
      <c r="J59" s="633"/>
      <c r="K59" s="633"/>
      <c r="L59" s="633"/>
      <c r="M59" s="633"/>
      <c r="N59" s="633"/>
      <c r="O59" s="633"/>
      <c r="P59" s="633"/>
      <c r="Q59" s="633"/>
      <c r="R59" s="633"/>
    </row>
    <row r="60">
      <c r="A60" s="633"/>
      <c r="B60" s="633"/>
      <c r="C60" s="633"/>
      <c r="D60" s="665"/>
      <c r="E60" s="633"/>
      <c r="F60" s="666"/>
      <c r="G60" s="633"/>
      <c r="H60" s="633"/>
      <c r="I60" s="633"/>
      <c r="J60" s="633"/>
      <c r="K60" s="633"/>
      <c r="L60" s="633"/>
      <c r="M60" s="633"/>
      <c r="N60" s="633"/>
      <c r="O60" s="633"/>
      <c r="P60" s="633"/>
      <c r="Q60" s="633"/>
      <c r="R60" s="633"/>
    </row>
    <row r="61">
      <c r="A61" s="633"/>
      <c r="B61" s="633"/>
      <c r="C61" s="633"/>
      <c r="D61" s="665"/>
      <c r="E61" s="633"/>
      <c r="F61" s="666"/>
      <c r="G61" s="633"/>
      <c r="H61" s="633"/>
      <c r="I61" s="633"/>
      <c r="J61" s="633"/>
      <c r="K61" s="633"/>
      <c r="L61" s="633"/>
      <c r="M61" s="633"/>
      <c r="N61" s="633"/>
      <c r="O61" s="633"/>
      <c r="P61" s="633"/>
      <c r="Q61" s="633"/>
      <c r="R61" s="633"/>
    </row>
    <row r="62">
      <c r="A62" s="633"/>
      <c r="B62" s="633"/>
      <c r="C62" s="633"/>
      <c r="D62" s="665"/>
      <c r="E62" s="633"/>
      <c r="F62" s="666"/>
      <c r="G62" s="633"/>
      <c r="H62" s="633"/>
      <c r="I62" s="633"/>
      <c r="J62" s="633"/>
      <c r="K62" s="633"/>
      <c r="L62" s="633"/>
      <c r="M62" s="633"/>
      <c r="N62" s="633"/>
      <c r="O62" s="633"/>
      <c r="P62" s="633"/>
      <c r="Q62" s="633"/>
      <c r="R62" s="633"/>
    </row>
    <row r="63">
      <c r="A63" s="633"/>
      <c r="B63" s="633"/>
      <c r="C63" s="633"/>
      <c r="D63" s="665"/>
      <c r="E63" s="633"/>
      <c r="F63" s="666"/>
      <c r="G63" s="633"/>
      <c r="H63" s="633"/>
      <c r="I63" s="633"/>
      <c r="J63" s="633"/>
      <c r="K63" s="633"/>
      <c r="L63" s="633"/>
      <c r="M63" s="633"/>
      <c r="N63" s="633"/>
      <c r="O63" s="633"/>
      <c r="P63" s="633"/>
      <c r="Q63" s="633"/>
      <c r="R63" s="633"/>
    </row>
    <row r="64">
      <c r="A64" s="633"/>
      <c r="B64" s="633"/>
      <c r="C64" s="633"/>
      <c r="D64" s="665"/>
      <c r="E64" s="633"/>
      <c r="F64" s="666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</row>
    <row r="65">
      <c r="A65" s="633"/>
      <c r="B65" s="633"/>
      <c r="C65" s="633"/>
      <c r="D65" s="665"/>
      <c r="E65" s="633"/>
      <c r="F65" s="666"/>
      <c r="G65" s="633"/>
      <c r="H65" s="633"/>
      <c r="I65" s="633"/>
      <c r="J65" s="633"/>
      <c r="K65" s="633"/>
      <c r="L65" s="633"/>
      <c r="M65" s="633"/>
      <c r="N65" s="633"/>
      <c r="O65" s="633"/>
      <c r="P65" s="633"/>
      <c r="Q65" s="633"/>
      <c r="R65" s="633"/>
    </row>
    <row r="66">
      <c r="A66" s="633"/>
      <c r="B66" s="633"/>
      <c r="C66" s="633"/>
      <c r="D66" s="665"/>
      <c r="E66" s="633"/>
      <c r="F66" s="666"/>
      <c r="G66" s="633"/>
      <c r="H66" s="633"/>
      <c r="I66" s="633"/>
      <c r="J66" s="633"/>
      <c r="K66" s="633"/>
      <c r="L66" s="633"/>
      <c r="M66" s="633"/>
      <c r="N66" s="633"/>
      <c r="O66" s="633"/>
      <c r="P66" s="633"/>
      <c r="Q66" s="633"/>
      <c r="R66" s="633"/>
    </row>
    <row r="67">
      <c r="A67" s="633"/>
      <c r="B67" s="633"/>
      <c r="C67" s="633"/>
      <c r="D67" s="665"/>
      <c r="E67" s="633"/>
      <c r="F67" s="666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3"/>
      <c r="R67" s="633"/>
    </row>
    <row r="68">
      <c r="A68" s="633"/>
      <c r="B68" s="633"/>
      <c r="C68" s="633"/>
      <c r="D68" s="665"/>
      <c r="E68" s="633"/>
      <c r="F68" s="666"/>
      <c r="G68" s="633"/>
      <c r="H68" s="633"/>
      <c r="I68" s="633"/>
      <c r="J68" s="633"/>
      <c r="K68" s="633"/>
      <c r="L68" s="633"/>
      <c r="M68" s="633"/>
      <c r="N68" s="633"/>
      <c r="O68" s="633"/>
      <c r="P68" s="633"/>
      <c r="Q68" s="633"/>
      <c r="R68" s="633"/>
    </row>
    <row r="69">
      <c r="A69" s="633"/>
      <c r="B69" s="633"/>
      <c r="C69" s="633"/>
      <c r="D69" s="665"/>
      <c r="E69" s="633"/>
      <c r="F69" s="666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3"/>
      <c r="R69" s="633"/>
    </row>
    <row r="70">
      <c r="A70" s="633"/>
      <c r="B70" s="633"/>
      <c r="C70" s="633"/>
      <c r="D70" s="665"/>
      <c r="E70" s="633"/>
      <c r="F70" s="666"/>
      <c r="G70" s="633"/>
      <c r="H70" s="633"/>
      <c r="I70" s="633"/>
      <c r="J70" s="633"/>
      <c r="K70" s="633"/>
      <c r="L70" s="633"/>
      <c r="M70" s="633"/>
      <c r="N70" s="633"/>
      <c r="O70" s="633"/>
      <c r="P70" s="633"/>
      <c r="Q70" s="633"/>
      <c r="R70" s="633"/>
    </row>
    <row r="71">
      <c r="A71" s="633"/>
      <c r="B71" s="633"/>
      <c r="C71" s="633"/>
      <c r="D71" s="665"/>
      <c r="E71" s="633"/>
      <c r="F71" s="666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</row>
    <row r="72">
      <c r="A72" s="633"/>
      <c r="B72" s="633"/>
      <c r="C72" s="633"/>
      <c r="D72" s="665"/>
      <c r="E72" s="633"/>
      <c r="F72" s="666"/>
      <c r="G72" s="633"/>
      <c r="H72" s="633"/>
      <c r="I72" s="633"/>
      <c r="J72" s="633"/>
      <c r="K72" s="633"/>
      <c r="L72" s="633"/>
      <c r="M72" s="633"/>
      <c r="N72" s="633"/>
      <c r="O72" s="633"/>
      <c r="P72" s="633"/>
      <c r="Q72" s="633"/>
      <c r="R72" s="633"/>
    </row>
    <row r="73">
      <c r="A73" s="633"/>
      <c r="B73" s="633"/>
      <c r="C73" s="633"/>
      <c r="D73" s="665"/>
      <c r="E73" s="633"/>
      <c r="F73" s="666"/>
      <c r="G73" s="633"/>
      <c r="H73" s="633"/>
      <c r="I73" s="633"/>
      <c r="J73" s="633"/>
      <c r="K73" s="633"/>
      <c r="L73" s="633"/>
      <c r="M73" s="633"/>
      <c r="N73" s="633"/>
      <c r="O73" s="633"/>
      <c r="P73" s="633"/>
      <c r="Q73" s="633"/>
      <c r="R73" s="633"/>
    </row>
    <row r="74">
      <c r="A74" s="633"/>
      <c r="B74" s="633"/>
      <c r="C74" s="633"/>
      <c r="D74" s="665"/>
      <c r="E74" s="633"/>
      <c r="F74" s="666"/>
      <c r="G74" s="633"/>
      <c r="H74" s="633"/>
      <c r="I74" s="633"/>
      <c r="J74" s="633"/>
      <c r="K74" s="633"/>
      <c r="L74" s="633"/>
      <c r="M74" s="633"/>
      <c r="N74" s="633"/>
      <c r="O74" s="633"/>
      <c r="P74" s="633"/>
      <c r="Q74" s="633"/>
      <c r="R74" s="633"/>
    </row>
    <row r="75">
      <c r="A75" s="633"/>
      <c r="B75" s="633"/>
      <c r="C75" s="633"/>
      <c r="D75" s="665"/>
      <c r="E75" s="633"/>
      <c r="F75" s="666"/>
      <c r="G75" s="633"/>
      <c r="H75" s="633"/>
      <c r="I75" s="633"/>
      <c r="J75" s="633"/>
      <c r="K75" s="633"/>
      <c r="L75" s="633"/>
      <c r="M75" s="633"/>
      <c r="N75" s="633"/>
      <c r="O75" s="633"/>
      <c r="P75" s="633"/>
      <c r="Q75" s="633"/>
      <c r="R75" s="633"/>
    </row>
    <row r="76">
      <c r="A76" s="633"/>
      <c r="B76" s="633"/>
      <c r="C76" s="633"/>
      <c r="D76" s="665"/>
      <c r="E76" s="633"/>
      <c r="F76" s="666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</row>
    <row r="77">
      <c r="A77" s="633"/>
      <c r="B77" s="633"/>
      <c r="C77" s="633"/>
      <c r="D77" s="665"/>
      <c r="E77" s="633"/>
      <c r="F77" s="666"/>
      <c r="G77" s="633"/>
      <c r="H77" s="633"/>
      <c r="I77" s="633"/>
      <c r="J77" s="633"/>
      <c r="K77" s="633"/>
      <c r="L77" s="633"/>
      <c r="M77" s="633"/>
      <c r="N77" s="633"/>
      <c r="O77" s="633"/>
      <c r="P77" s="633"/>
      <c r="Q77" s="633"/>
      <c r="R77" s="633"/>
    </row>
    <row r="78">
      <c r="A78" s="633"/>
      <c r="B78" s="633"/>
      <c r="C78" s="633"/>
      <c r="D78" s="665"/>
      <c r="E78" s="633"/>
      <c r="F78" s="666"/>
      <c r="G78" s="633"/>
      <c r="H78" s="633"/>
      <c r="I78" s="633"/>
      <c r="J78" s="633"/>
      <c r="K78" s="633"/>
      <c r="L78" s="633"/>
      <c r="M78" s="633"/>
      <c r="N78" s="633"/>
      <c r="O78" s="633"/>
      <c r="P78" s="633"/>
      <c r="Q78" s="633"/>
      <c r="R78" s="633"/>
    </row>
    <row r="79">
      <c r="A79" s="633"/>
      <c r="B79" s="633"/>
      <c r="C79" s="633"/>
      <c r="D79" s="665"/>
      <c r="E79" s="633"/>
      <c r="F79" s="666"/>
      <c r="G79" s="633"/>
      <c r="H79" s="633"/>
      <c r="I79" s="633"/>
      <c r="J79" s="633"/>
      <c r="K79" s="633"/>
      <c r="L79" s="633"/>
      <c r="M79" s="633"/>
      <c r="N79" s="633"/>
      <c r="O79" s="633"/>
      <c r="P79" s="633"/>
      <c r="Q79" s="633"/>
      <c r="R79" s="633"/>
    </row>
    <row r="80">
      <c r="A80" s="633"/>
      <c r="B80" s="633"/>
      <c r="C80" s="633"/>
      <c r="D80" s="665"/>
      <c r="E80" s="633"/>
      <c r="F80" s="666"/>
      <c r="G80" s="633"/>
      <c r="H80" s="633"/>
      <c r="I80" s="633"/>
      <c r="J80" s="633"/>
      <c r="K80" s="633"/>
      <c r="L80" s="633"/>
      <c r="M80" s="633"/>
      <c r="N80" s="633"/>
      <c r="O80" s="633"/>
      <c r="P80" s="633"/>
      <c r="Q80" s="633"/>
      <c r="R80" s="633"/>
    </row>
    <row r="81">
      <c r="A81" s="633"/>
      <c r="B81" s="633"/>
      <c r="C81" s="633"/>
      <c r="D81" s="665"/>
      <c r="E81" s="633"/>
      <c r="F81" s="666"/>
      <c r="G81" s="633"/>
      <c r="H81" s="633"/>
      <c r="I81" s="633"/>
      <c r="J81" s="633"/>
      <c r="K81" s="633"/>
      <c r="L81" s="633"/>
      <c r="M81" s="633"/>
      <c r="N81" s="633"/>
      <c r="O81" s="633"/>
      <c r="P81" s="633"/>
      <c r="Q81" s="633"/>
      <c r="R81" s="633"/>
    </row>
    <row r="82">
      <c r="A82" s="633"/>
      <c r="B82" s="633"/>
      <c r="C82" s="633"/>
      <c r="D82" s="665"/>
      <c r="E82" s="633"/>
      <c r="F82" s="666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</row>
    <row r="83">
      <c r="A83" s="633"/>
      <c r="B83" s="633"/>
      <c r="C83" s="633"/>
      <c r="D83" s="665"/>
      <c r="E83" s="633"/>
      <c r="F83" s="666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</row>
    <row r="84">
      <c r="A84" s="633"/>
      <c r="B84" s="633"/>
      <c r="C84" s="633"/>
      <c r="D84" s="665"/>
      <c r="E84" s="633"/>
      <c r="F84" s="666"/>
      <c r="G84" s="633"/>
      <c r="H84" s="633"/>
      <c r="I84" s="633"/>
      <c r="J84" s="633"/>
      <c r="K84" s="633"/>
      <c r="L84" s="633"/>
      <c r="M84" s="633"/>
      <c r="N84" s="633"/>
      <c r="O84" s="633"/>
      <c r="P84" s="633"/>
      <c r="Q84" s="633"/>
      <c r="R84" s="633"/>
    </row>
    <row r="85">
      <c r="A85" s="633"/>
      <c r="B85" s="633"/>
      <c r="C85" s="633"/>
      <c r="D85" s="665"/>
      <c r="E85" s="633"/>
      <c r="F85" s="666"/>
      <c r="G85" s="633"/>
      <c r="H85" s="633"/>
      <c r="I85" s="633"/>
      <c r="J85" s="633"/>
      <c r="K85" s="633"/>
      <c r="L85" s="633"/>
      <c r="M85" s="633"/>
      <c r="N85" s="633"/>
      <c r="O85" s="633"/>
      <c r="P85" s="633"/>
      <c r="Q85" s="633"/>
      <c r="R85" s="633"/>
    </row>
    <row r="86">
      <c r="A86" s="633"/>
      <c r="B86" s="633"/>
      <c r="C86" s="633"/>
      <c r="D86" s="665"/>
      <c r="E86" s="633"/>
      <c r="F86" s="666"/>
      <c r="G86" s="633"/>
      <c r="H86" s="633"/>
      <c r="I86" s="633"/>
      <c r="J86" s="633"/>
      <c r="K86" s="633"/>
      <c r="L86" s="633"/>
      <c r="M86" s="633"/>
      <c r="N86" s="633"/>
      <c r="O86" s="633"/>
      <c r="P86" s="633"/>
      <c r="Q86" s="633"/>
      <c r="R86" s="633"/>
    </row>
    <row r="87">
      <c r="A87" s="633"/>
      <c r="B87" s="633"/>
      <c r="C87" s="633"/>
      <c r="D87" s="665"/>
      <c r="E87" s="633"/>
      <c r="F87" s="666"/>
      <c r="G87" s="633"/>
      <c r="H87" s="633"/>
      <c r="I87" s="633"/>
      <c r="J87" s="633"/>
      <c r="K87" s="633"/>
      <c r="L87" s="633"/>
      <c r="M87" s="633"/>
      <c r="N87" s="633"/>
      <c r="O87" s="633"/>
      <c r="P87" s="633"/>
      <c r="Q87" s="633"/>
      <c r="R87" s="633"/>
    </row>
    <row r="88">
      <c r="A88" s="633"/>
      <c r="B88" s="633"/>
      <c r="C88" s="633"/>
      <c r="D88" s="665"/>
      <c r="E88" s="633"/>
      <c r="F88" s="666"/>
      <c r="G88" s="633"/>
      <c r="H88" s="633"/>
      <c r="I88" s="633"/>
      <c r="J88" s="633"/>
      <c r="K88" s="633"/>
      <c r="L88" s="633"/>
      <c r="M88" s="633"/>
      <c r="N88" s="633"/>
      <c r="O88" s="633"/>
      <c r="P88" s="633"/>
      <c r="Q88" s="633"/>
      <c r="R88" s="633"/>
    </row>
    <row r="89">
      <c r="A89" s="633"/>
      <c r="B89" s="633"/>
      <c r="C89" s="633"/>
      <c r="D89" s="665"/>
      <c r="E89" s="633"/>
      <c r="F89" s="666"/>
      <c r="G89" s="633"/>
      <c r="H89" s="633"/>
      <c r="I89" s="633"/>
      <c r="J89" s="633"/>
      <c r="K89" s="633"/>
      <c r="L89" s="633"/>
      <c r="M89" s="633"/>
      <c r="N89" s="633"/>
      <c r="O89" s="633"/>
      <c r="P89" s="633"/>
      <c r="Q89" s="633"/>
      <c r="R89" s="633"/>
    </row>
    <row r="90">
      <c r="A90" s="633"/>
      <c r="B90" s="633"/>
      <c r="C90" s="633"/>
      <c r="D90" s="665"/>
      <c r="E90" s="633"/>
      <c r="F90" s="666"/>
      <c r="G90" s="633"/>
      <c r="H90" s="633"/>
      <c r="I90" s="633"/>
      <c r="J90" s="633"/>
      <c r="K90" s="633"/>
      <c r="L90" s="633"/>
      <c r="M90" s="633"/>
      <c r="N90" s="633"/>
      <c r="O90" s="633"/>
      <c r="P90" s="633"/>
      <c r="Q90" s="633"/>
      <c r="R90" s="633"/>
    </row>
    <row r="91">
      <c r="A91" s="633"/>
      <c r="B91" s="633"/>
      <c r="C91" s="633"/>
      <c r="D91" s="665"/>
      <c r="E91" s="633"/>
      <c r="F91" s="666"/>
      <c r="G91" s="633"/>
      <c r="H91" s="633"/>
      <c r="I91" s="633"/>
      <c r="J91" s="633"/>
      <c r="K91" s="633"/>
      <c r="L91" s="633"/>
      <c r="M91" s="633"/>
      <c r="N91" s="633"/>
      <c r="O91" s="633"/>
      <c r="P91" s="633"/>
      <c r="Q91" s="633"/>
      <c r="R91" s="633"/>
    </row>
    <row r="92">
      <c r="A92" s="633"/>
      <c r="B92" s="633"/>
      <c r="C92" s="633"/>
      <c r="D92" s="665"/>
      <c r="E92" s="633"/>
      <c r="F92" s="666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</row>
    <row r="93">
      <c r="A93" s="633"/>
      <c r="B93" s="633"/>
      <c r="C93" s="633"/>
      <c r="D93" s="665"/>
      <c r="E93" s="633"/>
      <c r="F93" s="666"/>
      <c r="G93" s="633"/>
      <c r="H93" s="633"/>
      <c r="I93" s="633"/>
      <c r="J93" s="633"/>
      <c r="K93" s="633"/>
      <c r="L93" s="633"/>
      <c r="M93" s="633"/>
      <c r="N93" s="633"/>
      <c r="O93" s="633"/>
      <c r="P93" s="633"/>
      <c r="Q93" s="633"/>
      <c r="R93" s="633"/>
    </row>
    <row r="94">
      <c r="A94" s="633"/>
      <c r="B94" s="633"/>
      <c r="C94" s="633"/>
      <c r="D94" s="665"/>
      <c r="E94" s="633"/>
      <c r="F94" s="666"/>
      <c r="G94" s="633"/>
      <c r="H94" s="633"/>
      <c r="I94" s="633"/>
      <c r="J94" s="633"/>
      <c r="K94" s="633"/>
      <c r="L94" s="633"/>
      <c r="M94" s="633"/>
      <c r="N94" s="633"/>
      <c r="O94" s="633"/>
      <c r="P94" s="633"/>
      <c r="Q94" s="633"/>
      <c r="R94" s="633"/>
    </row>
    <row r="95">
      <c r="A95" s="633"/>
      <c r="B95" s="633"/>
      <c r="C95" s="633"/>
      <c r="D95" s="665"/>
      <c r="E95" s="633"/>
      <c r="F95" s="666"/>
      <c r="G95" s="633"/>
      <c r="H95" s="633"/>
      <c r="I95" s="633"/>
      <c r="J95" s="633"/>
      <c r="K95" s="633"/>
      <c r="L95" s="633"/>
      <c r="M95" s="633"/>
      <c r="N95" s="633"/>
      <c r="O95" s="633"/>
      <c r="P95" s="633"/>
      <c r="Q95" s="633"/>
      <c r="R95" s="633"/>
    </row>
    <row r="96">
      <c r="A96" s="633"/>
      <c r="B96" s="633"/>
      <c r="C96" s="633"/>
      <c r="D96" s="665"/>
      <c r="E96" s="633"/>
      <c r="F96" s="666"/>
      <c r="G96" s="633"/>
      <c r="H96" s="633"/>
      <c r="I96" s="633"/>
      <c r="J96" s="633"/>
      <c r="K96" s="633"/>
      <c r="L96" s="633"/>
      <c r="M96" s="633"/>
      <c r="N96" s="633"/>
      <c r="O96" s="633"/>
      <c r="P96" s="633"/>
      <c r="Q96" s="633"/>
      <c r="R96" s="633"/>
    </row>
    <row r="97">
      <c r="A97" s="633"/>
      <c r="B97" s="633"/>
      <c r="C97" s="633"/>
      <c r="D97" s="665"/>
      <c r="E97" s="633"/>
      <c r="F97" s="666"/>
      <c r="G97" s="633"/>
      <c r="H97" s="633"/>
      <c r="I97" s="633"/>
      <c r="J97" s="633"/>
      <c r="K97" s="633"/>
      <c r="L97" s="633"/>
      <c r="M97" s="633"/>
      <c r="N97" s="633"/>
      <c r="O97" s="633"/>
      <c r="P97" s="633"/>
      <c r="Q97" s="633"/>
      <c r="R97" s="633"/>
    </row>
    <row r="98">
      <c r="A98" s="633"/>
      <c r="B98" s="633"/>
      <c r="C98" s="633"/>
      <c r="D98" s="665"/>
      <c r="E98" s="633"/>
      <c r="F98" s="666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</row>
    <row r="99">
      <c r="A99" s="633"/>
      <c r="B99" s="633"/>
      <c r="C99" s="633"/>
      <c r="D99" s="665"/>
      <c r="E99" s="633"/>
      <c r="F99" s="666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</row>
    <row r="100">
      <c r="A100" s="633"/>
      <c r="B100" s="633"/>
      <c r="C100" s="633"/>
      <c r="D100" s="665"/>
      <c r="E100" s="633"/>
      <c r="F100" s="666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</row>
    <row r="101">
      <c r="A101" s="633"/>
      <c r="B101" s="633"/>
      <c r="C101" s="633"/>
      <c r="D101" s="665"/>
      <c r="E101" s="633"/>
      <c r="F101" s="666"/>
      <c r="G101" s="633"/>
      <c r="H101" s="633"/>
      <c r="I101" s="633"/>
      <c r="J101" s="633"/>
      <c r="K101" s="633"/>
      <c r="L101" s="633"/>
      <c r="M101" s="633"/>
      <c r="N101" s="633"/>
      <c r="O101" s="633"/>
      <c r="P101" s="633"/>
      <c r="Q101" s="633"/>
      <c r="R101" s="633"/>
    </row>
    <row r="102">
      <c r="A102" s="633"/>
      <c r="B102" s="633"/>
      <c r="C102" s="633"/>
      <c r="D102" s="665"/>
      <c r="E102" s="633"/>
      <c r="F102" s="666"/>
      <c r="G102" s="633"/>
      <c r="H102" s="633"/>
      <c r="I102" s="633"/>
      <c r="J102" s="633"/>
      <c r="K102" s="633"/>
      <c r="L102" s="633"/>
      <c r="M102" s="633"/>
      <c r="N102" s="633"/>
      <c r="O102" s="633"/>
      <c r="P102" s="633"/>
      <c r="Q102" s="633"/>
      <c r="R102" s="633"/>
    </row>
    <row r="103">
      <c r="A103" s="633"/>
      <c r="B103" s="633"/>
      <c r="C103" s="633"/>
      <c r="D103" s="665"/>
      <c r="E103" s="633"/>
      <c r="F103" s="666"/>
      <c r="G103" s="633"/>
      <c r="H103" s="633"/>
      <c r="I103" s="633"/>
      <c r="J103" s="633"/>
      <c r="K103" s="633"/>
      <c r="L103" s="633"/>
      <c r="M103" s="633"/>
      <c r="N103" s="633"/>
      <c r="O103" s="633"/>
      <c r="P103" s="633"/>
      <c r="Q103" s="633"/>
      <c r="R103" s="633"/>
    </row>
    <row r="104">
      <c r="A104" s="633"/>
      <c r="B104" s="633"/>
      <c r="C104" s="633"/>
      <c r="D104" s="665"/>
      <c r="E104" s="633"/>
      <c r="F104" s="666"/>
      <c r="G104" s="633"/>
      <c r="H104" s="633"/>
      <c r="I104" s="633"/>
      <c r="J104" s="633"/>
      <c r="K104" s="633"/>
      <c r="L104" s="633"/>
      <c r="M104" s="633"/>
      <c r="N104" s="633"/>
      <c r="O104" s="633"/>
      <c r="P104" s="633"/>
      <c r="Q104" s="633"/>
      <c r="R104" s="633"/>
    </row>
    <row r="105">
      <c r="A105" s="633"/>
      <c r="B105" s="633"/>
      <c r="C105" s="633"/>
      <c r="D105" s="665"/>
      <c r="E105" s="633"/>
      <c r="F105" s="666"/>
      <c r="G105" s="633"/>
      <c r="H105" s="633"/>
      <c r="I105" s="633"/>
      <c r="J105" s="633"/>
      <c r="K105" s="633"/>
      <c r="L105" s="633"/>
      <c r="M105" s="633"/>
      <c r="N105" s="633"/>
      <c r="O105" s="633"/>
      <c r="P105" s="633"/>
      <c r="Q105" s="633"/>
      <c r="R105" s="633"/>
    </row>
    <row r="106">
      <c r="A106" s="633"/>
      <c r="B106" s="633"/>
      <c r="C106" s="633"/>
      <c r="D106" s="665"/>
      <c r="E106" s="633"/>
      <c r="F106" s="666"/>
      <c r="G106" s="633"/>
      <c r="H106" s="633"/>
      <c r="I106" s="633"/>
      <c r="J106" s="633"/>
      <c r="K106" s="633"/>
      <c r="L106" s="633"/>
      <c r="M106" s="633"/>
      <c r="N106" s="633"/>
      <c r="O106" s="633"/>
      <c r="P106" s="633"/>
      <c r="Q106" s="633"/>
      <c r="R106" s="633"/>
    </row>
    <row r="107">
      <c r="A107" s="633"/>
      <c r="B107" s="633"/>
      <c r="C107" s="633"/>
      <c r="D107" s="665"/>
      <c r="E107" s="633"/>
      <c r="F107" s="666"/>
      <c r="G107" s="633"/>
      <c r="H107" s="633"/>
      <c r="I107" s="633"/>
      <c r="J107" s="633"/>
      <c r="K107" s="633"/>
      <c r="L107" s="633"/>
      <c r="M107" s="633"/>
      <c r="N107" s="633"/>
      <c r="O107" s="633"/>
      <c r="P107" s="633"/>
      <c r="Q107" s="633"/>
      <c r="R107" s="633"/>
    </row>
    <row r="108">
      <c r="A108" s="633"/>
      <c r="B108" s="633"/>
      <c r="C108" s="633"/>
      <c r="D108" s="665"/>
      <c r="E108" s="633"/>
      <c r="F108" s="666"/>
      <c r="G108" s="633"/>
      <c r="H108" s="633"/>
      <c r="I108" s="633"/>
      <c r="J108" s="633"/>
      <c r="K108" s="633"/>
      <c r="L108" s="633"/>
      <c r="M108" s="633"/>
      <c r="N108" s="633"/>
      <c r="O108" s="633"/>
      <c r="P108" s="633"/>
      <c r="Q108" s="633"/>
      <c r="R108" s="633"/>
    </row>
    <row r="109">
      <c r="A109" s="633"/>
      <c r="B109" s="633"/>
      <c r="C109" s="633"/>
      <c r="D109" s="665"/>
      <c r="E109" s="633"/>
      <c r="F109" s="666"/>
      <c r="G109" s="633"/>
      <c r="H109" s="633"/>
      <c r="I109" s="633"/>
      <c r="J109" s="633"/>
      <c r="K109" s="633"/>
      <c r="L109" s="633"/>
      <c r="M109" s="633"/>
      <c r="N109" s="633"/>
      <c r="O109" s="633"/>
      <c r="P109" s="633"/>
      <c r="Q109" s="633"/>
      <c r="R109" s="633"/>
    </row>
    <row r="110">
      <c r="A110" s="633"/>
      <c r="B110" s="633"/>
      <c r="C110" s="633"/>
      <c r="D110" s="665"/>
      <c r="E110" s="633"/>
      <c r="F110" s="666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</row>
    <row r="111">
      <c r="A111" s="633"/>
      <c r="B111" s="633"/>
      <c r="C111" s="633"/>
      <c r="D111" s="665"/>
      <c r="E111" s="633"/>
      <c r="F111" s="666"/>
      <c r="G111" s="633"/>
      <c r="H111" s="633"/>
      <c r="I111" s="633"/>
      <c r="J111" s="633"/>
      <c r="K111" s="633"/>
      <c r="L111" s="633"/>
      <c r="M111" s="633"/>
      <c r="N111" s="633"/>
      <c r="O111" s="633"/>
      <c r="P111" s="633"/>
      <c r="Q111" s="633"/>
      <c r="R111" s="633"/>
    </row>
    <row r="112">
      <c r="A112" s="633"/>
      <c r="B112" s="633"/>
      <c r="C112" s="633"/>
      <c r="D112" s="665"/>
      <c r="E112" s="633"/>
      <c r="F112" s="666"/>
      <c r="G112" s="633"/>
      <c r="H112" s="633"/>
      <c r="I112" s="633"/>
      <c r="J112" s="633"/>
      <c r="K112" s="633"/>
      <c r="L112" s="633"/>
      <c r="M112" s="633"/>
      <c r="N112" s="633"/>
      <c r="O112" s="633"/>
      <c r="P112" s="633"/>
      <c r="Q112" s="633"/>
      <c r="R112" s="633"/>
    </row>
    <row r="113">
      <c r="A113" s="633"/>
      <c r="B113" s="633"/>
      <c r="C113" s="633"/>
      <c r="D113" s="665"/>
      <c r="E113" s="633"/>
      <c r="F113" s="666"/>
      <c r="G113" s="633"/>
      <c r="H113" s="633"/>
      <c r="I113" s="633"/>
      <c r="J113" s="633"/>
      <c r="K113" s="633"/>
      <c r="L113" s="633"/>
      <c r="M113" s="633"/>
      <c r="N113" s="633"/>
      <c r="O113" s="633"/>
      <c r="P113" s="633"/>
      <c r="Q113" s="633"/>
      <c r="R113" s="633"/>
    </row>
    <row r="114">
      <c r="A114" s="633"/>
      <c r="B114" s="633"/>
      <c r="C114" s="633"/>
      <c r="D114" s="665"/>
      <c r="E114" s="633"/>
      <c r="F114" s="666"/>
      <c r="G114" s="633"/>
      <c r="H114" s="633"/>
      <c r="I114" s="633"/>
      <c r="J114" s="633"/>
      <c r="K114" s="633"/>
      <c r="L114" s="633"/>
      <c r="M114" s="633"/>
      <c r="N114" s="633"/>
      <c r="O114" s="633"/>
      <c r="P114" s="633"/>
      <c r="Q114" s="633"/>
      <c r="R114" s="633"/>
    </row>
    <row r="115">
      <c r="A115" s="633"/>
      <c r="B115" s="633"/>
      <c r="C115" s="633"/>
      <c r="D115" s="665"/>
      <c r="E115" s="633"/>
      <c r="F115" s="666"/>
      <c r="G115" s="633"/>
      <c r="H115" s="633"/>
      <c r="I115" s="633"/>
      <c r="J115" s="633"/>
      <c r="K115" s="633"/>
      <c r="L115" s="633"/>
      <c r="M115" s="633"/>
      <c r="N115" s="633"/>
      <c r="O115" s="633"/>
      <c r="P115" s="633"/>
      <c r="Q115" s="633"/>
      <c r="R115" s="633"/>
    </row>
    <row r="116">
      <c r="A116" s="633"/>
      <c r="B116" s="633"/>
      <c r="C116" s="633"/>
      <c r="D116" s="665"/>
      <c r="E116" s="633"/>
      <c r="F116" s="666"/>
      <c r="G116" s="633"/>
      <c r="H116" s="633"/>
      <c r="I116" s="633"/>
      <c r="J116" s="633"/>
      <c r="K116" s="633"/>
      <c r="L116" s="633"/>
      <c r="M116" s="633"/>
      <c r="N116" s="633"/>
      <c r="O116" s="633"/>
      <c r="P116" s="633"/>
      <c r="Q116" s="633"/>
      <c r="R116" s="633"/>
    </row>
    <row r="117">
      <c r="A117" s="633"/>
      <c r="B117" s="633"/>
      <c r="C117" s="633"/>
      <c r="D117" s="665"/>
      <c r="E117" s="633"/>
      <c r="F117" s="666"/>
      <c r="G117" s="633"/>
      <c r="H117" s="633"/>
      <c r="I117" s="633"/>
      <c r="J117" s="633"/>
      <c r="K117" s="633"/>
      <c r="L117" s="633"/>
      <c r="M117" s="633"/>
      <c r="N117" s="633"/>
      <c r="O117" s="633"/>
      <c r="P117" s="633"/>
      <c r="Q117" s="633"/>
      <c r="R117" s="633"/>
    </row>
    <row r="118">
      <c r="A118" s="633"/>
      <c r="B118" s="633"/>
      <c r="C118" s="633"/>
      <c r="D118" s="665"/>
      <c r="E118" s="633"/>
      <c r="F118" s="666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</row>
    <row r="119">
      <c r="A119" s="633"/>
      <c r="B119" s="633"/>
      <c r="C119" s="633"/>
      <c r="D119" s="665"/>
      <c r="E119" s="633"/>
      <c r="F119" s="666"/>
      <c r="G119" s="633"/>
      <c r="H119" s="633"/>
      <c r="I119" s="633"/>
      <c r="J119" s="633"/>
      <c r="K119" s="633"/>
      <c r="L119" s="633"/>
      <c r="M119" s="633"/>
      <c r="N119" s="633"/>
      <c r="O119" s="633"/>
      <c r="P119" s="633"/>
      <c r="Q119" s="633"/>
      <c r="R119" s="633"/>
    </row>
    <row r="120">
      <c r="A120" s="633"/>
      <c r="B120" s="633"/>
      <c r="C120" s="633"/>
      <c r="D120" s="665"/>
      <c r="E120" s="633"/>
      <c r="F120" s="666"/>
      <c r="G120" s="633"/>
      <c r="H120" s="633"/>
      <c r="I120" s="633"/>
      <c r="J120" s="633"/>
      <c r="K120" s="633"/>
      <c r="L120" s="633"/>
      <c r="M120" s="633"/>
      <c r="N120" s="633"/>
      <c r="O120" s="633"/>
      <c r="P120" s="633"/>
      <c r="Q120" s="633"/>
      <c r="R120" s="633"/>
    </row>
    <row r="121">
      <c r="A121" s="633"/>
      <c r="B121" s="633"/>
      <c r="C121" s="633"/>
      <c r="D121" s="665"/>
      <c r="E121" s="633"/>
      <c r="F121" s="666"/>
      <c r="G121" s="633"/>
      <c r="H121" s="633"/>
      <c r="I121" s="633"/>
      <c r="J121" s="633"/>
      <c r="K121" s="633"/>
      <c r="L121" s="633"/>
      <c r="M121" s="633"/>
      <c r="N121" s="633"/>
      <c r="O121" s="633"/>
      <c r="P121" s="633"/>
      <c r="Q121" s="633"/>
      <c r="R121" s="633"/>
    </row>
    <row r="122">
      <c r="A122" s="633"/>
      <c r="B122" s="633"/>
      <c r="C122" s="633"/>
      <c r="D122" s="665"/>
      <c r="E122" s="633"/>
      <c r="F122" s="666"/>
      <c r="G122" s="633"/>
      <c r="H122" s="633"/>
      <c r="I122" s="633"/>
      <c r="J122" s="633"/>
      <c r="K122" s="633"/>
      <c r="L122" s="633"/>
      <c r="M122" s="633"/>
      <c r="N122" s="633"/>
      <c r="O122" s="633"/>
      <c r="P122" s="633"/>
      <c r="Q122" s="633"/>
      <c r="R122" s="633"/>
    </row>
    <row r="123">
      <c r="A123" s="633"/>
      <c r="B123" s="633"/>
      <c r="C123" s="633"/>
      <c r="D123" s="665"/>
      <c r="E123" s="633"/>
      <c r="F123" s="666"/>
      <c r="G123" s="633"/>
      <c r="H123" s="633"/>
      <c r="I123" s="633"/>
      <c r="J123" s="633"/>
      <c r="K123" s="633"/>
      <c r="L123" s="633"/>
      <c r="M123" s="633"/>
      <c r="N123" s="633"/>
      <c r="O123" s="633"/>
      <c r="P123" s="633"/>
      <c r="Q123" s="633"/>
      <c r="R123" s="633"/>
    </row>
    <row r="124">
      <c r="A124" s="633"/>
      <c r="B124" s="633"/>
      <c r="C124" s="633"/>
      <c r="D124" s="665"/>
      <c r="E124" s="633"/>
      <c r="F124" s="666"/>
      <c r="G124" s="633"/>
      <c r="H124" s="633"/>
      <c r="I124" s="633"/>
      <c r="J124" s="633"/>
      <c r="K124" s="633"/>
      <c r="L124" s="633"/>
      <c r="M124" s="633"/>
      <c r="N124" s="633"/>
      <c r="O124" s="633"/>
      <c r="P124" s="633"/>
      <c r="Q124" s="633"/>
      <c r="R124" s="633"/>
    </row>
    <row r="125">
      <c r="A125" s="633"/>
      <c r="B125" s="633"/>
      <c r="C125" s="633"/>
      <c r="D125" s="665"/>
      <c r="E125" s="633"/>
      <c r="F125" s="666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</row>
    <row r="126">
      <c r="A126" s="633"/>
      <c r="B126" s="633"/>
      <c r="C126" s="633"/>
      <c r="D126" s="665"/>
      <c r="E126" s="633"/>
      <c r="F126" s="666"/>
      <c r="G126" s="633"/>
      <c r="H126" s="633"/>
      <c r="I126" s="633"/>
      <c r="J126" s="633"/>
      <c r="K126" s="633"/>
      <c r="L126" s="633"/>
      <c r="M126" s="633"/>
      <c r="N126" s="633"/>
      <c r="O126" s="633"/>
      <c r="P126" s="633"/>
      <c r="Q126" s="633"/>
      <c r="R126" s="633"/>
    </row>
    <row r="127">
      <c r="A127" s="633"/>
      <c r="B127" s="633"/>
      <c r="C127" s="633"/>
      <c r="D127" s="665"/>
      <c r="E127" s="633"/>
      <c r="F127" s="666"/>
      <c r="G127" s="633"/>
      <c r="H127" s="633"/>
      <c r="I127" s="633"/>
      <c r="J127" s="633"/>
      <c r="K127" s="633"/>
      <c r="L127" s="633"/>
      <c r="M127" s="633"/>
      <c r="N127" s="633"/>
      <c r="O127" s="633"/>
      <c r="P127" s="633"/>
      <c r="Q127" s="633"/>
      <c r="R127" s="633"/>
    </row>
    <row r="128">
      <c r="A128" s="633"/>
      <c r="B128" s="633"/>
      <c r="C128" s="633"/>
      <c r="D128" s="665"/>
      <c r="E128" s="633"/>
      <c r="F128" s="666"/>
      <c r="G128" s="633"/>
      <c r="H128" s="633"/>
      <c r="I128" s="633"/>
      <c r="J128" s="633"/>
      <c r="K128" s="633"/>
      <c r="L128" s="633"/>
      <c r="M128" s="633"/>
      <c r="N128" s="633"/>
      <c r="O128" s="633"/>
      <c r="P128" s="633"/>
      <c r="Q128" s="633"/>
      <c r="R128" s="633"/>
    </row>
    <row r="129">
      <c r="A129" s="633"/>
      <c r="B129" s="633"/>
      <c r="C129" s="633"/>
      <c r="D129" s="665"/>
      <c r="E129" s="633"/>
      <c r="F129" s="666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</row>
    <row r="130">
      <c r="A130" s="633"/>
      <c r="B130" s="633"/>
      <c r="C130" s="633"/>
      <c r="D130" s="665"/>
      <c r="E130" s="633"/>
      <c r="F130" s="666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</row>
    <row r="131">
      <c r="A131" s="633"/>
      <c r="B131" s="633"/>
      <c r="C131" s="633"/>
      <c r="D131" s="665"/>
      <c r="E131" s="633"/>
      <c r="F131" s="666"/>
      <c r="G131" s="633"/>
      <c r="H131" s="633"/>
      <c r="I131" s="633"/>
      <c r="J131" s="633"/>
      <c r="K131" s="633"/>
      <c r="L131" s="633"/>
      <c r="M131" s="633"/>
      <c r="N131" s="633"/>
      <c r="O131" s="633"/>
      <c r="P131" s="633"/>
      <c r="Q131" s="633"/>
      <c r="R131" s="633"/>
    </row>
    <row r="132">
      <c r="A132" s="633"/>
      <c r="B132" s="633"/>
      <c r="C132" s="633"/>
      <c r="D132" s="665"/>
      <c r="E132" s="633"/>
      <c r="F132" s="666"/>
      <c r="G132" s="633"/>
      <c r="H132" s="633"/>
      <c r="I132" s="633"/>
      <c r="J132" s="633"/>
      <c r="K132" s="633"/>
      <c r="L132" s="633"/>
      <c r="M132" s="633"/>
      <c r="N132" s="633"/>
      <c r="O132" s="633"/>
      <c r="P132" s="633"/>
      <c r="Q132" s="633"/>
      <c r="R132" s="633"/>
    </row>
    <row r="133">
      <c r="A133" s="633"/>
      <c r="B133" s="633"/>
      <c r="C133" s="633"/>
      <c r="D133" s="665"/>
      <c r="E133" s="633"/>
      <c r="F133" s="666"/>
      <c r="G133" s="633"/>
      <c r="H133" s="633"/>
      <c r="I133" s="633"/>
      <c r="J133" s="633"/>
      <c r="K133" s="633"/>
      <c r="L133" s="633"/>
      <c r="M133" s="633"/>
      <c r="N133" s="633"/>
      <c r="O133" s="633"/>
      <c r="P133" s="633"/>
      <c r="Q133" s="633"/>
      <c r="R133" s="633"/>
    </row>
    <row r="134">
      <c r="A134" s="633"/>
      <c r="B134" s="633"/>
      <c r="C134" s="633"/>
      <c r="D134" s="665"/>
      <c r="E134" s="633"/>
      <c r="F134" s="666"/>
      <c r="G134" s="633"/>
      <c r="H134" s="633"/>
      <c r="I134" s="633"/>
      <c r="J134" s="633"/>
      <c r="K134" s="633"/>
      <c r="L134" s="633"/>
      <c r="M134" s="633"/>
      <c r="N134" s="633"/>
      <c r="O134" s="633"/>
      <c r="P134" s="633"/>
      <c r="Q134" s="633"/>
      <c r="R134" s="633"/>
    </row>
    <row r="135">
      <c r="A135" s="633"/>
      <c r="B135" s="633"/>
      <c r="C135" s="633"/>
      <c r="D135" s="665"/>
      <c r="E135" s="633"/>
      <c r="F135" s="666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</row>
    <row r="136">
      <c r="A136" s="633"/>
      <c r="B136" s="633"/>
      <c r="C136" s="633"/>
      <c r="D136" s="665"/>
      <c r="E136" s="633"/>
      <c r="F136" s="666"/>
      <c r="G136" s="633"/>
      <c r="H136" s="633"/>
      <c r="I136" s="633"/>
      <c r="J136" s="633"/>
      <c r="K136" s="633"/>
      <c r="L136" s="633"/>
      <c r="M136" s="633"/>
      <c r="N136" s="633"/>
      <c r="O136" s="633"/>
      <c r="P136" s="633"/>
      <c r="Q136" s="633"/>
      <c r="R136" s="633"/>
    </row>
    <row r="137">
      <c r="A137" s="633"/>
      <c r="B137" s="633"/>
      <c r="C137" s="633"/>
      <c r="D137" s="665"/>
      <c r="E137" s="633"/>
      <c r="F137" s="666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3"/>
      <c r="R137" s="633"/>
    </row>
    <row r="138">
      <c r="A138" s="633"/>
      <c r="B138" s="633"/>
      <c r="C138" s="633"/>
      <c r="D138" s="665"/>
      <c r="E138" s="633"/>
      <c r="F138" s="666"/>
      <c r="G138" s="633"/>
      <c r="H138" s="633"/>
      <c r="I138" s="633"/>
      <c r="J138" s="633"/>
      <c r="K138" s="633"/>
      <c r="L138" s="633"/>
      <c r="M138" s="633"/>
      <c r="N138" s="633"/>
      <c r="O138" s="633"/>
      <c r="P138" s="633"/>
      <c r="Q138" s="633"/>
      <c r="R138" s="633"/>
    </row>
    <row r="139">
      <c r="A139" s="633"/>
      <c r="B139" s="633"/>
      <c r="C139" s="633"/>
      <c r="D139" s="665"/>
      <c r="E139" s="633"/>
      <c r="F139" s="666"/>
      <c r="G139" s="633"/>
      <c r="H139" s="633"/>
      <c r="I139" s="633"/>
      <c r="J139" s="633"/>
      <c r="K139" s="633"/>
      <c r="L139" s="633"/>
      <c r="M139" s="633"/>
      <c r="N139" s="633"/>
      <c r="O139" s="633"/>
      <c r="P139" s="633"/>
      <c r="Q139" s="633"/>
      <c r="R139" s="633"/>
    </row>
    <row r="140">
      <c r="A140" s="633"/>
      <c r="B140" s="633"/>
      <c r="C140" s="633"/>
      <c r="D140" s="665"/>
      <c r="E140" s="633"/>
      <c r="F140" s="666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</row>
    <row r="141">
      <c r="A141" s="633"/>
      <c r="B141" s="633"/>
      <c r="C141" s="633"/>
      <c r="D141" s="665"/>
      <c r="E141" s="633"/>
      <c r="F141" s="666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3"/>
      <c r="R141" s="633"/>
    </row>
    <row r="142">
      <c r="A142" s="633"/>
      <c r="B142" s="633"/>
      <c r="C142" s="633"/>
      <c r="D142" s="665"/>
      <c r="E142" s="633"/>
      <c r="F142" s="666"/>
      <c r="G142" s="633"/>
      <c r="H142" s="633"/>
      <c r="I142" s="633"/>
      <c r="J142" s="633"/>
      <c r="K142" s="633"/>
      <c r="L142" s="633"/>
      <c r="M142" s="633"/>
      <c r="N142" s="633"/>
      <c r="O142" s="633"/>
      <c r="P142" s="633"/>
      <c r="Q142" s="633"/>
      <c r="R142" s="633"/>
    </row>
    <row r="143">
      <c r="A143" s="633"/>
      <c r="B143" s="633"/>
      <c r="C143" s="633"/>
      <c r="D143" s="665"/>
      <c r="E143" s="633"/>
      <c r="F143" s="666"/>
      <c r="G143" s="633"/>
      <c r="H143" s="633"/>
      <c r="I143" s="633"/>
      <c r="J143" s="633"/>
      <c r="K143" s="633"/>
      <c r="L143" s="633"/>
      <c r="M143" s="633"/>
      <c r="N143" s="633"/>
      <c r="O143" s="633"/>
      <c r="P143" s="633"/>
      <c r="Q143" s="633"/>
      <c r="R143" s="633"/>
    </row>
    <row r="144">
      <c r="A144" s="633"/>
      <c r="B144" s="633"/>
      <c r="C144" s="633"/>
      <c r="D144" s="665"/>
      <c r="E144" s="633"/>
      <c r="F144" s="666"/>
      <c r="G144" s="633"/>
      <c r="H144" s="633"/>
      <c r="I144" s="633"/>
      <c r="J144" s="633"/>
      <c r="K144" s="633"/>
      <c r="L144" s="633"/>
      <c r="M144" s="633"/>
      <c r="N144" s="633"/>
      <c r="O144" s="633"/>
      <c r="P144" s="633"/>
      <c r="Q144" s="633"/>
      <c r="R144" s="633"/>
    </row>
    <row r="145">
      <c r="A145" s="633"/>
      <c r="B145" s="633"/>
      <c r="C145" s="633"/>
      <c r="D145" s="665"/>
      <c r="E145" s="633"/>
      <c r="F145" s="666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</row>
    <row r="146">
      <c r="A146" s="633"/>
      <c r="B146" s="633"/>
      <c r="C146" s="633"/>
      <c r="D146" s="665"/>
      <c r="E146" s="633"/>
      <c r="F146" s="666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</row>
    <row r="147">
      <c r="A147" s="633"/>
      <c r="B147" s="633"/>
      <c r="C147" s="633"/>
      <c r="D147" s="665"/>
      <c r="E147" s="633"/>
      <c r="F147" s="666"/>
      <c r="G147" s="633"/>
      <c r="H147" s="633"/>
      <c r="I147" s="633"/>
      <c r="J147" s="633"/>
      <c r="K147" s="633"/>
      <c r="L147" s="633"/>
      <c r="M147" s="633"/>
      <c r="N147" s="633"/>
      <c r="O147" s="633"/>
      <c r="P147" s="633"/>
      <c r="Q147" s="633"/>
      <c r="R147" s="633"/>
    </row>
    <row r="148">
      <c r="A148" s="633"/>
      <c r="B148" s="633"/>
      <c r="C148" s="633"/>
      <c r="D148" s="665"/>
      <c r="E148" s="633"/>
      <c r="F148" s="666"/>
      <c r="G148" s="633"/>
      <c r="H148" s="633"/>
      <c r="I148" s="633"/>
      <c r="J148" s="633"/>
      <c r="K148" s="633"/>
      <c r="L148" s="633"/>
      <c r="M148" s="633"/>
      <c r="N148" s="633"/>
      <c r="O148" s="633"/>
      <c r="P148" s="633"/>
      <c r="Q148" s="633"/>
      <c r="R148" s="633"/>
    </row>
    <row r="149">
      <c r="A149" s="633"/>
      <c r="B149" s="633"/>
      <c r="C149" s="633"/>
      <c r="D149" s="665"/>
      <c r="E149" s="633"/>
      <c r="F149" s="666"/>
      <c r="G149" s="633"/>
      <c r="H149" s="633"/>
      <c r="I149" s="633"/>
      <c r="J149" s="633"/>
      <c r="K149" s="633"/>
      <c r="L149" s="633"/>
      <c r="M149" s="633"/>
      <c r="N149" s="633"/>
      <c r="O149" s="633"/>
      <c r="P149" s="633"/>
      <c r="Q149" s="633"/>
      <c r="R149" s="633"/>
    </row>
    <row r="150">
      <c r="A150" s="633"/>
      <c r="B150" s="633"/>
      <c r="C150" s="633"/>
      <c r="D150" s="665"/>
      <c r="E150" s="633"/>
      <c r="F150" s="666"/>
      <c r="G150" s="633"/>
      <c r="H150" s="633"/>
      <c r="I150" s="633"/>
      <c r="J150" s="633"/>
      <c r="K150" s="633"/>
      <c r="L150" s="633"/>
      <c r="M150" s="633"/>
      <c r="N150" s="633"/>
      <c r="O150" s="633"/>
      <c r="P150" s="633"/>
      <c r="Q150" s="633"/>
      <c r="R150" s="633"/>
    </row>
    <row r="151">
      <c r="A151" s="633"/>
      <c r="B151" s="633"/>
      <c r="C151" s="633"/>
      <c r="D151" s="665"/>
      <c r="E151" s="633"/>
      <c r="F151" s="666"/>
      <c r="G151" s="633"/>
      <c r="H151" s="633"/>
      <c r="I151" s="633"/>
      <c r="J151" s="633"/>
      <c r="K151" s="633"/>
      <c r="L151" s="633"/>
      <c r="M151" s="633"/>
      <c r="N151" s="633"/>
      <c r="O151" s="633"/>
      <c r="P151" s="633"/>
      <c r="Q151" s="633"/>
      <c r="R151" s="633"/>
    </row>
    <row r="152">
      <c r="A152" s="633"/>
      <c r="B152" s="633"/>
      <c r="C152" s="633"/>
      <c r="D152" s="665"/>
      <c r="E152" s="633"/>
      <c r="F152" s="666"/>
      <c r="G152" s="633"/>
      <c r="H152" s="633"/>
      <c r="I152" s="633"/>
      <c r="J152" s="633"/>
      <c r="K152" s="633"/>
      <c r="L152" s="633"/>
      <c r="M152" s="633"/>
      <c r="N152" s="633"/>
      <c r="O152" s="633"/>
      <c r="P152" s="633"/>
      <c r="Q152" s="633"/>
      <c r="R152" s="633"/>
    </row>
    <row r="153">
      <c r="A153" s="633"/>
      <c r="B153" s="633"/>
      <c r="C153" s="633"/>
      <c r="D153" s="665"/>
      <c r="E153" s="633"/>
      <c r="F153" s="666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</row>
    <row r="154">
      <c r="A154" s="633"/>
      <c r="B154" s="633"/>
      <c r="C154" s="633"/>
      <c r="D154" s="665"/>
      <c r="E154" s="633"/>
      <c r="F154" s="666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</row>
    <row r="155">
      <c r="A155" s="633"/>
      <c r="B155" s="633"/>
      <c r="C155" s="633"/>
      <c r="D155" s="665"/>
      <c r="E155" s="633"/>
      <c r="F155" s="666"/>
      <c r="G155" s="633"/>
      <c r="H155" s="633"/>
      <c r="I155" s="633"/>
      <c r="J155" s="633"/>
      <c r="K155" s="633"/>
      <c r="L155" s="633"/>
      <c r="M155" s="633"/>
      <c r="N155" s="633"/>
      <c r="O155" s="633"/>
      <c r="P155" s="633"/>
      <c r="Q155" s="633"/>
      <c r="R155" s="633"/>
    </row>
    <row r="156">
      <c r="A156" s="633"/>
      <c r="B156" s="633"/>
      <c r="C156" s="633"/>
      <c r="D156" s="665"/>
      <c r="E156" s="633"/>
      <c r="F156" s="666"/>
      <c r="G156" s="633"/>
      <c r="H156" s="633"/>
      <c r="I156" s="633"/>
      <c r="J156" s="633"/>
      <c r="K156" s="633"/>
      <c r="L156" s="633"/>
      <c r="M156" s="633"/>
      <c r="N156" s="633"/>
      <c r="O156" s="633"/>
      <c r="P156" s="633"/>
      <c r="Q156" s="633"/>
      <c r="R156" s="633"/>
    </row>
    <row r="157">
      <c r="A157" s="633"/>
      <c r="B157" s="633"/>
      <c r="C157" s="633"/>
      <c r="D157" s="665"/>
      <c r="E157" s="633"/>
      <c r="F157" s="666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</row>
    <row r="158">
      <c r="A158" s="633"/>
      <c r="B158" s="633"/>
      <c r="C158" s="633"/>
      <c r="D158" s="665"/>
      <c r="E158" s="633"/>
      <c r="F158" s="666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</row>
    <row r="159">
      <c r="A159" s="633"/>
      <c r="B159" s="633"/>
      <c r="C159" s="633"/>
      <c r="D159" s="665"/>
      <c r="E159" s="633"/>
      <c r="F159" s="666"/>
      <c r="G159" s="633"/>
      <c r="H159" s="633"/>
      <c r="I159" s="633"/>
      <c r="J159" s="633"/>
      <c r="K159" s="633"/>
      <c r="L159" s="633"/>
      <c r="M159" s="633"/>
      <c r="N159" s="633"/>
      <c r="O159" s="633"/>
      <c r="P159" s="633"/>
      <c r="Q159" s="633"/>
      <c r="R159" s="633"/>
    </row>
    <row r="160">
      <c r="A160" s="633"/>
      <c r="B160" s="633"/>
      <c r="C160" s="633"/>
      <c r="D160" s="665"/>
      <c r="E160" s="633"/>
      <c r="F160" s="666"/>
      <c r="G160" s="633"/>
      <c r="H160" s="633"/>
      <c r="I160" s="633"/>
      <c r="J160" s="633"/>
      <c r="K160" s="633"/>
      <c r="L160" s="633"/>
      <c r="M160" s="633"/>
      <c r="N160" s="633"/>
      <c r="O160" s="633"/>
      <c r="P160" s="633"/>
      <c r="Q160" s="633"/>
      <c r="R160" s="633"/>
    </row>
    <row r="161">
      <c r="A161" s="633"/>
      <c r="B161" s="633"/>
      <c r="C161" s="633"/>
      <c r="D161" s="665"/>
      <c r="E161" s="633"/>
      <c r="F161" s="666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3"/>
      <c r="R161" s="633"/>
    </row>
    <row r="162">
      <c r="A162" s="633"/>
      <c r="B162" s="633"/>
      <c r="C162" s="633"/>
      <c r="D162" s="665"/>
      <c r="E162" s="633"/>
      <c r="F162" s="666"/>
      <c r="G162" s="633"/>
      <c r="H162" s="633"/>
      <c r="I162" s="633"/>
      <c r="J162" s="633"/>
      <c r="K162" s="633"/>
      <c r="L162" s="633"/>
      <c r="M162" s="633"/>
      <c r="N162" s="633"/>
      <c r="O162" s="633"/>
      <c r="P162" s="633"/>
      <c r="Q162" s="633"/>
      <c r="R162" s="633"/>
    </row>
    <row r="163">
      <c r="A163" s="633"/>
      <c r="B163" s="633"/>
      <c r="C163" s="633"/>
      <c r="D163" s="665"/>
      <c r="E163" s="633"/>
      <c r="F163" s="666"/>
      <c r="G163" s="633"/>
      <c r="H163" s="633"/>
      <c r="I163" s="633"/>
      <c r="J163" s="633"/>
      <c r="K163" s="633"/>
      <c r="L163" s="633"/>
      <c r="M163" s="633"/>
      <c r="N163" s="633"/>
      <c r="O163" s="633"/>
      <c r="P163" s="633"/>
      <c r="Q163" s="633"/>
      <c r="R163" s="633"/>
    </row>
    <row r="164">
      <c r="A164" s="633"/>
      <c r="B164" s="633"/>
      <c r="C164" s="633"/>
      <c r="D164" s="665"/>
      <c r="E164" s="633"/>
      <c r="F164" s="666"/>
      <c r="G164" s="633"/>
      <c r="H164" s="633"/>
      <c r="I164" s="633"/>
      <c r="J164" s="633"/>
      <c r="K164" s="633"/>
      <c r="L164" s="633"/>
      <c r="M164" s="633"/>
      <c r="N164" s="633"/>
      <c r="O164" s="633"/>
      <c r="P164" s="633"/>
      <c r="Q164" s="633"/>
      <c r="R164" s="633"/>
    </row>
    <row r="165">
      <c r="A165" s="633"/>
      <c r="B165" s="633"/>
      <c r="C165" s="633"/>
      <c r="D165" s="665"/>
      <c r="E165" s="633"/>
      <c r="F165" s="666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</row>
    <row r="166">
      <c r="A166" s="633"/>
      <c r="B166" s="633"/>
      <c r="C166" s="633"/>
      <c r="D166" s="665"/>
      <c r="E166" s="633"/>
      <c r="F166" s="666"/>
      <c r="G166" s="633"/>
      <c r="H166" s="633"/>
      <c r="I166" s="633"/>
      <c r="J166" s="633"/>
      <c r="K166" s="633"/>
      <c r="L166" s="633"/>
      <c r="M166" s="633"/>
      <c r="N166" s="633"/>
      <c r="O166" s="633"/>
      <c r="P166" s="633"/>
      <c r="Q166" s="633"/>
      <c r="R166" s="633"/>
    </row>
    <row r="167">
      <c r="A167" s="633"/>
      <c r="B167" s="633"/>
      <c r="C167" s="633"/>
      <c r="D167" s="665"/>
      <c r="E167" s="633"/>
      <c r="F167" s="666"/>
      <c r="G167" s="633"/>
      <c r="H167" s="633"/>
      <c r="I167" s="633"/>
      <c r="J167" s="633"/>
      <c r="K167" s="633"/>
      <c r="L167" s="633"/>
      <c r="M167" s="633"/>
      <c r="N167" s="633"/>
      <c r="O167" s="633"/>
      <c r="P167" s="633"/>
      <c r="Q167" s="633"/>
      <c r="R167" s="633"/>
    </row>
    <row r="168">
      <c r="A168" s="633"/>
      <c r="B168" s="633"/>
      <c r="C168" s="633"/>
      <c r="D168" s="665"/>
      <c r="E168" s="633"/>
      <c r="F168" s="666"/>
      <c r="G168" s="633"/>
      <c r="H168" s="633"/>
      <c r="I168" s="633"/>
      <c r="J168" s="633"/>
      <c r="K168" s="633"/>
      <c r="L168" s="633"/>
      <c r="M168" s="633"/>
      <c r="N168" s="633"/>
      <c r="O168" s="633"/>
      <c r="P168" s="633"/>
      <c r="Q168" s="633"/>
      <c r="R168" s="633"/>
    </row>
    <row r="169">
      <c r="A169" s="633"/>
      <c r="B169" s="633"/>
      <c r="C169" s="633"/>
      <c r="D169" s="665"/>
      <c r="E169" s="633"/>
      <c r="F169" s="666"/>
      <c r="G169" s="633"/>
      <c r="H169" s="633"/>
      <c r="I169" s="633"/>
      <c r="J169" s="633"/>
      <c r="K169" s="633"/>
      <c r="L169" s="633"/>
      <c r="M169" s="633"/>
      <c r="N169" s="633"/>
      <c r="O169" s="633"/>
      <c r="P169" s="633"/>
      <c r="Q169" s="633"/>
      <c r="R169" s="633"/>
    </row>
    <row r="170">
      <c r="A170" s="633"/>
      <c r="B170" s="633"/>
      <c r="C170" s="633"/>
      <c r="D170" s="665"/>
      <c r="E170" s="633"/>
      <c r="F170" s="666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</row>
    <row r="171">
      <c r="A171" s="633"/>
      <c r="B171" s="633"/>
      <c r="C171" s="633"/>
      <c r="D171" s="665"/>
      <c r="E171" s="633"/>
      <c r="F171" s="666"/>
      <c r="G171" s="633"/>
      <c r="H171" s="633"/>
      <c r="I171" s="633"/>
      <c r="J171" s="633"/>
      <c r="K171" s="633"/>
      <c r="L171" s="633"/>
      <c r="M171" s="633"/>
      <c r="N171" s="633"/>
      <c r="O171" s="633"/>
      <c r="P171" s="633"/>
      <c r="Q171" s="633"/>
      <c r="R171" s="633"/>
    </row>
    <row r="172">
      <c r="A172" s="633"/>
      <c r="B172" s="633"/>
      <c r="C172" s="633"/>
      <c r="D172" s="665"/>
      <c r="E172" s="633"/>
      <c r="F172" s="666"/>
      <c r="G172" s="633"/>
      <c r="H172" s="633"/>
      <c r="I172" s="633"/>
      <c r="J172" s="633"/>
      <c r="K172" s="633"/>
      <c r="L172" s="633"/>
      <c r="M172" s="633"/>
      <c r="N172" s="633"/>
      <c r="O172" s="633"/>
      <c r="P172" s="633"/>
      <c r="Q172" s="633"/>
      <c r="R172" s="633"/>
    </row>
    <row r="173">
      <c r="A173" s="633"/>
      <c r="B173" s="633"/>
      <c r="C173" s="633"/>
      <c r="D173" s="665"/>
      <c r="E173" s="633"/>
      <c r="F173" s="666"/>
      <c r="G173" s="633"/>
      <c r="H173" s="633"/>
      <c r="I173" s="633"/>
      <c r="J173" s="633"/>
      <c r="K173" s="633"/>
      <c r="L173" s="633"/>
      <c r="M173" s="633"/>
      <c r="N173" s="633"/>
      <c r="O173" s="633"/>
      <c r="P173" s="633"/>
      <c r="Q173" s="633"/>
      <c r="R173" s="633"/>
    </row>
    <row r="174">
      <c r="A174" s="633"/>
      <c r="B174" s="633"/>
      <c r="C174" s="633"/>
      <c r="D174" s="665"/>
      <c r="E174" s="633"/>
      <c r="F174" s="666"/>
      <c r="G174" s="633"/>
      <c r="H174" s="633"/>
      <c r="I174" s="633"/>
      <c r="J174" s="633"/>
      <c r="K174" s="633"/>
      <c r="L174" s="633"/>
      <c r="M174" s="633"/>
      <c r="N174" s="633"/>
      <c r="O174" s="633"/>
      <c r="P174" s="633"/>
      <c r="Q174" s="633"/>
      <c r="R174" s="633"/>
    </row>
    <row r="175">
      <c r="A175" s="633"/>
      <c r="B175" s="633"/>
      <c r="C175" s="633"/>
      <c r="D175" s="665"/>
      <c r="E175" s="633"/>
      <c r="F175" s="666"/>
      <c r="G175" s="633"/>
      <c r="H175" s="633"/>
      <c r="I175" s="633"/>
      <c r="J175" s="633"/>
      <c r="K175" s="633"/>
      <c r="L175" s="633"/>
      <c r="M175" s="633"/>
      <c r="N175" s="633"/>
      <c r="O175" s="633"/>
      <c r="P175" s="633"/>
      <c r="Q175" s="633"/>
      <c r="R175" s="633"/>
    </row>
    <row r="176">
      <c r="A176" s="633"/>
      <c r="B176" s="633"/>
      <c r="C176" s="633"/>
      <c r="D176" s="665"/>
      <c r="E176" s="633"/>
      <c r="F176" s="666"/>
      <c r="G176" s="633"/>
      <c r="H176" s="633"/>
      <c r="I176" s="633"/>
      <c r="J176" s="633"/>
      <c r="K176" s="633"/>
      <c r="L176" s="633"/>
      <c r="M176" s="633"/>
      <c r="N176" s="633"/>
      <c r="O176" s="633"/>
      <c r="P176" s="633"/>
      <c r="Q176" s="633"/>
      <c r="R176" s="633"/>
    </row>
    <row r="177">
      <c r="A177" s="633"/>
      <c r="B177" s="633"/>
      <c r="C177" s="633"/>
      <c r="D177" s="665"/>
      <c r="E177" s="633"/>
      <c r="F177" s="666"/>
      <c r="G177" s="633"/>
      <c r="H177" s="633"/>
      <c r="I177" s="633"/>
      <c r="J177" s="633"/>
      <c r="K177" s="633"/>
      <c r="L177" s="633"/>
      <c r="M177" s="633"/>
      <c r="N177" s="633"/>
      <c r="O177" s="633"/>
      <c r="P177" s="633"/>
      <c r="Q177" s="633"/>
      <c r="R177" s="633"/>
    </row>
    <row r="178">
      <c r="A178" s="633"/>
      <c r="B178" s="633"/>
      <c r="C178" s="633"/>
      <c r="D178" s="665"/>
      <c r="E178" s="633"/>
      <c r="F178" s="666"/>
      <c r="G178" s="633"/>
      <c r="H178" s="633"/>
      <c r="I178" s="633"/>
      <c r="J178" s="633"/>
      <c r="K178" s="633"/>
      <c r="L178" s="633"/>
      <c r="M178" s="633"/>
      <c r="N178" s="633"/>
      <c r="O178" s="633"/>
      <c r="P178" s="633"/>
      <c r="Q178" s="633"/>
      <c r="R178" s="633"/>
    </row>
    <row r="179">
      <c r="A179" s="633"/>
      <c r="B179" s="633"/>
      <c r="C179" s="633"/>
      <c r="D179" s="665"/>
      <c r="E179" s="633"/>
      <c r="F179" s="666"/>
      <c r="G179" s="633"/>
      <c r="H179" s="633"/>
      <c r="I179" s="633"/>
      <c r="J179" s="633"/>
      <c r="K179" s="633"/>
      <c r="L179" s="633"/>
      <c r="M179" s="633"/>
      <c r="N179" s="633"/>
      <c r="O179" s="633"/>
      <c r="P179" s="633"/>
      <c r="Q179" s="633"/>
      <c r="R179" s="633"/>
    </row>
    <row r="180">
      <c r="A180" s="633"/>
      <c r="B180" s="633"/>
      <c r="C180" s="633"/>
      <c r="D180" s="665"/>
      <c r="E180" s="633"/>
      <c r="F180" s="666"/>
      <c r="G180" s="633"/>
      <c r="H180" s="633"/>
      <c r="I180" s="633"/>
      <c r="J180" s="633"/>
      <c r="K180" s="633"/>
      <c r="L180" s="633"/>
      <c r="M180" s="633"/>
      <c r="N180" s="633"/>
      <c r="O180" s="633"/>
      <c r="P180" s="633"/>
      <c r="Q180" s="633"/>
      <c r="R180" s="633"/>
    </row>
    <row r="181">
      <c r="A181" s="633"/>
      <c r="B181" s="633"/>
      <c r="C181" s="633"/>
      <c r="D181" s="665"/>
      <c r="E181" s="633"/>
      <c r="F181" s="666"/>
      <c r="G181" s="633"/>
      <c r="H181" s="633"/>
      <c r="I181" s="633"/>
      <c r="J181" s="633"/>
      <c r="K181" s="633"/>
      <c r="L181" s="633"/>
      <c r="M181" s="633"/>
      <c r="N181" s="633"/>
      <c r="O181" s="633"/>
      <c r="P181" s="633"/>
      <c r="Q181" s="633"/>
      <c r="R181" s="633"/>
    </row>
    <row r="182">
      <c r="A182" s="633"/>
      <c r="B182" s="633"/>
      <c r="C182" s="633"/>
      <c r="D182" s="665"/>
      <c r="E182" s="633"/>
      <c r="F182" s="666"/>
      <c r="G182" s="633"/>
      <c r="H182" s="633"/>
      <c r="I182" s="633"/>
      <c r="J182" s="633"/>
      <c r="K182" s="633"/>
      <c r="L182" s="633"/>
      <c r="M182" s="633"/>
      <c r="N182" s="633"/>
      <c r="O182" s="633"/>
      <c r="P182" s="633"/>
      <c r="Q182" s="633"/>
      <c r="R182" s="633"/>
    </row>
    <row r="183">
      <c r="A183" s="633"/>
      <c r="B183" s="633"/>
      <c r="C183" s="633"/>
      <c r="D183" s="665"/>
      <c r="E183" s="633"/>
      <c r="F183" s="666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</row>
    <row r="184">
      <c r="A184" s="633"/>
      <c r="B184" s="633"/>
      <c r="C184" s="633"/>
      <c r="D184" s="665"/>
      <c r="E184" s="633"/>
      <c r="F184" s="666"/>
      <c r="G184" s="633"/>
      <c r="H184" s="633"/>
      <c r="I184" s="633"/>
      <c r="J184" s="633"/>
      <c r="K184" s="633"/>
      <c r="L184" s="633"/>
      <c r="M184" s="633"/>
      <c r="N184" s="633"/>
      <c r="O184" s="633"/>
      <c r="P184" s="633"/>
      <c r="Q184" s="633"/>
      <c r="R184" s="633"/>
    </row>
    <row r="185">
      <c r="A185" s="633"/>
      <c r="B185" s="633"/>
      <c r="C185" s="633"/>
      <c r="D185" s="665"/>
      <c r="E185" s="633"/>
      <c r="F185" s="666"/>
      <c r="G185" s="633"/>
      <c r="H185" s="633"/>
      <c r="I185" s="633"/>
      <c r="J185" s="633"/>
      <c r="K185" s="633"/>
      <c r="L185" s="633"/>
      <c r="M185" s="633"/>
      <c r="N185" s="633"/>
      <c r="O185" s="633"/>
      <c r="P185" s="633"/>
      <c r="Q185" s="633"/>
      <c r="R185" s="633"/>
    </row>
    <row r="186">
      <c r="A186" s="633"/>
      <c r="B186" s="633"/>
      <c r="C186" s="633"/>
      <c r="D186" s="665"/>
      <c r="E186" s="633"/>
      <c r="F186" s="666"/>
      <c r="G186" s="633"/>
      <c r="H186" s="633"/>
      <c r="I186" s="633"/>
      <c r="J186" s="633"/>
      <c r="K186" s="633"/>
      <c r="L186" s="633"/>
      <c r="M186" s="633"/>
      <c r="N186" s="633"/>
      <c r="O186" s="633"/>
      <c r="P186" s="633"/>
      <c r="Q186" s="633"/>
      <c r="R186" s="633"/>
    </row>
    <row r="187">
      <c r="A187" s="633"/>
      <c r="B187" s="633"/>
      <c r="C187" s="633"/>
      <c r="D187" s="665"/>
      <c r="E187" s="633"/>
      <c r="F187" s="666"/>
      <c r="G187" s="633"/>
      <c r="H187" s="633"/>
      <c r="I187" s="633"/>
      <c r="J187" s="633"/>
      <c r="K187" s="633"/>
      <c r="L187" s="633"/>
      <c r="M187" s="633"/>
      <c r="N187" s="633"/>
      <c r="O187" s="633"/>
      <c r="P187" s="633"/>
      <c r="Q187" s="633"/>
      <c r="R187" s="633"/>
    </row>
    <row r="188">
      <c r="A188" s="633"/>
      <c r="B188" s="633"/>
      <c r="C188" s="633"/>
      <c r="D188" s="665"/>
      <c r="E188" s="633"/>
      <c r="F188" s="666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</row>
    <row r="189">
      <c r="A189" s="633"/>
      <c r="B189" s="633"/>
      <c r="C189" s="633"/>
      <c r="D189" s="665"/>
      <c r="E189" s="633"/>
      <c r="F189" s="666"/>
      <c r="G189" s="633"/>
      <c r="H189" s="633"/>
      <c r="I189" s="633"/>
      <c r="J189" s="633"/>
      <c r="K189" s="633"/>
      <c r="L189" s="633"/>
      <c r="M189" s="633"/>
      <c r="N189" s="633"/>
      <c r="O189" s="633"/>
      <c r="P189" s="633"/>
      <c r="Q189" s="633"/>
      <c r="R189" s="633"/>
    </row>
    <row r="190">
      <c r="A190" s="633"/>
      <c r="B190" s="633"/>
      <c r="C190" s="633"/>
      <c r="D190" s="665"/>
      <c r="E190" s="633"/>
      <c r="F190" s="666"/>
      <c r="G190" s="633"/>
      <c r="H190" s="633"/>
      <c r="I190" s="633"/>
      <c r="J190" s="633"/>
      <c r="K190" s="633"/>
      <c r="L190" s="633"/>
      <c r="M190" s="633"/>
      <c r="N190" s="633"/>
      <c r="O190" s="633"/>
      <c r="P190" s="633"/>
      <c r="Q190" s="633"/>
      <c r="R190" s="633"/>
    </row>
    <row r="191">
      <c r="A191" s="633"/>
      <c r="B191" s="633"/>
      <c r="C191" s="633"/>
      <c r="D191" s="665"/>
      <c r="E191" s="633"/>
      <c r="F191" s="666"/>
      <c r="G191" s="633"/>
      <c r="H191" s="633"/>
      <c r="I191" s="633"/>
      <c r="J191" s="633"/>
      <c r="K191" s="633"/>
      <c r="L191" s="633"/>
      <c r="M191" s="633"/>
      <c r="N191" s="633"/>
      <c r="O191" s="633"/>
      <c r="P191" s="633"/>
      <c r="Q191" s="633"/>
      <c r="R191" s="633"/>
    </row>
    <row r="192">
      <c r="A192" s="633"/>
      <c r="B192" s="633"/>
      <c r="C192" s="633"/>
      <c r="D192" s="665"/>
      <c r="E192" s="633"/>
      <c r="F192" s="666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</row>
    <row r="193">
      <c r="A193" s="633"/>
      <c r="B193" s="633"/>
      <c r="C193" s="633"/>
      <c r="D193" s="665"/>
      <c r="E193" s="633"/>
      <c r="F193" s="666"/>
      <c r="G193" s="633"/>
      <c r="H193" s="633"/>
      <c r="I193" s="633"/>
      <c r="J193" s="633"/>
      <c r="K193" s="633"/>
      <c r="L193" s="633"/>
      <c r="M193" s="633"/>
      <c r="N193" s="633"/>
      <c r="O193" s="633"/>
      <c r="P193" s="633"/>
      <c r="Q193" s="633"/>
      <c r="R193" s="633"/>
    </row>
    <row r="194">
      <c r="A194" s="633"/>
      <c r="B194" s="633"/>
      <c r="C194" s="633"/>
      <c r="D194" s="665"/>
      <c r="E194" s="633"/>
      <c r="F194" s="666"/>
      <c r="G194" s="633"/>
      <c r="H194" s="633"/>
      <c r="I194" s="633"/>
      <c r="J194" s="633"/>
      <c r="K194" s="633"/>
      <c r="L194" s="633"/>
      <c r="M194" s="633"/>
      <c r="N194" s="633"/>
      <c r="O194" s="633"/>
      <c r="P194" s="633"/>
      <c r="Q194" s="633"/>
      <c r="R194" s="633"/>
    </row>
    <row r="195">
      <c r="A195" s="633"/>
      <c r="B195" s="633"/>
      <c r="C195" s="633"/>
      <c r="D195" s="665"/>
      <c r="E195" s="633"/>
      <c r="F195" s="666"/>
      <c r="G195" s="633"/>
      <c r="H195" s="633"/>
      <c r="I195" s="633"/>
      <c r="J195" s="633"/>
      <c r="K195" s="633"/>
      <c r="L195" s="633"/>
      <c r="M195" s="633"/>
      <c r="N195" s="633"/>
      <c r="O195" s="633"/>
      <c r="P195" s="633"/>
      <c r="Q195" s="633"/>
      <c r="R195" s="633"/>
    </row>
    <row r="196">
      <c r="A196" s="633"/>
      <c r="B196" s="633"/>
      <c r="C196" s="633"/>
      <c r="D196" s="665"/>
      <c r="E196" s="633"/>
      <c r="F196" s="666"/>
      <c r="G196" s="633"/>
      <c r="H196" s="633"/>
      <c r="I196" s="633"/>
      <c r="J196" s="633"/>
      <c r="K196" s="633"/>
      <c r="L196" s="633"/>
      <c r="M196" s="633"/>
      <c r="N196" s="633"/>
      <c r="O196" s="633"/>
      <c r="P196" s="633"/>
      <c r="Q196" s="633"/>
      <c r="R196" s="633"/>
    </row>
    <row r="197">
      <c r="A197" s="633"/>
      <c r="B197" s="633"/>
      <c r="C197" s="633"/>
      <c r="D197" s="665"/>
      <c r="E197" s="633"/>
      <c r="F197" s="666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</row>
    <row r="198">
      <c r="A198" s="633"/>
      <c r="B198" s="633"/>
      <c r="C198" s="633"/>
      <c r="D198" s="665"/>
      <c r="E198" s="633"/>
      <c r="F198" s="666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</row>
    <row r="199">
      <c r="A199" s="633"/>
      <c r="B199" s="633"/>
      <c r="C199" s="633"/>
      <c r="D199" s="665"/>
      <c r="E199" s="633"/>
      <c r="F199" s="666"/>
      <c r="G199" s="633"/>
      <c r="H199" s="633"/>
      <c r="I199" s="633"/>
      <c r="J199" s="633"/>
      <c r="K199" s="633"/>
      <c r="L199" s="633"/>
      <c r="M199" s="633"/>
      <c r="N199" s="633"/>
      <c r="O199" s="633"/>
      <c r="P199" s="633"/>
      <c r="Q199" s="633"/>
      <c r="R199" s="633"/>
    </row>
  </sheetData>
  <mergeCells>
    <mergeCell ref="M10:M11"/>
    <mergeCell ref="K10:K11"/>
    <mergeCell ref="L7:L8"/>
    <mergeCell ref="N7:N8"/>
    <mergeCell ref="G7:G8"/>
    <mergeCell ref="M7:M8"/>
    <mergeCell ref="K7:K8"/>
    <mergeCell ref="J7:J8"/>
    <mergeCell ref="I7:I8"/>
    <mergeCell ref="H7:H8"/>
    <mergeCell ref="M5:M6"/>
    <mergeCell ref="L5:L6"/>
    <mergeCell ref="K5:K6"/>
    <mergeCell ref="J5:J6"/>
    <mergeCell ref="I5:I6"/>
    <mergeCell ref="H5:H6"/>
    <mergeCell ref="G5:G6"/>
  </mergeCells>
  <legacyDrawing r:id="rId1"/>
  <picture r:id="rId4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4" xSplit="3" ySplit="3"/>
    </sheetView>
  </sheetViews>
  <sheetFormatPr defaultColWidth="14" defaultRowHeight="19"/>
  <cols>
    <col collapsed="false" customWidth="true" hidden="false" max="3" min="3" style="0" width="7"/>
    <col collapsed="false" customWidth="true" hidden="false" max="31" min="31" style="0" width="11"/>
    <col collapsed="false" customWidth="true" hidden="false" max="35" min="35" style="0" width="14"/>
    <col collapsed="false" customWidth="true" hidden="false" max="39" min="39" style="0" width="14"/>
    <col collapsed="false" customWidth="true" hidden="false" max="43" min="43" style="0" width="11"/>
    <col collapsed="false" customWidth="true" hidden="false" max="47" min="47" style="0" width="14"/>
    <col collapsed="false" customWidth="true" hidden="false" max="51" min="51" style="0" width="14"/>
    <col collapsed="false" customWidth="true" hidden="false" max="2" min="2" style="0" width="26"/>
    <col collapsed="false" customWidth="true" hidden="false" max="30" min="30" style="0" width="11"/>
    <col collapsed="false" customWidth="true" hidden="false" max="34" min="34" style="0" width="14"/>
    <col collapsed="false" customWidth="true" hidden="false" max="38" min="38" style="0" width="14"/>
    <col collapsed="false" customWidth="true" hidden="false" max="42" min="42" style="0" width="10"/>
    <col collapsed="false" customWidth="true" hidden="false" max="46" min="46" style="0" width="14"/>
    <col collapsed="false" customWidth="true" hidden="false" max="50" min="50" style="0" width="14"/>
    <col collapsed="false" customWidth="true" hidden="false" max="1" min="1" style="0" width="5"/>
    <col collapsed="false" customWidth="true" hidden="false" max="29" min="29" style="0" width="11"/>
    <col collapsed="false" customWidth="true" hidden="false" max="33" min="33" style="0" width="14"/>
    <col collapsed="false" customWidth="true" hidden="false" max="37" min="37" style="0" width="12"/>
    <col collapsed="false" customWidth="true" hidden="false" max="41" min="41" style="0" width="11"/>
    <col collapsed="false" customWidth="true" hidden="false" max="45" min="45" style="0" width="14"/>
    <col collapsed="false" customWidth="true" hidden="false" max="49" min="49" style="0" width="14"/>
    <col collapsed="false" customWidth="true" hidden="false" max="32" min="32" style="0" width="14"/>
    <col collapsed="false" customWidth="true" hidden="false" max="36" min="36" style="0" width="11"/>
    <col collapsed="false" customWidth="true" hidden="false" max="40" min="40" style="0" width="12"/>
    <col collapsed="false" customWidth="true" hidden="false" max="44" min="44" style="0" width="14"/>
    <col collapsed="false" customWidth="true" hidden="false" max="48" min="48" style="0" width="14"/>
  </cols>
  <sheetData>
    <row r="1">
      <c r="A1" s="667" t="s">
        <v>918</v>
      </c>
      <c r="B1" s="668"/>
      <c r="C1" s="669"/>
      <c r="D1" s="670"/>
      <c r="E1" s="670"/>
      <c r="F1" s="671">
        <v>4650</v>
      </c>
      <c r="G1" s="672">
        <v>2780</v>
      </c>
      <c r="H1" s="673"/>
      <c r="I1" s="674"/>
      <c r="J1" s="675">
        <v>29594</v>
      </c>
      <c r="K1" s="676">
        <v>18399.5</v>
      </c>
      <c r="L1" s="673"/>
      <c r="M1" s="674"/>
      <c r="N1" s="675">
        <v>36240</v>
      </c>
      <c r="O1" s="676">
        <v>27246.5</v>
      </c>
      <c r="P1" s="673"/>
      <c r="Q1" s="674"/>
      <c r="R1" s="677">
        <v>12</v>
      </c>
      <c r="S1" s="676">
        <v>500.4</v>
      </c>
      <c r="T1" s="673"/>
      <c r="U1" s="674"/>
      <c r="V1" s="675">
        <v>14450</v>
      </c>
      <c r="W1" s="676">
        <v>23212</v>
      </c>
      <c r="X1" s="673"/>
      <c r="Y1" s="674"/>
      <c r="Z1" s="675">
        <v>16695</v>
      </c>
      <c r="AA1" s="678">
        <v>43059</v>
      </c>
      <c r="AB1" s="679"/>
      <c r="AC1" s="680"/>
      <c r="AD1" s="681">
        <f>SUM(AD4:AD29)</f>
      </c>
      <c r="AE1" s="682">
        <f>SUM(AE4:AE29)</f>
      </c>
      <c r="AF1" s="683"/>
      <c r="AG1" s="684"/>
      <c r="AH1" s="685">
        <f>SUM(AH4:AH34)</f>
      </c>
      <c r="AI1" s="686">
        <f>SUM(AI4:AI30)</f>
      </c>
      <c r="AJ1" s="687"/>
      <c r="AK1" s="688"/>
      <c r="AL1" s="687">
        <f>SUM(AL7:AL49)</f>
      </c>
      <c r="AM1" s="688">
        <f>SUM(AM7:AM49)</f>
      </c>
      <c r="AN1" s="689"/>
      <c r="AO1" s="690"/>
      <c r="AP1" s="691">
        <f>SUM(AP4:AP30)</f>
      </c>
      <c r="AQ1" s="690">
        <f>SUM(AQ4:AQ30)</f>
      </c>
      <c r="AR1" s="692"/>
      <c r="AS1" s="692"/>
      <c r="AT1" s="692"/>
      <c r="AU1" s="692"/>
      <c r="AV1" s="692"/>
      <c r="AW1" s="692"/>
      <c r="AX1" s="692"/>
      <c r="AY1" s="692"/>
    </row>
    <row r="2">
      <c r="A2" s="679"/>
      <c r="B2" s="679"/>
      <c r="C2" s="679"/>
      <c r="D2" s="679" t="s">
        <v>919</v>
      </c>
      <c r="E2" s="679"/>
      <c r="F2" s="679"/>
      <c r="G2" s="679"/>
      <c r="H2" s="679" t="s">
        <v>920</v>
      </c>
      <c r="I2" s="679"/>
      <c r="J2" s="679"/>
      <c r="K2" s="679"/>
      <c r="L2" s="679" t="s">
        <v>921</v>
      </c>
      <c r="M2" s="679"/>
      <c r="N2" s="679"/>
      <c r="O2" s="679"/>
      <c r="P2" s="679" t="s">
        <v>922</v>
      </c>
      <c r="Q2" s="679"/>
      <c r="R2" s="679"/>
      <c r="S2" s="679"/>
      <c r="T2" s="679" t="s">
        <v>923</v>
      </c>
      <c r="U2" s="679"/>
      <c r="V2" s="679"/>
      <c r="W2" s="679"/>
      <c r="X2" s="679" t="s">
        <v>924</v>
      </c>
      <c r="Y2" s="679"/>
      <c r="Z2" s="679"/>
      <c r="AA2" s="679"/>
      <c r="AB2" s="693" t="s">
        <v>925</v>
      </c>
      <c r="AC2" s="680"/>
      <c r="AD2" s="679"/>
      <c r="AE2" s="680"/>
      <c r="AF2" s="694" t="s">
        <v>926</v>
      </c>
      <c r="AG2" s="694"/>
      <c r="AH2" s="694"/>
      <c r="AI2" s="694"/>
      <c r="AJ2" s="695" t="s">
        <v>927</v>
      </c>
      <c r="AK2" s="696"/>
      <c r="AL2" s="695"/>
      <c r="AM2" s="696"/>
      <c r="AN2" s="697" t="s">
        <v>928</v>
      </c>
      <c r="AO2" s="697"/>
      <c r="AP2" s="697"/>
      <c r="AQ2" s="698"/>
      <c r="AR2" s="680"/>
      <c r="AS2" s="680"/>
      <c r="AT2" s="680"/>
      <c r="AU2" s="680"/>
      <c r="AV2" s="680"/>
      <c r="AW2" s="680"/>
      <c r="AX2" s="680"/>
      <c r="AY2" s="680"/>
    </row>
    <row r="3">
      <c r="A3" s="679" t="s">
        <v>929</v>
      </c>
      <c r="B3" s="679" t="s">
        <v>930</v>
      </c>
      <c r="C3" s="679" t="s">
        <v>931</v>
      </c>
      <c r="D3" s="699" t="s">
        <v>932</v>
      </c>
      <c r="E3" s="700" t="s">
        <v>933</v>
      </c>
      <c r="F3" s="679" t="s">
        <v>934</v>
      </c>
      <c r="G3" s="667" t="s">
        <v>935</v>
      </c>
      <c r="H3" s="699" t="s">
        <v>932</v>
      </c>
      <c r="I3" s="700" t="s">
        <v>933</v>
      </c>
      <c r="J3" s="679" t="s">
        <v>934</v>
      </c>
      <c r="K3" s="679" t="s">
        <v>935</v>
      </c>
      <c r="L3" s="699" t="s">
        <v>932</v>
      </c>
      <c r="M3" s="700" t="s">
        <v>933</v>
      </c>
      <c r="N3" s="679" t="s">
        <v>934</v>
      </c>
      <c r="O3" s="679" t="s">
        <v>935</v>
      </c>
      <c r="P3" s="699" t="s">
        <v>936</v>
      </c>
      <c r="Q3" s="700" t="s">
        <v>933</v>
      </c>
      <c r="R3" s="679" t="s">
        <v>934</v>
      </c>
      <c r="S3" s="679" t="s">
        <v>935</v>
      </c>
      <c r="T3" s="699" t="s">
        <v>932</v>
      </c>
      <c r="U3" s="700" t="s">
        <v>933</v>
      </c>
      <c r="V3" s="679" t="s">
        <v>934</v>
      </c>
      <c r="W3" s="679" t="s">
        <v>935</v>
      </c>
      <c r="X3" s="699" t="s">
        <v>936</v>
      </c>
      <c r="Y3" s="700" t="s">
        <v>933</v>
      </c>
      <c r="Z3" s="679" t="s">
        <v>934</v>
      </c>
      <c r="AA3" s="667" t="s">
        <v>935</v>
      </c>
      <c r="AB3" s="699" t="s">
        <v>936</v>
      </c>
      <c r="AC3" s="700" t="s">
        <v>933</v>
      </c>
      <c r="AD3" s="679" t="s">
        <v>934</v>
      </c>
      <c r="AE3" s="680" t="s">
        <v>935</v>
      </c>
      <c r="AF3" s="701" t="s">
        <v>936</v>
      </c>
      <c r="AG3" s="702" t="s">
        <v>933</v>
      </c>
      <c r="AH3" s="683" t="s">
        <v>934</v>
      </c>
      <c r="AI3" s="684" t="s">
        <v>935</v>
      </c>
      <c r="AJ3" s="703" t="s">
        <v>936</v>
      </c>
      <c r="AK3" s="704" t="s">
        <v>933</v>
      </c>
      <c r="AL3" s="705" t="s">
        <v>934</v>
      </c>
      <c r="AM3" s="706" t="s">
        <v>935</v>
      </c>
      <c r="AN3" s="707" t="s">
        <v>936</v>
      </c>
      <c r="AO3" s="708" t="s">
        <v>933</v>
      </c>
      <c r="AP3" s="709" t="s">
        <v>934</v>
      </c>
      <c r="AQ3" s="710" t="s">
        <v>935</v>
      </c>
      <c r="AR3" s="680"/>
      <c r="AS3" s="680"/>
      <c r="AT3" s="680"/>
      <c r="AU3" s="680"/>
      <c r="AV3" s="680"/>
      <c r="AW3" s="680"/>
      <c r="AX3" s="680"/>
      <c r="AY3" s="680"/>
    </row>
    <row r="4">
      <c r="A4" s="679">
        <v>1</v>
      </c>
      <c r="B4" s="693" t="s">
        <v>937</v>
      </c>
      <c r="C4" s="679" t="s">
        <v>938</v>
      </c>
      <c r="D4" s="679">
        <v>0</v>
      </c>
      <c r="E4" s="711">
        <v>4.1</v>
      </c>
      <c r="F4" s="679">
        <v>200</v>
      </c>
      <c r="G4" s="712">
        <v>820</v>
      </c>
      <c r="H4" s="679">
        <v>0</v>
      </c>
      <c r="I4" s="711">
        <v>2.65</v>
      </c>
      <c r="J4" s="713">
        <v>1000</v>
      </c>
      <c r="K4" s="711">
        <v>2650</v>
      </c>
      <c r="L4" s="679">
        <v>-820</v>
      </c>
      <c r="M4" s="711">
        <v>2.8</v>
      </c>
      <c r="N4" s="713">
        <v>2000</v>
      </c>
      <c r="O4" s="711">
        <v>5600</v>
      </c>
      <c r="P4" s="679" t="s">
        <v>939</v>
      </c>
      <c r="Q4" s="679"/>
      <c r="R4" s="679"/>
      <c r="S4" s="679"/>
      <c r="T4" s="679">
        <v>740</v>
      </c>
      <c r="U4" s="711">
        <v>2.8</v>
      </c>
      <c r="V4" s="713">
        <v>1000</v>
      </c>
      <c r="W4" s="711">
        <v>2800</v>
      </c>
      <c r="X4" s="679">
        <v>260</v>
      </c>
      <c r="Y4" s="711">
        <v>2.8</v>
      </c>
      <c r="Z4" s="713">
        <v>2000</v>
      </c>
      <c r="AA4" s="712">
        <v>5600</v>
      </c>
      <c r="AB4" s="679"/>
      <c r="AC4" s="680"/>
      <c r="AD4" s="679"/>
      <c r="AE4" s="680"/>
      <c r="AF4" s="684"/>
      <c r="AG4" s="684"/>
      <c r="AH4" s="684"/>
      <c r="AI4" s="684"/>
      <c r="AJ4" s="705"/>
      <c r="AK4" s="714"/>
      <c r="AL4" s="705"/>
      <c r="AM4" s="706"/>
      <c r="AN4" s="715"/>
      <c r="AO4" s="716"/>
      <c r="AP4" s="717"/>
      <c r="AQ4" s="716"/>
      <c r="AR4" s="718"/>
      <c r="AS4" s="719"/>
      <c r="AT4" s="719"/>
      <c r="AU4" s="719"/>
      <c r="AV4" s="719"/>
      <c r="AW4" s="719"/>
      <c r="AX4" s="719"/>
      <c r="AY4" s="719"/>
    </row>
    <row r="5">
      <c r="A5" s="679">
        <v>2</v>
      </c>
      <c r="B5" s="699" t="s">
        <v>940</v>
      </c>
      <c r="C5" s="679" t="s">
        <v>938</v>
      </c>
      <c r="D5" s="679">
        <v>0</v>
      </c>
      <c r="E5" s="679"/>
      <c r="F5" s="679"/>
      <c r="G5" s="667"/>
      <c r="H5" s="679">
        <v>0</v>
      </c>
      <c r="I5" s="711">
        <v>3.1</v>
      </c>
      <c r="J5" s="713">
        <v>2000</v>
      </c>
      <c r="K5" s="711">
        <v>6200</v>
      </c>
      <c r="L5" s="679">
        <v>900</v>
      </c>
      <c r="M5" s="711">
        <v>3</v>
      </c>
      <c r="N5" s="713">
        <v>1000</v>
      </c>
      <c r="O5" s="711">
        <v>3000</v>
      </c>
      <c r="P5" s="679" t="s">
        <v>939</v>
      </c>
      <c r="Q5" s="679"/>
      <c r="R5" s="679"/>
      <c r="S5" s="679"/>
      <c r="T5" s="713">
        <v>1000</v>
      </c>
      <c r="U5" s="711">
        <v>3</v>
      </c>
      <c r="V5" s="713">
        <v>1000</v>
      </c>
      <c r="W5" s="711">
        <v>3000</v>
      </c>
      <c r="X5" s="713">
        <v>1000</v>
      </c>
      <c r="Y5" s="711">
        <v>3</v>
      </c>
      <c r="Z5" s="713">
        <v>1000</v>
      </c>
      <c r="AA5" s="712">
        <v>3000</v>
      </c>
      <c r="AB5" s="679"/>
      <c r="AC5" s="680"/>
      <c r="AD5" s="679"/>
      <c r="AE5" s="680"/>
      <c r="AF5" s="684"/>
      <c r="AG5" s="684"/>
      <c r="AH5" s="684"/>
      <c r="AI5" s="684"/>
      <c r="AJ5" s="705"/>
      <c r="AK5" s="706"/>
      <c r="AL5" s="705"/>
      <c r="AM5" s="706"/>
      <c r="AN5" s="720">
        <v>200</v>
      </c>
      <c r="AO5" s="721">
        <v>3</v>
      </c>
      <c r="AP5" s="722">
        <v>4000</v>
      </c>
      <c r="AQ5" s="723">
        <f>AP5*AO5</f>
      </c>
      <c r="AR5" s="724"/>
      <c r="AS5" s="680"/>
      <c r="AT5" s="680"/>
      <c r="AU5" s="680"/>
      <c r="AV5" s="680"/>
      <c r="AW5" s="680"/>
      <c r="AX5" s="680"/>
      <c r="AY5" s="680"/>
    </row>
    <row r="6">
      <c r="A6" s="679">
        <v>3</v>
      </c>
      <c r="B6" s="679" t="s">
        <v>941</v>
      </c>
      <c r="C6" s="679" t="s">
        <v>938</v>
      </c>
      <c r="D6" s="679">
        <v>0</v>
      </c>
      <c r="E6" s="711">
        <v>2.6</v>
      </c>
      <c r="F6" s="679">
        <v>200</v>
      </c>
      <c r="G6" s="712">
        <v>520</v>
      </c>
      <c r="H6" s="679">
        <v>0</v>
      </c>
      <c r="I6" s="711">
        <v>1.68</v>
      </c>
      <c r="J6" s="713">
        <v>1500</v>
      </c>
      <c r="K6" s="711">
        <v>2520</v>
      </c>
      <c r="L6" s="679">
        <v>-480</v>
      </c>
      <c r="M6" s="711">
        <v>1.7</v>
      </c>
      <c r="N6" s="713">
        <v>3000</v>
      </c>
      <c r="O6" s="711">
        <v>5100</v>
      </c>
      <c r="P6" s="679" t="s">
        <v>939</v>
      </c>
      <c r="Q6" s="679"/>
      <c r="R6" s="679"/>
      <c r="S6" s="679"/>
      <c r="T6" s="679">
        <v>360</v>
      </c>
      <c r="U6" s="711">
        <v>1.7</v>
      </c>
      <c r="V6" s="713">
        <v>3000</v>
      </c>
      <c r="W6" s="711">
        <v>5100</v>
      </c>
      <c r="X6" s="713">
        <v>3000</v>
      </c>
      <c r="Y6" s="711">
        <v>1.7</v>
      </c>
      <c r="Z6" s="713">
        <v>3000</v>
      </c>
      <c r="AA6" s="712">
        <v>5100</v>
      </c>
      <c r="AB6" s="679"/>
      <c r="AC6" s="680"/>
      <c r="AD6" s="679"/>
      <c r="AE6" s="680"/>
      <c r="AF6" s="684"/>
      <c r="AG6" s="684"/>
      <c r="AH6" s="684"/>
      <c r="AI6" s="684"/>
      <c r="AJ6" s="705"/>
      <c r="AK6" s="714"/>
      <c r="AL6" s="705"/>
      <c r="AM6" s="706"/>
      <c r="AN6" s="715"/>
      <c r="AO6" s="716"/>
      <c r="AP6" s="717"/>
      <c r="AQ6" s="725"/>
      <c r="AR6" s="718"/>
      <c r="AS6" s="719"/>
      <c r="AT6" s="719"/>
      <c r="AU6" s="719"/>
      <c r="AV6" s="719"/>
      <c r="AW6" s="719"/>
      <c r="AX6" s="719"/>
      <c r="AY6" s="719"/>
    </row>
    <row r="7">
      <c r="A7" s="679">
        <v>4</v>
      </c>
      <c r="B7" s="679" t="s">
        <v>942</v>
      </c>
      <c r="C7" s="679" t="s">
        <v>938</v>
      </c>
      <c r="D7" s="679">
        <v>0</v>
      </c>
      <c r="E7" s="679"/>
      <c r="F7" s="679"/>
      <c r="G7" s="667"/>
      <c r="H7" s="679">
        <v>0</v>
      </c>
      <c r="I7" s="711">
        <v>1.42</v>
      </c>
      <c r="J7" s="713">
        <v>2500</v>
      </c>
      <c r="K7" s="711">
        <v>3550</v>
      </c>
      <c r="L7" s="679">
        <v>-820</v>
      </c>
      <c r="M7" s="711">
        <v>1.42</v>
      </c>
      <c r="N7" s="713">
        <v>3000</v>
      </c>
      <c r="O7" s="711">
        <v>4260</v>
      </c>
      <c r="P7" s="679" t="s">
        <v>939</v>
      </c>
      <c r="Q7" s="679"/>
      <c r="R7" s="679"/>
      <c r="S7" s="679"/>
      <c r="T7" s="713">
        <v>1240</v>
      </c>
      <c r="U7" s="711">
        <v>1.42</v>
      </c>
      <c r="V7" s="713">
        <v>1000</v>
      </c>
      <c r="W7" s="711">
        <v>1420</v>
      </c>
      <c r="X7" s="679">
        <v>0</v>
      </c>
      <c r="Y7" s="711">
        <v>1.42</v>
      </c>
      <c r="Z7" s="713">
        <v>6000</v>
      </c>
      <c r="AA7" s="712">
        <v>8520</v>
      </c>
      <c r="AB7" s="679"/>
      <c r="AC7" s="680"/>
      <c r="AD7" s="679"/>
      <c r="AE7" s="680"/>
      <c r="AF7" s="726">
        <v>1480</v>
      </c>
      <c r="AG7" s="702">
        <v>1.42</v>
      </c>
      <c r="AH7" s="726">
        <v>2000</v>
      </c>
      <c r="AI7" s="684">
        <f>AG7*AH7</f>
      </c>
      <c r="AJ7" s="695">
        <v>600</v>
      </c>
      <c r="AK7" s="704">
        <v>1.42</v>
      </c>
      <c r="AL7" s="695">
        <v>6000</v>
      </c>
      <c r="AM7" s="706">
        <f>AL7*AK7</f>
      </c>
      <c r="AN7" s="720">
        <v>2500</v>
      </c>
      <c r="AO7" s="727">
        <v>1.42</v>
      </c>
      <c r="AP7" s="722">
        <v>4000</v>
      </c>
      <c r="AQ7" s="723">
        <f>AP7*AO7</f>
      </c>
      <c r="AR7" s="724"/>
      <c r="AS7" s="680"/>
      <c r="AT7" s="680"/>
      <c r="AU7" s="680"/>
      <c r="AV7" s="680"/>
      <c r="AW7" s="680"/>
      <c r="AX7" s="680"/>
      <c r="AY7" s="680"/>
    </row>
    <row r="8">
      <c r="A8" s="679">
        <v>5</v>
      </c>
      <c r="B8" s="679" t="s">
        <v>943</v>
      </c>
      <c r="C8" s="679" t="s">
        <v>938</v>
      </c>
      <c r="D8" s="679">
        <v>0</v>
      </c>
      <c r="E8" s="679"/>
      <c r="F8" s="679"/>
      <c r="G8" s="667"/>
      <c r="H8" s="679">
        <v>0</v>
      </c>
      <c r="I8" s="711">
        <v>3.5</v>
      </c>
      <c r="J8" s="679">
        <v>15</v>
      </c>
      <c r="K8" s="711">
        <v>52.5</v>
      </c>
      <c r="L8" s="679"/>
      <c r="M8" s="679"/>
      <c r="N8" s="679"/>
      <c r="O8" s="679"/>
      <c r="P8" s="679" t="s">
        <v>939</v>
      </c>
      <c r="Q8" s="679"/>
      <c r="R8" s="679"/>
      <c r="S8" s="679"/>
      <c r="T8" s="679" t="s">
        <v>939</v>
      </c>
      <c r="U8" s="679"/>
      <c r="V8" s="679"/>
      <c r="W8" s="679"/>
      <c r="X8" s="679" t="s">
        <v>939</v>
      </c>
      <c r="Y8" s="679"/>
      <c r="Z8" s="679"/>
      <c r="AA8" s="667"/>
      <c r="AB8" s="679"/>
      <c r="AC8" s="680"/>
      <c r="AD8" s="679"/>
      <c r="AE8" s="680"/>
      <c r="AF8" s="684"/>
      <c r="AG8" s="684"/>
      <c r="AH8" s="684"/>
      <c r="AI8" s="684"/>
      <c r="AJ8" s="705"/>
      <c r="AK8" s="714"/>
      <c r="AL8" s="705"/>
      <c r="AM8" s="706"/>
      <c r="AN8" s="715"/>
      <c r="AO8" s="716"/>
      <c r="AP8" s="717"/>
      <c r="AQ8" s="725"/>
      <c r="AR8" s="718"/>
      <c r="AS8" s="719"/>
      <c r="AT8" s="719"/>
      <c r="AU8" s="719"/>
      <c r="AV8" s="719"/>
      <c r="AW8" s="719"/>
      <c r="AX8" s="719"/>
      <c r="AY8" s="719"/>
    </row>
    <row r="9">
      <c r="A9" s="679">
        <v>6</v>
      </c>
      <c r="B9" s="679" t="s">
        <v>944</v>
      </c>
      <c r="C9" s="679" t="s">
        <v>938</v>
      </c>
      <c r="D9" s="679">
        <v>0</v>
      </c>
      <c r="E9" s="679"/>
      <c r="F9" s="679"/>
      <c r="G9" s="667"/>
      <c r="H9" s="679">
        <v>0</v>
      </c>
      <c r="I9" s="711">
        <v>4.4</v>
      </c>
      <c r="J9" s="679">
        <v>15</v>
      </c>
      <c r="K9" s="711">
        <v>66</v>
      </c>
      <c r="L9" s="679"/>
      <c r="M9" s="679"/>
      <c r="N9" s="679"/>
      <c r="O9" s="679"/>
      <c r="P9" s="679" t="s">
        <v>939</v>
      </c>
      <c r="Q9" s="679"/>
      <c r="R9" s="679"/>
      <c r="S9" s="679"/>
      <c r="T9" s="679" t="s">
        <v>939</v>
      </c>
      <c r="U9" s="679"/>
      <c r="V9" s="679"/>
      <c r="W9" s="679"/>
      <c r="X9" s="679" t="s">
        <v>939</v>
      </c>
      <c r="Y9" s="679"/>
      <c r="Z9" s="679"/>
      <c r="AA9" s="667"/>
      <c r="AB9" s="679"/>
      <c r="AC9" s="680"/>
      <c r="AD9" s="679"/>
      <c r="AE9" s="680"/>
      <c r="AF9" s="684"/>
      <c r="AG9" s="684"/>
      <c r="AH9" s="684"/>
      <c r="AI9" s="684"/>
      <c r="AJ9" s="705"/>
      <c r="AK9" s="714"/>
      <c r="AL9" s="705"/>
      <c r="AM9" s="706"/>
      <c r="AN9" s="715"/>
      <c r="AO9" s="716"/>
      <c r="AP9" s="717"/>
      <c r="AQ9" s="725"/>
      <c r="AR9" s="718"/>
      <c r="AS9" s="719"/>
      <c r="AT9" s="719"/>
      <c r="AU9" s="719"/>
      <c r="AV9" s="719"/>
      <c r="AW9" s="719"/>
      <c r="AX9" s="719"/>
      <c r="AY9" s="719"/>
    </row>
    <row r="10">
      <c r="A10" s="679">
        <v>7</v>
      </c>
      <c r="B10" s="679" t="s">
        <v>945</v>
      </c>
      <c r="C10" s="679" t="s">
        <v>938</v>
      </c>
      <c r="D10" s="679">
        <v>0</v>
      </c>
      <c r="E10" s="679"/>
      <c r="F10" s="679"/>
      <c r="G10" s="667"/>
      <c r="H10" s="679">
        <v>0</v>
      </c>
      <c r="I10" s="711">
        <v>3.6</v>
      </c>
      <c r="J10" s="679">
        <v>300</v>
      </c>
      <c r="K10" s="711">
        <v>1080</v>
      </c>
      <c r="L10" s="679">
        <v>170</v>
      </c>
      <c r="M10" s="711">
        <v>3.6</v>
      </c>
      <c r="N10" s="679">
        <v>170</v>
      </c>
      <c r="O10" s="711">
        <v>612</v>
      </c>
      <c r="P10" s="679" t="s">
        <v>939</v>
      </c>
      <c r="Q10" s="679"/>
      <c r="R10" s="679"/>
      <c r="S10" s="679"/>
      <c r="T10" s="679" t="s">
        <v>939</v>
      </c>
      <c r="U10" s="679"/>
      <c r="V10" s="679"/>
      <c r="W10" s="679"/>
      <c r="X10" s="679" t="s">
        <v>939</v>
      </c>
      <c r="Y10" s="679"/>
      <c r="Z10" s="679"/>
      <c r="AA10" s="667"/>
      <c r="AB10" s="679"/>
      <c r="AC10" s="680"/>
      <c r="AD10" s="679"/>
      <c r="AE10" s="680"/>
      <c r="AF10" s="684"/>
      <c r="AG10" s="684"/>
      <c r="AH10" s="684"/>
      <c r="AI10" s="684"/>
      <c r="AJ10" s="705"/>
      <c r="AK10" s="714"/>
      <c r="AL10" s="705"/>
      <c r="AM10" s="706"/>
      <c r="AN10" s="715"/>
      <c r="AO10" s="716"/>
      <c r="AP10" s="717"/>
      <c r="AQ10" s="725"/>
      <c r="AR10" s="718"/>
      <c r="AS10" s="719"/>
      <c r="AT10" s="719"/>
      <c r="AU10" s="719"/>
      <c r="AV10" s="719"/>
      <c r="AW10" s="719"/>
      <c r="AX10" s="719"/>
      <c r="AY10" s="719"/>
    </row>
    <row r="11">
      <c r="A11" s="679">
        <v>8</v>
      </c>
      <c r="B11" s="679" t="s">
        <v>946</v>
      </c>
      <c r="C11" s="679" t="s">
        <v>938</v>
      </c>
      <c r="D11" s="679">
        <v>0</v>
      </c>
      <c r="E11" s="679"/>
      <c r="F11" s="679"/>
      <c r="G11" s="667"/>
      <c r="H11" s="679">
        <v>0</v>
      </c>
      <c r="I11" s="711">
        <v>4.9</v>
      </c>
      <c r="J11" s="679">
        <v>50</v>
      </c>
      <c r="K11" s="711">
        <v>245</v>
      </c>
      <c r="L11" s="679"/>
      <c r="M11" s="679"/>
      <c r="N11" s="679"/>
      <c r="O11" s="679"/>
      <c r="P11" s="679" t="s">
        <v>939</v>
      </c>
      <c r="Q11" s="679"/>
      <c r="R11" s="679"/>
      <c r="S11" s="679"/>
      <c r="T11" s="679" t="s">
        <v>939</v>
      </c>
      <c r="U11" s="679"/>
      <c r="V11" s="679"/>
      <c r="W11" s="679"/>
      <c r="X11" s="679" t="s">
        <v>939</v>
      </c>
      <c r="Y11" s="679"/>
      <c r="Z11" s="679"/>
      <c r="AA11" s="667"/>
      <c r="AB11" s="679">
        <v>0</v>
      </c>
      <c r="AC11" s="728">
        <v>5</v>
      </c>
      <c r="AD11" s="713">
        <v>3000</v>
      </c>
      <c r="AE11" s="728">
        <v>15000</v>
      </c>
      <c r="AF11" s="729"/>
      <c r="AG11" s="729"/>
      <c r="AH11" s="729"/>
      <c r="AI11" s="729"/>
      <c r="AJ11" s="730"/>
      <c r="AK11" s="731"/>
      <c r="AL11" s="705"/>
      <c r="AM11" s="732"/>
      <c r="AN11" s="733"/>
      <c r="AO11" s="734"/>
      <c r="AP11" s="735"/>
      <c r="AQ11" s="725"/>
      <c r="AR11" s="736"/>
      <c r="AS11" s="737"/>
      <c r="AT11" s="737"/>
      <c r="AU11" s="737"/>
      <c r="AV11" s="737"/>
      <c r="AW11" s="737"/>
      <c r="AX11" s="737"/>
      <c r="AY11" s="737"/>
    </row>
    <row r="12">
      <c r="A12" s="679">
        <v>9</v>
      </c>
      <c r="B12" s="699" t="s">
        <v>947</v>
      </c>
      <c r="C12" s="679" t="s">
        <v>938</v>
      </c>
      <c r="D12" s="679">
        <v>0</v>
      </c>
      <c r="E12" s="679"/>
      <c r="F12" s="679"/>
      <c r="G12" s="667"/>
      <c r="H12" s="679"/>
      <c r="I12" s="679"/>
      <c r="J12" s="679"/>
      <c r="K12" s="679"/>
      <c r="L12" s="679"/>
      <c r="M12" s="679"/>
      <c r="N12" s="679"/>
      <c r="O12" s="679"/>
      <c r="P12" s="679"/>
      <c r="Q12" s="679"/>
      <c r="R12" s="679"/>
      <c r="S12" s="679"/>
      <c r="T12" s="679"/>
      <c r="U12" s="679"/>
      <c r="V12" s="679"/>
      <c r="W12" s="679"/>
      <c r="X12" s="679"/>
      <c r="Y12" s="679"/>
      <c r="Z12" s="679"/>
      <c r="AA12" s="667"/>
      <c r="AB12" s="679">
        <v>0</v>
      </c>
      <c r="AC12" s="728">
        <v>3.9</v>
      </c>
      <c r="AD12" s="713">
        <v>3000</v>
      </c>
      <c r="AE12" s="728">
        <v>11700</v>
      </c>
      <c r="AF12" s="729"/>
      <c r="AG12" s="729"/>
      <c r="AH12" s="729"/>
      <c r="AI12" s="729"/>
      <c r="AJ12" s="730"/>
      <c r="AK12" s="731"/>
      <c r="AL12" s="705"/>
      <c r="AM12" s="732"/>
      <c r="AN12" s="733"/>
      <c r="AO12" s="734"/>
      <c r="AP12" s="735"/>
      <c r="AQ12" s="725"/>
      <c r="AR12" s="736"/>
      <c r="AS12" s="737"/>
      <c r="AT12" s="737"/>
      <c r="AU12" s="737"/>
      <c r="AV12" s="737"/>
      <c r="AW12" s="737"/>
      <c r="AX12" s="737"/>
      <c r="AY12" s="737"/>
    </row>
    <row r="13">
      <c r="A13" s="679">
        <v>11</v>
      </c>
      <c r="B13" s="699" t="s">
        <v>948</v>
      </c>
      <c r="C13" s="679" t="s">
        <v>938</v>
      </c>
      <c r="D13" s="679">
        <v>0</v>
      </c>
      <c r="E13" s="679"/>
      <c r="F13" s="679"/>
      <c r="G13" s="667"/>
      <c r="H13" s="679">
        <v>0</v>
      </c>
      <c r="I13" s="679"/>
      <c r="J13" s="679"/>
      <c r="K13" s="679"/>
      <c r="L13" s="679" t="s">
        <v>949</v>
      </c>
      <c r="M13" s="679"/>
      <c r="N13" s="679"/>
      <c r="O13" s="679"/>
      <c r="P13" s="679" t="s">
        <v>939</v>
      </c>
      <c r="Q13" s="679"/>
      <c r="R13" s="679"/>
      <c r="S13" s="679"/>
      <c r="T13" s="679">
        <v>0</v>
      </c>
      <c r="U13" s="711">
        <v>2.35</v>
      </c>
      <c r="V13" s="713">
        <v>1000</v>
      </c>
      <c r="W13" s="711">
        <v>2350</v>
      </c>
      <c r="X13" s="713">
        <v>1000</v>
      </c>
      <c r="Y13" s="711">
        <v>2.35</v>
      </c>
      <c r="Z13" s="713">
        <v>1000</v>
      </c>
      <c r="AA13" s="712">
        <v>2350</v>
      </c>
      <c r="AB13" s="679"/>
      <c r="AC13" s="680"/>
      <c r="AD13" s="679"/>
      <c r="AE13" s="680"/>
      <c r="AF13" s="684"/>
      <c r="AG13" s="684"/>
      <c r="AH13" s="684"/>
      <c r="AI13" s="684"/>
      <c r="AJ13" s="695">
        <v>800</v>
      </c>
      <c r="AK13" s="704">
        <v>2.35</v>
      </c>
      <c r="AL13" s="695">
        <v>1000</v>
      </c>
      <c r="AM13" s="706">
        <f>AL13*AK13</f>
      </c>
      <c r="AN13" s="720">
        <v>400</v>
      </c>
      <c r="AO13" s="727">
        <v>2.35</v>
      </c>
      <c r="AP13" s="722">
        <v>4000</v>
      </c>
      <c r="AQ13" s="723">
        <f>AP13*AO13</f>
      </c>
      <c r="AR13" s="724"/>
      <c r="AS13" s="680"/>
      <c r="AT13" s="680"/>
      <c r="AU13" s="680"/>
      <c r="AV13" s="680"/>
      <c r="AW13" s="680"/>
      <c r="AX13" s="680"/>
      <c r="AY13" s="680"/>
    </row>
    <row r="14">
      <c r="A14" s="679">
        <v>12</v>
      </c>
      <c r="B14" s="699" t="s">
        <v>950</v>
      </c>
      <c r="C14" s="679" t="s">
        <v>938</v>
      </c>
      <c r="D14" s="679">
        <v>0</v>
      </c>
      <c r="E14" s="679"/>
      <c r="F14" s="679"/>
      <c r="G14" s="667"/>
      <c r="H14" s="679">
        <v>0</v>
      </c>
      <c r="I14" s="679"/>
      <c r="J14" s="679"/>
      <c r="K14" s="679"/>
      <c r="L14" s="679" t="s">
        <v>949</v>
      </c>
      <c r="M14" s="679"/>
      <c r="N14" s="679"/>
      <c r="O14" s="679"/>
      <c r="P14" s="679" t="s">
        <v>939</v>
      </c>
      <c r="Q14" s="679"/>
      <c r="R14" s="679"/>
      <c r="S14" s="679"/>
      <c r="T14" s="679">
        <v>0</v>
      </c>
      <c r="U14" s="711">
        <v>3.9</v>
      </c>
      <c r="V14" s="713">
        <v>1000</v>
      </c>
      <c r="W14" s="711">
        <v>3900</v>
      </c>
      <c r="X14" s="713">
        <v>1000</v>
      </c>
      <c r="Y14" s="711">
        <v>3.9</v>
      </c>
      <c r="Z14" s="713">
        <v>1000</v>
      </c>
      <c r="AA14" s="712">
        <v>3900</v>
      </c>
      <c r="AB14" s="679"/>
      <c r="AC14" s="680"/>
      <c r="AD14" s="679"/>
      <c r="AE14" s="680"/>
      <c r="AF14" s="684"/>
      <c r="AG14" s="684"/>
      <c r="AH14" s="684"/>
      <c r="AI14" s="684"/>
      <c r="AJ14" s="705"/>
      <c r="AK14" s="714"/>
      <c r="AL14" s="705"/>
      <c r="AM14" s="706"/>
      <c r="AN14" s="715"/>
      <c r="AO14" s="716"/>
      <c r="AP14" s="717"/>
      <c r="AQ14" s="725"/>
      <c r="AR14" s="718"/>
      <c r="AS14" s="719"/>
      <c r="AT14" s="719"/>
      <c r="AU14" s="719"/>
      <c r="AV14" s="719"/>
      <c r="AW14" s="719"/>
      <c r="AX14" s="719"/>
      <c r="AY14" s="719"/>
    </row>
    <row r="15">
      <c r="A15" s="679">
        <v>13</v>
      </c>
      <c r="B15" s="699" t="s">
        <v>951</v>
      </c>
      <c r="C15" s="679" t="s">
        <v>938</v>
      </c>
      <c r="D15" s="679">
        <v>0</v>
      </c>
      <c r="E15" s="679"/>
      <c r="F15" s="679"/>
      <c r="G15" s="667"/>
      <c r="H15" s="679">
        <v>0</v>
      </c>
      <c r="I15" s="679"/>
      <c r="J15" s="679"/>
      <c r="K15" s="679"/>
      <c r="L15" s="679">
        <v>0</v>
      </c>
      <c r="M15" s="679"/>
      <c r="N15" s="679"/>
      <c r="O15" s="679"/>
      <c r="P15" s="679">
        <v>0</v>
      </c>
      <c r="Q15" s="679"/>
      <c r="R15" s="679"/>
      <c r="S15" s="679"/>
      <c r="T15" s="679">
        <v>0</v>
      </c>
      <c r="U15" s="679"/>
      <c r="V15" s="679">
        <v>0</v>
      </c>
      <c r="W15" s="711">
        <v>0</v>
      </c>
      <c r="X15" s="679">
        <v>0</v>
      </c>
      <c r="Y15" s="711">
        <v>7</v>
      </c>
      <c r="Z15" s="713">
        <v>1000</v>
      </c>
      <c r="AA15" s="712">
        <v>7000</v>
      </c>
      <c r="AB15" s="679"/>
      <c r="AC15" s="680"/>
      <c r="AD15" s="679"/>
      <c r="AE15" s="680"/>
      <c r="AF15" s="684"/>
      <c r="AG15" s="684"/>
      <c r="AH15" s="684"/>
      <c r="AI15" s="684"/>
      <c r="AJ15" s="705"/>
      <c r="AK15" s="714"/>
      <c r="AL15" s="705"/>
      <c r="AM15" s="706"/>
      <c r="AN15" s="715"/>
      <c r="AO15" s="716"/>
      <c r="AP15" s="717"/>
      <c r="AQ15" s="725"/>
      <c r="AR15" s="718"/>
      <c r="AS15" s="719"/>
      <c r="AT15" s="719"/>
      <c r="AU15" s="719"/>
      <c r="AV15" s="719"/>
      <c r="AW15" s="719"/>
      <c r="AX15" s="719"/>
      <c r="AY15" s="719"/>
    </row>
    <row r="16">
      <c r="A16" s="679">
        <v>14</v>
      </c>
      <c r="B16" s="679" t="s">
        <v>952</v>
      </c>
      <c r="C16" s="679" t="s">
        <v>953</v>
      </c>
      <c r="D16" s="679">
        <v>0</v>
      </c>
      <c r="E16" s="711">
        <v>8</v>
      </c>
      <c r="F16" s="679">
        <v>50</v>
      </c>
      <c r="G16" s="712">
        <v>400</v>
      </c>
      <c r="H16" s="679">
        <v>0</v>
      </c>
      <c r="I16" s="711">
        <v>8</v>
      </c>
      <c r="J16" s="679">
        <v>100</v>
      </c>
      <c r="K16" s="711">
        <v>800</v>
      </c>
      <c r="L16" s="679">
        <v>-500</v>
      </c>
      <c r="M16" s="711">
        <v>8</v>
      </c>
      <c r="N16" s="679">
        <v>500</v>
      </c>
      <c r="O16" s="711">
        <v>4000</v>
      </c>
      <c r="P16" s="679" t="s">
        <v>939</v>
      </c>
      <c r="Q16" s="679"/>
      <c r="R16" s="679"/>
      <c r="S16" s="679"/>
      <c r="T16" s="679">
        <v>340</v>
      </c>
      <c r="U16" s="711">
        <v>8</v>
      </c>
      <c r="V16" s="679">
        <v>200</v>
      </c>
      <c r="W16" s="711">
        <v>1600</v>
      </c>
      <c r="X16" s="679">
        <v>425</v>
      </c>
      <c r="Y16" s="711">
        <v>8</v>
      </c>
      <c r="Z16" s="679">
        <v>150</v>
      </c>
      <c r="AA16" s="712">
        <v>1200</v>
      </c>
      <c r="AB16" s="679"/>
      <c r="AC16" s="680"/>
      <c r="AD16" s="679"/>
      <c r="AE16" s="680"/>
      <c r="AF16" s="684"/>
      <c r="AG16" s="684"/>
      <c r="AH16" s="684"/>
      <c r="AI16" s="684"/>
      <c r="AJ16" s="705"/>
      <c r="AK16" s="706"/>
      <c r="AL16" s="705"/>
      <c r="AM16" s="706"/>
      <c r="AN16" s="720">
        <v>150</v>
      </c>
      <c r="AO16" s="727">
        <v>8</v>
      </c>
      <c r="AP16" s="722">
        <v>600</v>
      </c>
      <c r="AQ16" s="723">
        <f t="shared" ref="AQ16:AQ18" si="0">AP16*AO16</f>
      </c>
      <c r="AR16" s="724"/>
      <c r="AS16" s="680"/>
      <c r="AT16" s="680"/>
      <c r="AU16" s="680"/>
      <c r="AV16" s="680"/>
      <c r="AW16" s="680"/>
      <c r="AX16" s="680"/>
      <c r="AY16" s="680"/>
    </row>
    <row r="17">
      <c r="A17" s="679">
        <v>15</v>
      </c>
      <c r="B17" s="679" t="s">
        <v>954</v>
      </c>
      <c r="C17" s="679" t="s">
        <v>938</v>
      </c>
      <c r="D17" s="679">
        <v>0</v>
      </c>
      <c r="E17" s="679"/>
      <c r="F17" s="679"/>
      <c r="G17" s="667"/>
      <c r="H17" s="679">
        <v>0</v>
      </c>
      <c r="I17" s="711">
        <v>0.16</v>
      </c>
      <c r="J17" s="713">
        <v>2100</v>
      </c>
      <c r="K17" s="711">
        <v>336</v>
      </c>
      <c r="L17" s="679">
        <v>0</v>
      </c>
      <c r="M17" s="711">
        <v>0.16</v>
      </c>
      <c r="N17" s="713">
        <v>2000</v>
      </c>
      <c r="O17" s="711">
        <v>320</v>
      </c>
      <c r="P17" s="679" t="s">
        <v>939</v>
      </c>
      <c r="Q17" s="679"/>
      <c r="R17" s="679"/>
      <c r="S17" s="679"/>
      <c r="T17" s="679">
        <v>0</v>
      </c>
      <c r="U17" s="711">
        <v>0.16</v>
      </c>
      <c r="V17" s="713">
        <v>6200</v>
      </c>
      <c r="W17" s="711">
        <v>992</v>
      </c>
      <c r="X17" s="713">
        <v>6000</v>
      </c>
      <c r="Y17" s="711">
        <v>0.16</v>
      </c>
      <c r="Z17" s="713">
        <v>1000</v>
      </c>
      <c r="AA17" s="712">
        <v>160</v>
      </c>
      <c r="AB17" s="679"/>
      <c r="AC17" s="680"/>
      <c r="AD17" s="679"/>
      <c r="AE17" s="680"/>
      <c r="AF17" s="684"/>
      <c r="AG17" s="684"/>
      <c r="AH17" s="684"/>
      <c r="AI17" s="684"/>
      <c r="AJ17" s="705"/>
      <c r="AK17" s="706"/>
      <c r="AL17" s="705"/>
      <c r="AM17" s="706"/>
      <c r="AN17" s="720">
        <v>500</v>
      </c>
      <c r="AO17" s="738">
        <v>0.15</v>
      </c>
      <c r="AP17" s="722">
        <v>10000</v>
      </c>
      <c r="AQ17" s="723">
        <f t="shared" si="0"/>
      </c>
      <c r="AR17" s="724"/>
      <c r="AS17" s="680"/>
      <c r="AT17" s="680"/>
      <c r="AU17" s="680"/>
      <c r="AV17" s="680"/>
      <c r="AW17" s="680"/>
      <c r="AX17" s="680"/>
      <c r="AY17" s="680"/>
    </row>
    <row r="18">
      <c r="A18" s="679">
        <v>16</v>
      </c>
      <c r="B18" s="679" t="s">
        <v>955</v>
      </c>
      <c r="C18" s="679" t="s">
        <v>953</v>
      </c>
      <c r="D18" s="679">
        <v>0</v>
      </c>
      <c r="E18" s="679"/>
      <c r="F18" s="679"/>
      <c r="G18" s="667"/>
      <c r="H18" s="679">
        <v>0</v>
      </c>
      <c r="I18" s="711">
        <v>40</v>
      </c>
      <c r="J18" s="679">
        <v>14</v>
      </c>
      <c r="K18" s="711">
        <v>560</v>
      </c>
      <c r="L18" s="679" t="s">
        <v>949</v>
      </c>
      <c r="M18" s="679"/>
      <c r="N18" s="679"/>
      <c r="O18" s="679"/>
      <c r="P18" s="679" t="s">
        <v>939</v>
      </c>
      <c r="Q18" s="711">
        <v>41.7</v>
      </c>
      <c r="R18" s="679">
        <v>12</v>
      </c>
      <c r="S18" s="711">
        <v>500.4</v>
      </c>
      <c r="T18" s="679">
        <v>0</v>
      </c>
      <c r="U18" s="711">
        <v>41</v>
      </c>
      <c r="V18" s="679">
        <v>50</v>
      </c>
      <c r="W18" s="711">
        <v>2050</v>
      </c>
      <c r="X18" s="679">
        <v>44</v>
      </c>
      <c r="Y18" s="711">
        <v>41</v>
      </c>
      <c r="Z18" s="679">
        <v>36</v>
      </c>
      <c r="AA18" s="712">
        <v>1476</v>
      </c>
      <c r="AB18" s="679"/>
      <c r="AC18" s="680"/>
      <c r="AD18" s="679"/>
      <c r="AE18" s="680"/>
      <c r="AF18" s="684"/>
      <c r="AG18" s="684"/>
      <c r="AH18" s="684"/>
      <c r="AI18" s="684"/>
      <c r="AJ18" s="705"/>
      <c r="AK18" s="706"/>
      <c r="AL18" s="705"/>
      <c r="AM18" s="706"/>
      <c r="AN18" s="720">
        <v>25</v>
      </c>
      <c r="AO18" s="727">
        <v>41</v>
      </c>
      <c r="AP18" s="722">
        <v>30</v>
      </c>
      <c r="AQ18" s="723">
        <f t="shared" si="0"/>
      </c>
      <c r="AR18" s="724"/>
      <c r="AS18" s="680"/>
      <c r="AT18" s="680"/>
      <c r="AU18" s="680"/>
      <c r="AV18" s="680"/>
      <c r="AW18" s="680"/>
      <c r="AX18" s="680"/>
      <c r="AY18" s="680"/>
    </row>
    <row r="19">
      <c r="A19" s="679">
        <v>17</v>
      </c>
      <c r="B19" s="699" t="s">
        <v>956</v>
      </c>
      <c r="C19" s="679" t="s">
        <v>938</v>
      </c>
      <c r="D19" s="679">
        <v>0</v>
      </c>
      <c r="E19" s="711">
        <v>1</v>
      </c>
      <c r="F19" s="679">
        <v>100</v>
      </c>
      <c r="G19" s="712">
        <v>100</v>
      </c>
      <c r="H19" s="679" t="s">
        <v>949</v>
      </c>
      <c r="I19" s="679"/>
      <c r="J19" s="679"/>
      <c r="K19" s="679"/>
      <c r="L19" s="679" t="s">
        <v>949</v>
      </c>
      <c r="M19" s="679"/>
      <c r="N19" s="679"/>
      <c r="O19" s="679"/>
      <c r="P19" s="679" t="s">
        <v>949</v>
      </c>
      <c r="Q19" s="679"/>
      <c r="R19" s="679"/>
      <c r="S19" s="679"/>
      <c r="T19" s="679" t="s">
        <v>949</v>
      </c>
      <c r="U19" s="679"/>
      <c r="V19" s="679">
        <v>0</v>
      </c>
      <c r="W19" s="711">
        <v>0</v>
      </c>
      <c r="X19" s="679">
        <v>100</v>
      </c>
      <c r="Y19" s="711">
        <v>1</v>
      </c>
      <c r="Z19" s="679">
        <v>200</v>
      </c>
      <c r="AA19" s="712">
        <v>200</v>
      </c>
      <c r="AB19" s="679"/>
      <c r="AC19" s="680"/>
      <c r="AD19" s="679"/>
      <c r="AE19" s="680"/>
      <c r="AF19" s="684"/>
      <c r="AG19" s="684"/>
      <c r="AH19" s="684"/>
      <c r="AI19" s="684"/>
      <c r="AJ19" s="705"/>
      <c r="AK19" s="714"/>
      <c r="AL19" s="705"/>
      <c r="AM19" s="706"/>
      <c r="AN19" s="715"/>
      <c r="AO19" s="716"/>
      <c r="AP19" s="717"/>
      <c r="AQ19" s="725"/>
      <c r="AR19" s="718"/>
      <c r="AS19" s="719"/>
      <c r="AT19" s="719"/>
      <c r="AU19" s="719"/>
      <c r="AV19" s="719"/>
      <c r="AW19" s="719"/>
      <c r="AX19" s="719"/>
      <c r="AY19" s="719"/>
    </row>
    <row r="20">
      <c r="A20" s="679">
        <v>18</v>
      </c>
      <c r="B20" s="699" t="s">
        <v>957</v>
      </c>
      <c r="C20" s="679" t="s">
        <v>938</v>
      </c>
      <c r="D20" s="679">
        <v>0</v>
      </c>
      <c r="E20" s="711">
        <v>2.6</v>
      </c>
      <c r="F20" s="679">
        <v>100</v>
      </c>
      <c r="G20" s="712">
        <v>260</v>
      </c>
      <c r="H20" s="679" t="s">
        <v>949</v>
      </c>
      <c r="I20" s="679"/>
      <c r="J20" s="679"/>
      <c r="K20" s="679"/>
      <c r="L20" s="679" t="s">
        <v>949</v>
      </c>
      <c r="M20" s="679"/>
      <c r="N20" s="679"/>
      <c r="O20" s="679"/>
      <c r="P20" s="679" t="s">
        <v>949</v>
      </c>
      <c r="Q20" s="679"/>
      <c r="R20" s="679"/>
      <c r="S20" s="679"/>
      <c r="T20" s="679" t="s">
        <v>949</v>
      </c>
      <c r="U20" s="679"/>
      <c r="V20" s="679">
        <v>0</v>
      </c>
      <c r="W20" s="711">
        <v>0</v>
      </c>
      <c r="X20" s="679">
        <v>100</v>
      </c>
      <c r="Y20" s="711">
        <v>2.6</v>
      </c>
      <c r="Z20" s="679">
        <v>200</v>
      </c>
      <c r="AA20" s="712">
        <v>520</v>
      </c>
      <c r="AB20" s="679"/>
      <c r="AC20" s="680"/>
      <c r="AD20" s="679"/>
      <c r="AE20" s="680"/>
      <c r="AF20" s="684"/>
      <c r="AG20" s="684"/>
      <c r="AH20" s="684"/>
      <c r="AI20" s="684"/>
      <c r="AJ20" s="705"/>
      <c r="AK20" s="714"/>
      <c r="AL20" s="705"/>
      <c r="AM20" s="706"/>
      <c r="AN20" s="715"/>
      <c r="AO20" s="716"/>
      <c r="AP20" s="717"/>
      <c r="AQ20" s="725"/>
      <c r="AR20" s="718"/>
      <c r="AS20" s="719"/>
      <c r="AT20" s="719"/>
      <c r="AU20" s="719"/>
      <c r="AV20" s="719"/>
      <c r="AW20" s="719"/>
      <c r="AX20" s="719"/>
      <c r="AY20" s="719"/>
    </row>
    <row r="21">
      <c r="A21" s="679">
        <v>19</v>
      </c>
      <c r="B21" s="679" t="s">
        <v>958</v>
      </c>
      <c r="C21" s="679" t="s">
        <v>953</v>
      </c>
      <c r="D21" s="679">
        <v>0</v>
      </c>
      <c r="E21" s="679"/>
      <c r="F21" s="679"/>
      <c r="G21" s="667"/>
      <c r="H21" s="679">
        <v>0</v>
      </c>
      <c r="I21" s="679"/>
      <c r="J21" s="679"/>
      <c r="K21" s="679"/>
      <c r="L21" s="679">
        <v>0</v>
      </c>
      <c r="M21" s="679"/>
      <c r="N21" s="679"/>
      <c r="O21" s="679"/>
      <c r="P21" s="679">
        <v>0</v>
      </c>
      <c r="Q21" s="679"/>
      <c r="R21" s="679"/>
      <c r="S21" s="679"/>
      <c r="T21" s="679">
        <v>0</v>
      </c>
      <c r="U21" s="679"/>
      <c r="V21" s="679">
        <v>0</v>
      </c>
      <c r="W21" s="711">
        <v>0</v>
      </c>
      <c r="X21" s="679">
        <v>0</v>
      </c>
      <c r="Y21" s="711">
        <v>35</v>
      </c>
      <c r="Z21" s="679">
        <v>3</v>
      </c>
      <c r="AA21" s="712">
        <v>105</v>
      </c>
      <c r="AB21" s="679"/>
      <c r="AC21" s="680"/>
      <c r="AD21" s="679"/>
      <c r="AE21" s="680"/>
      <c r="AF21" s="684"/>
      <c r="AG21" s="684"/>
      <c r="AH21" s="684"/>
      <c r="AI21" s="684"/>
      <c r="AJ21" s="705"/>
      <c r="AK21" s="706"/>
      <c r="AL21" s="705"/>
      <c r="AM21" s="706"/>
      <c r="AN21" s="720">
        <v>0</v>
      </c>
      <c r="AO21" s="727">
        <v>35</v>
      </c>
      <c r="AP21" s="722">
        <v>150</v>
      </c>
      <c r="AQ21" s="723">
        <f>AP21*AO21</f>
      </c>
      <c r="AR21" s="724"/>
      <c r="AS21" s="680"/>
      <c r="AT21" s="680"/>
      <c r="AU21" s="680"/>
      <c r="AV21" s="680"/>
      <c r="AW21" s="680"/>
      <c r="AX21" s="680"/>
      <c r="AY21" s="680"/>
    </row>
    <row r="22">
      <c r="A22" s="679">
        <v>20</v>
      </c>
      <c r="B22" s="679" t="s">
        <v>959</v>
      </c>
      <c r="C22" s="679" t="s">
        <v>953</v>
      </c>
      <c r="D22" s="679">
        <v>0</v>
      </c>
      <c r="E22" s="679"/>
      <c r="F22" s="679"/>
      <c r="G22" s="667"/>
      <c r="H22" s="679">
        <v>0</v>
      </c>
      <c r="I22" s="679"/>
      <c r="J22" s="679"/>
      <c r="K22" s="679"/>
      <c r="L22" s="679">
        <v>0</v>
      </c>
      <c r="M22" s="679"/>
      <c r="N22" s="679"/>
      <c r="O22" s="679"/>
      <c r="P22" s="679">
        <v>0</v>
      </c>
      <c r="Q22" s="679"/>
      <c r="R22" s="679"/>
      <c r="S22" s="679"/>
      <c r="T22" s="679">
        <v>0</v>
      </c>
      <c r="U22" s="679"/>
      <c r="V22" s="679">
        <v>0</v>
      </c>
      <c r="W22" s="711">
        <v>0</v>
      </c>
      <c r="X22" s="679">
        <v>0</v>
      </c>
      <c r="Y22" s="711">
        <v>35</v>
      </c>
      <c r="Z22" s="679">
        <v>94</v>
      </c>
      <c r="AA22" s="712">
        <v>3290</v>
      </c>
      <c r="AB22" s="679"/>
      <c r="AC22" s="680"/>
      <c r="AD22" s="679"/>
      <c r="AE22" s="680"/>
      <c r="AF22" s="684"/>
      <c r="AG22" s="684"/>
      <c r="AH22" s="684"/>
      <c r="AI22" s="684"/>
      <c r="AJ22" s="705"/>
      <c r="AK22" s="714"/>
      <c r="AL22" s="705"/>
      <c r="AM22" s="706"/>
      <c r="AN22" s="715"/>
      <c r="AO22" s="716"/>
      <c r="AP22" s="717"/>
      <c r="AQ22" s="725"/>
      <c r="AR22" s="718"/>
      <c r="AS22" s="719"/>
      <c r="AT22" s="719"/>
      <c r="AU22" s="719"/>
      <c r="AV22" s="719"/>
      <c r="AW22" s="719"/>
      <c r="AX22" s="719"/>
      <c r="AY22" s="719"/>
    </row>
    <row r="23">
      <c r="A23" s="679">
        <v>21</v>
      </c>
      <c r="B23" s="679" t="s">
        <v>960</v>
      </c>
      <c r="C23" s="679" t="s">
        <v>953</v>
      </c>
      <c r="D23" s="679">
        <v>0</v>
      </c>
      <c r="E23" s="679"/>
      <c r="F23" s="679"/>
      <c r="G23" s="667"/>
      <c r="H23" s="679">
        <v>0</v>
      </c>
      <c r="I23" s="679"/>
      <c r="J23" s="679"/>
      <c r="K23" s="679"/>
      <c r="L23" s="679">
        <v>0</v>
      </c>
      <c r="M23" s="679"/>
      <c r="N23" s="679"/>
      <c r="O23" s="679"/>
      <c r="P23" s="679">
        <v>0</v>
      </c>
      <c r="Q23" s="679"/>
      <c r="R23" s="679"/>
      <c r="S23" s="679"/>
      <c r="T23" s="679">
        <v>0</v>
      </c>
      <c r="U23" s="679"/>
      <c r="V23" s="679">
        <v>0</v>
      </c>
      <c r="W23" s="711">
        <v>0</v>
      </c>
      <c r="X23" s="679">
        <v>0</v>
      </c>
      <c r="Y23" s="711">
        <v>40</v>
      </c>
      <c r="Z23" s="679">
        <v>10</v>
      </c>
      <c r="AA23" s="712">
        <v>400</v>
      </c>
      <c r="AB23" s="679"/>
      <c r="AC23" s="680"/>
      <c r="AD23" s="679"/>
      <c r="AE23" s="680"/>
      <c r="AF23" s="684"/>
      <c r="AG23" s="684"/>
      <c r="AH23" s="684"/>
      <c r="AI23" s="684"/>
      <c r="AJ23" s="705"/>
      <c r="AK23" s="714"/>
      <c r="AL23" s="705"/>
      <c r="AM23" s="706"/>
      <c r="AN23" s="715"/>
      <c r="AO23" s="716"/>
      <c r="AP23" s="717"/>
      <c r="AQ23" s="725"/>
      <c r="AR23" s="718"/>
      <c r="AS23" s="719"/>
      <c r="AT23" s="719"/>
      <c r="AU23" s="719"/>
      <c r="AV23" s="719"/>
      <c r="AW23" s="719"/>
      <c r="AX23" s="719"/>
      <c r="AY23" s="719"/>
    </row>
    <row r="24">
      <c r="A24" s="679">
        <v>22</v>
      </c>
      <c r="B24" s="679" t="s">
        <v>961</v>
      </c>
      <c r="C24" s="679" t="s">
        <v>938</v>
      </c>
      <c r="D24" s="679">
        <v>0</v>
      </c>
      <c r="E24" s="679"/>
      <c r="F24" s="679"/>
      <c r="G24" s="667"/>
      <c r="H24" s="679">
        <v>0</v>
      </c>
      <c r="I24" s="679"/>
      <c r="J24" s="679"/>
      <c r="K24" s="679"/>
      <c r="L24" s="679">
        <v>0</v>
      </c>
      <c r="M24" s="679"/>
      <c r="N24" s="679"/>
      <c r="O24" s="679"/>
      <c r="P24" s="679">
        <v>0</v>
      </c>
      <c r="Q24" s="679"/>
      <c r="R24" s="679"/>
      <c r="S24" s="679"/>
      <c r="T24" s="679">
        <v>0</v>
      </c>
      <c r="U24" s="679"/>
      <c r="V24" s="679">
        <v>0</v>
      </c>
      <c r="W24" s="711">
        <v>0</v>
      </c>
      <c r="X24" s="679">
        <v>0</v>
      </c>
      <c r="Y24" s="711">
        <v>119</v>
      </c>
      <c r="Z24" s="679">
        <v>2</v>
      </c>
      <c r="AA24" s="712">
        <v>238</v>
      </c>
      <c r="AB24" s="679"/>
      <c r="AC24" s="680"/>
      <c r="AD24" s="679"/>
      <c r="AE24" s="680"/>
      <c r="AF24" s="684"/>
      <c r="AG24" s="684"/>
      <c r="AH24" s="684"/>
      <c r="AI24" s="684"/>
      <c r="AJ24" s="705"/>
      <c r="AK24" s="714"/>
      <c r="AL24" s="705"/>
      <c r="AM24" s="706"/>
      <c r="AN24" s="715"/>
      <c r="AO24" s="716"/>
      <c r="AP24" s="717"/>
      <c r="AQ24" s="725"/>
      <c r="AR24" s="718"/>
      <c r="AS24" s="719"/>
      <c r="AT24" s="719"/>
      <c r="AU24" s="719"/>
      <c r="AV24" s="719"/>
      <c r="AW24" s="719"/>
      <c r="AX24" s="719"/>
      <c r="AY24" s="719"/>
    </row>
    <row r="25">
      <c r="A25" s="679">
        <v>23</v>
      </c>
      <c r="B25" s="679" t="s">
        <v>962</v>
      </c>
      <c r="C25" s="679" t="s">
        <v>938</v>
      </c>
      <c r="D25" s="679">
        <v>0</v>
      </c>
      <c r="E25" s="711">
        <v>0.17</v>
      </c>
      <c r="F25" s="679">
        <v>4000</v>
      </c>
      <c r="G25" s="712">
        <v>680</v>
      </c>
      <c r="H25" s="679">
        <v>0</v>
      </c>
      <c r="I25" s="711">
        <v>0.02</v>
      </c>
      <c r="J25" s="679">
        <v>20000</v>
      </c>
      <c r="K25" s="711">
        <v>340</v>
      </c>
      <c r="L25" s="679">
        <v>0</v>
      </c>
      <c r="M25" s="711">
        <v>0.02</v>
      </c>
      <c r="N25" s="713">
        <v>20000</v>
      </c>
      <c r="O25" s="711">
        <v>340</v>
      </c>
      <c r="P25" s="679" t="s">
        <v>939</v>
      </c>
      <c r="Q25" s="679"/>
      <c r="R25" s="679"/>
      <c r="S25" s="679"/>
      <c r="T25" s="679" t="s">
        <v>939</v>
      </c>
      <c r="U25" s="679"/>
      <c r="V25" s="679"/>
      <c r="W25" s="679"/>
      <c r="X25" s="679" t="s">
        <v>949</v>
      </c>
      <c r="Y25" s="679"/>
      <c r="Z25" s="739"/>
      <c r="AA25" s="740"/>
      <c r="AB25" s="693">
        <v>0</v>
      </c>
      <c r="AC25" s="741">
        <v>0.017</v>
      </c>
      <c r="AD25" s="713">
        <v>20000</v>
      </c>
      <c r="AE25" s="728">
        <f>AC25*AD25</f>
      </c>
      <c r="AF25" s="729"/>
      <c r="AG25" s="729"/>
      <c r="AH25" s="729"/>
      <c r="AI25" s="729"/>
      <c r="AJ25" s="730"/>
      <c r="AK25" s="742">
        <v>0.017</v>
      </c>
      <c r="AL25" s="695">
        <v>20000</v>
      </c>
      <c r="AM25" s="732">
        <f>AL25*AK25</f>
      </c>
      <c r="AN25" s="720">
        <v>7000</v>
      </c>
      <c r="AO25" s="743">
        <v>0.017</v>
      </c>
      <c r="AP25" s="722">
        <v>60000</v>
      </c>
      <c r="AQ25" s="723">
        <f t="shared" ref="AQ25:AQ26" si="1">AP25*AO25</f>
      </c>
      <c r="AR25" s="744"/>
      <c r="AS25" s="728"/>
      <c r="AT25" s="728"/>
      <c r="AU25" s="728"/>
      <c r="AV25" s="728"/>
      <c r="AW25" s="728"/>
      <c r="AX25" s="728"/>
      <c r="AY25" s="728"/>
    </row>
    <row r="26">
      <c r="A26" s="679">
        <v>24</v>
      </c>
      <c r="B26" s="679" t="s">
        <v>963</v>
      </c>
      <c r="C26" s="679" t="s">
        <v>964</v>
      </c>
      <c r="D26" s="679">
        <v>0</v>
      </c>
      <c r="E26" s="679"/>
      <c r="F26" s="679"/>
      <c r="G26" s="667"/>
      <c r="H26" s="679">
        <v>0</v>
      </c>
      <c r="I26" s="679"/>
      <c r="J26" s="679"/>
      <c r="K26" s="679"/>
      <c r="L26" s="679">
        <v>0</v>
      </c>
      <c r="M26" s="711">
        <v>0.95</v>
      </c>
      <c r="N26" s="713">
        <v>3100</v>
      </c>
      <c r="O26" s="711">
        <v>2945</v>
      </c>
      <c r="P26" s="679" t="s">
        <v>939</v>
      </c>
      <c r="Q26" s="679"/>
      <c r="R26" s="679"/>
      <c r="S26" s="679"/>
      <c r="T26" s="679" t="s">
        <v>939</v>
      </c>
      <c r="U26" s="679"/>
      <c r="V26" s="679"/>
      <c r="W26" s="679"/>
      <c r="X26" s="679" t="s">
        <v>949</v>
      </c>
      <c r="Y26" s="679"/>
      <c r="Z26" s="739"/>
      <c r="AA26" s="740"/>
      <c r="AB26" s="679"/>
      <c r="AC26" s="680"/>
      <c r="AD26" s="679"/>
      <c r="AE26" s="680"/>
      <c r="AF26" s="684"/>
      <c r="AG26" s="684"/>
      <c r="AH26" s="684"/>
      <c r="AI26" s="684"/>
      <c r="AJ26" s="705"/>
      <c r="AK26" s="706"/>
      <c r="AL26" s="705"/>
      <c r="AM26" s="706"/>
      <c r="AN26" s="720">
        <v>0</v>
      </c>
      <c r="AO26" s="727">
        <v>0.95</v>
      </c>
      <c r="AP26" s="722">
        <v>10000</v>
      </c>
      <c r="AQ26" s="723">
        <f t="shared" si="1"/>
      </c>
      <c r="AR26" s="724"/>
      <c r="AS26" s="680"/>
      <c r="AT26" s="680"/>
      <c r="AU26" s="680"/>
      <c r="AV26" s="680"/>
      <c r="AW26" s="680"/>
      <c r="AX26" s="680"/>
      <c r="AY26" s="680"/>
    </row>
    <row r="27">
      <c r="A27" s="679">
        <v>25</v>
      </c>
      <c r="B27" s="679" t="s">
        <v>965</v>
      </c>
      <c r="C27" s="679" t="s">
        <v>964</v>
      </c>
      <c r="D27" s="679">
        <v>0</v>
      </c>
      <c r="E27" s="679"/>
      <c r="F27" s="679"/>
      <c r="G27" s="667"/>
      <c r="H27" s="679">
        <v>0</v>
      </c>
      <c r="I27" s="679"/>
      <c r="J27" s="679"/>
      <c r="K27" s="679"/>
      <c r="L27" s="679">
        <v>0</v>
      </c>
      <c r="M27" s="711">
        <v>0.8</v>
      </c>
      <c r="N27" s="679">
        <v>220</v>
      </c>
      <c r="O27" s="711">
        <v>176</v>
      </c>
      <c r="P27" s="679" t="s">
        <v>939</v>
      </c>
      <c r="Q27" s="679"/>
      <c r="R27" s="679"/>
      <c r="S27" s="679"/>
      <c r="T27" s="679" t="s">
        <v>939</v>
      </c>
      <c r="U27" s="679"/>
      <c r="V27" s="679"/>
      <c r="W27" s="679"/>
      <c r="X27" s="679" t="s">
        <v>949</v>
      </c>
      <c r="Y27" s="679"/>
      <c r="Z27" s="739"/>
      <c r="AA27" s="740"/>
      <c r="AB27" s="679"/>
      <c r="AC27" s="680"/>
      <c r="AD27" s="679"/>
      <c r="AE27" s="680"/>
      <c r="AF27" s="684"/>
      <c r="AG27" s="684"/>
      <c r="AH27" s="684"/>
      <c r="AI27" s="684"/>
      <c r="AJ27" s="705"/>
      <c r="AK27" s="714"/>
      <c r="AL27" s="705"/>
      <c r="AM27" s="706"/>
      <c r="AN27" s="715"/>
      <c r="AO27" s="716"/>
      <c r="AP27" s="717"/>
      <c r="AQ27" s="723"/>
      <c r="AR27" s="718"/>
      <c r="AS27" s="719"/>
      <c r="AT27" s="719"/>
      <c r="AU27" s="719"/>
      <c r="AV27" s="719"/>
      <c r="AW27" s="719"/>
      <c r="AX27" s="719"/>
      <c r="AY27" s="719"/>
    </row>
    <row r="28">
      <c r="A28" s="679">
        <v>26</v>
      </c>
      <c r="B28" s="745" t="s">
        <v>966</v>
      </c>
      <c r="C28" s="745" t="s">
        <v>964</v>
      </c>
      <c r="D28" s="745">
        <v>0</v>
      </c>
      <c r="E28" s="745"/>
      <c r="F28" s="745"/>
      <c r="G28" s="673"/>
      <c r="H28" s="745">
        <v>0</v>
      </c>
      <c r="I28" s="745"/>
      <c r="J28" s="745"/>
      <c r="K28" s="745"/>
      <c r="L28" s="745">
        <v>0</v>
      </c>
      <c r="M28" s="746">
        <v>0.71</v>
      </c>
      <c r="N28" s="747">
        <v>1100</v>
      </c>
      <c r="O28" s="746">
        <v>781</v>
      </c>
      <c r="P28" s="745" t="s">
        <v>939</v>
      </c>
      <c r="Q28" s="745"/>
      <c r="R28" s="745"/>
      <c r="S28" s="745"/>
      <c r="T28" s="745" t="s">
        <v>939</v>
      </c>
      <c r="U28" s="745"/>
      <c r="V28" s="745"/>
      <c r="W28" s="745"/>
      <c r="X28" s="745" t="s">
        <v>949</v>
      </c>
      <c r="Y28" s="745"/>
      <c r="Z28" s="748"/>
      <c r="AA28" s="749"/>
      <c r="AB28" s="745"/>
      <c r="AC28" s="750"/>
      <c r="AD28" s="745"/>
      <c r="AE28" s="750"/>
      <c r="AF28" s="751"/>
      <c r="AG28" s="751"/>
      <c r="AH28" s="751"/>
      <c r="AI28" s="751"/>
      <c r="AJ28" s="752"/>
      <c r="AK28" s="753"/>
      <c r="AL28" s="752"/>
      <c r="AM28" s="754"/>
      <c r="AN28" s="755"/>
      <c r="AO28" s="716"/>
      <c r="AP28" s="717"/>
      <c r="AQ28" s="723"/>
      <c r="AR28" s="756"/>
      <c r="AS28" s="757"/>
      <c r="AT28" s="757"/>
      <c r="AU28" s="757"/>
      <c r="AV28" s="757"/>
      <c r="AW28" s="757"/>
      <c r="AX28" s="757"/>
      <c r="AY28" s="757"/>
    </row>
    <row r="29">
      <c r="A29" s="667">
        <v>27</v>
      </c>
      <c r="B29" s="758" t="s">
        <v>967</v>
      </c>
      <c r="C29" s="758" t="s">
        <v>964</v>
      </c>
      <c r="D29" s="758">
        <v>0</v>
      </c>
      <c r="E29" s="758"/>
      <c r="F29" s="758"/>
      <c r="G29" s="758"/>
      <c r="H29" s="758">
        <v>0</v>
      </c>
      <c r="I29" s="758"/>
      <c r="J29" s="758"/>
      <c r="K29" s="758"/>
      <c r="L29" s="758">
        <v>0</v>
      </c>
      <c r="M29" s="759">
        <v>0.75</v>
      </c>
      <c r="N29" s="758">
        <v>150</v>
      </c>
      <c r="O29" s="759">
        <v>112.5</v>
      </c>
      <c r="P29" s="758" t="s">
        <v>939</v>
      </c>
      <c r="Q29" s="758"/>
      <c r="R29" s="758"/>
      <c r="S29" s="758"/>
      <c r="T29" s="758" t="s">
        <v>939</v>
      </c>
      <c r="U29" s="758"/>
      <c r="V29" s="758"/>
      <c r="W29" s="758"/>
      <c r="X29" s="758" t="s">
        <v>949</v>
      </c>
      <c r="Y29" s="758"/>
      <c r="Z29" s="760"/>
      <c r="AA29" s="760"/>
      <c r="AB29" s="758"/>
      <c r="AC29" s="761"/>
      <c r="AD29" s="758"/>
      <c r="AE29" s="761"/>
      <c r="AF29" s="762"/>
      <c r="AG29" s="762"/>
      <c r="AH29" s="762"/>
      <c r="AI29" s="762"/>
      <c r="AJ29" s="763"/>
      <c r="AK29" s="764"/>
      <c r="AL29" s="763"/>
      <c r="AM29" s="765"/>
      <c r="AN29" s="766"/>
      <c r="AO29" s="716"/>
      <c r="AP29" s="717"/>
      <c r="AQ29" s="723"/>
      <c r="AR29" s="767"/>
      <c r="AS29" s="768"/>
      <c r="AT29" s="768"/>
      <c r="AU29" s="768"/>
      <c r="AV29" s="768"/>
      <c r="AW29" s="768"/>
      <c r="AX29" s="768"/>
      <c r="AY29" s="768"/>
    </row>
    <row r="30">
      <c r="A30" s="769">
        <v>28</v>
      </c>
      <c r="B30" s="679" t="s">
        <v>968</v>
      </c>
      <c r="C30" s="679" t="s">
        <v>953</v>
      </c>
      <c r="D30" s="770"/>
      <c r="E30" s="770"/>
      <c r="F30" s="770"/>
      <c r="G30" s="770"/>
      <c r="H30" s="770"/>
      <c r="I30" s="770"/>
      <c r="J30" s="770"/>
      <c r="K30" s="770"/>
      <c r="L30" s="770"/>
      <c r="M30" s="770"/>
      <c r="N30" s="770"/>
      <c r="O30" s="770"/>
      <c r="P30" s="770"/>
      <c r="Q30" s="770"/>
      <c r="R30" s="770"/>
      <c r="S30" s="770"/>
      <c r="T30" s="770"/>
      <c r="U30" s="770"/>
      <c r="V30" s="770"/>
      <c r="W30" s="770"/>
      <c r="X30" s="770"/>
      <c r="Y30" s="770"/>
      <c r="Z30" s="770"/>
      <c r="AA30" s="770"/>
      <c r="AB30" s="770"/>
      <c r="AC30" s="771"/>
      <c r="AD30" s="770"/>
      <c r="AE30" s="771"/>
      <c r="AF30" s="772"/>
      <c r="AG30" s="773">
        <v>28.3</v>
      </c>
      <c r="AH30" s="774">
        <v>8</v>
      </c>
      <c r="AI30" s="772">
        <f>AH30*AG30</f>
      </c>
      <c r="AJ30" s="775"/>
      <c r="AK30" s="776"/>
      <c r="AL30" s="775"/>
      <c r="AM30" s="777"/>
      <c r="AN30" s="778">
        <v>4</v>
      </c>
      <c r="AO30" s="779">
        <v>28.3</v>
      </c>
      <c r="AP30" s="780">
        <v>20</v>
      </c>
      <c r="AQ30" s="723">
        <f>AP30*AO30</f>
      </c>
      <c r="AR30" s="781"/>
      <c r="AS30" s="782"/>
      <c r="AT30" s="782"/>
      <c r="AU30" s="782"/>
      <c r="AV30" s="782"/>
      <c r="AW30" s="782"/>
      <c r="AX30" s="782"/>
      <c r="AY30" s="782"/>
    </row>
    <row r="31">
      <c r="B31" s="783"/>
      <c r="D31" s="783"/>
      <c r="E31" s="783"/>
      <c r="F31" s="783"/>
      <c r="G31" s="783"/>
      <c r="H31" s="783"/>
      <c r="I31" s="783"/>
      <c r="J31" s="783"/>
      <c r="K31" s="783"/>
      <c r="L31" s="783"/>
      <c r="M31" s="783"/>
      <c r="N31" s="783"/>
      <c r="O31" s="783"/>
      <c r="P31" s="783"/>
      <c r="Q31" s="783"/>
      <c r="R31" s="783"/>
      <c r="S31" s="783"/>
      <c r="T31" s="783"/>
      <c r="U31" s="783"/>
      <c r="V31" s="783"/>
      <c r="W31" s="783"/>
      <c r="X31" s="783"/>
      <c r="Y31" s="783"/>
      <c r="Z31" s="783"/>
      <c r="AA31" s="783"/>
      <c r="AB31" s="783"/>
      <c r="AC31" s="784"/>
      <c r="AD31" s="783"/>
      <c r="AE31" s="784"/>
      <c r="AF31" s="785"/>
      <c r="AG31" s="785"/>
      <c r="AH31" s="785"/>
      <c r="AI31" s="785"/>
      <c r="AJ31" s="786"/>
      <c r="AK31" s="787"/>
      <c r="AL31" s="786"/>
      <c r="AM31" s="788"/>
      <c r="AN31" s="789"/>
      <c r="AO31" s="790"/>
      <c r="AP31" s="791"/>
      <c r="AQ31" s="790"/>
      <c r="AR31" s="792"/>
      <c r="AS31" s="792"/>
      <c r="AT31" s="792"/>
      <c r="AU31" s="792"/>
      <c r="AV31" s="792"/>
      <c r="AW31" s="792"/>
      <c r="AX31" s="792"/>
      <c r="AY31" s="792"/>
    </row>
    <row r="32">
      <c r="B32" s="783"/>
      <c r="D32" s="783"/>
      <c r="E32" s="783"/>
      <c r="F32" s="783"/>
      <c r="G32" s="783"/>
      <c r="H32" s="783"/>
      <c r="I32" s="783"/>
      <c r="J32" s="783"/>
      <c r="K32" s="783"/>
      <c r="L32" s="783"/>
      <c r="M32" s="783"/>
      <c r="N32" s="783"/>
      <c r="O32" s="783"/>
      <c r="P32" s="783"/>
      <c r="Q32" s="783"/>
      <c r="R32" s="783"/>
      <c r="S32" s="783"/>
      <c r="T32" s="783"/>
      <c r="U32" s="783"/>
      <c r="V32" s="783"/>
      <c r="W32" s="783"/>
      <c r="X32" s="783"/>
      <c r="Y32" s="783"/>
      <c r="Z32" s="783"/>
      <c r="AA32" s="783"/>
      <c r="AB32" s="783"/>
      <c r="AC32" s="784"/>
      <c r="AD32" s="783"/>
      <c r="AE32" s="784"/>
      <c r="AF32" s="785"/>
      <c r="AG32" s="785"/>
      <c r="AH32" s="785"/>
      <c r="AI32" s="785"/>
      <c r="AJ32" s="786"/>
      <c r="AK32" s="787"/>
      <c r="AL32" s="786"/>
      <c r="AM32" s="788"/>
      <c r="AN32" s="789"/>
      <c r="AO32" s="790"/>
      <c r="AP32" s="791"/>
      <c r="AQ32" s="790"/>
      <c r="AR32" s="792"/>
      <c r="AS32" s="792"/>
      <c r="AT32" s="792"/>
      <c r="AU32" s="792"/>
      <c r="AV32" s="792"/>
      <c r="AW32" s="792"/>
      <c r="AX32" s="792"/>
      <c r="AY32" s="792"/>
    </row>
    <row r="33">
      <c r="B33" s="783"/>
      <c r="D33" s="783"/>
      <c r="E33" s="783"/>
      <c r="F33" s="783"/>
      <c r="G33" s="783"/>
      <c r="H33" s="783"/>
      <c r="I33" s="783"/>
      <c r="J33" s="783"/>
      <c r="K33" s="783"/>
      <c r="L33" s="783"/>
      <c r="M33" s="783"/>
      <c r="N33" s="783"/>
      <c r="O33" s="783"/>
      <c r="P33" s="783"/>
      <c r="Q33" s="783"/>
      <c r="R33" s="783"/>
      <c r="S33" s="783"/>
      <c r="T33" s="783"/>
      <c r="U33" s="783"/>
      <c r="V33" s="783"/>
      <c r="W33" s="783"/>
      <c r="X33" s="783"/>
      <c r="Y33" s="783"/>
      <c r="Z33" s="783"/>
      <c r="AA33" s="783"/>
      <c r="AB33" s="783"/>
      <c r="AC33" s="784"/>
      <c r="AD33" s="783"/>
      <c r="AE33" s="784"/>
      <c r="AF33" s="785"/>
      <c r="AG33" s="785"/>
      <c r="AH33" s="785"/>
      <c r="AI33" s="785"/>
      <c r="AJ33" s="786"/>
      <c r="AK33" s="787"/>
      <c r="AL33" s="786"/>
      <c r="AM33" s="788"/>
      <c r="AN33" s="789"/>
      <c r="AO33" s="790"/>
      <c r="AP33" s="791"/>
      <c r="AQ33" s="790"/>
      <c r="AR33" s="792"/>
      <c r="AS33" s="792"/>
      <c r="AT33" s="792"/>
      <c r="AU33" s="792"/>
      <c r="AV33" s="792"/>
      <c r="AW33" s="792"/>
      <c r="AX33" s="792"/>
      <c r="AY33" s="792"/>
    </row>
    <row r="34">
      <c r="B34" s="783"/>
      <c r="D34" s="783"/>
      <c r="E34" s="783"/>
      <c r="F34" s="783"/>
      <c r="G34" s="783"/>
      <c r="H34" s="783"/>
      <c r="I34" s="783"/>
      <c r="J34" s="783"/>
      <c r="K34" s="783"/>
      <c r="L34" s="783"/>
      <c r="M34" s="783"/>
      <c r="N34" s="783"/>
      <c r="O34" s="783"/>
      <c r="P34" s="783"/>
      <c r="Q34" s="783"/>
      <c r="R34" s="783"/>
      <c r="S34" s="783"/>
      <c r="T34" s="783"/>
      <c r="U34" s="783"/>
      <c r="V34" s="783"/>
      <c r="W34" s="783"/>
      <c r="X34" s="783"/>
      <c r="Y34" s="783"/>
      <c r="Z34" s="783"/>
      <c r="AA34" s="783"/>
      <c r="AB34" s="783"/>
      <c r="AC34" s="784"/>
      <c r="AD34" s="783"/>
      <c r="AE34" s="784"/>
      <c r="AF34" s="785"/>
      <c r="AG34" s="785"/>
      <c r="AH34" s="785"/>
      <c r="AI34" s="785"/>
      <c r="AJ34" s="786"/>
      <c r="AK34" s="787"/>
      <c r="AL34" s="786"/>
      <c r="AM34" s="788"/>
      <c r="AN34" s="789"/>
      <c r="AO34" s="790"/>
      <c r="AP34" s="791"/>
      <c r="AQ34" s="790"/>
      <c r="AR34" s="792"/>
      <c r="AS34" s="792"/>
      <c r="AT34" s="792"/>
      <c r="AU34" s="792"/>
      <c r="AV34" s="792"/>
      <c r="AW34" s="792"/>
      <c r="AX34" s="792"/>
      <c r="AY34" s="792"/>
    </row>
    <row r="35">
      <c r="B35" s="783"/>
      <c r="D35" s="783"/>
      <c r="E35" s="783"/>
      <c r="F35" s="783"/>
      <c r="G35" s="783"/>
      <c r="H35" s="783"/>
      <c r="I35" s="783"/>
      <c r="J35" s="783"/>
      <c r="K35" s="783"/>
      <c r="L35" s="783"/>
      <c r="M35" s="783"/>
      <c r="N35" s="783"/>
      <c r="O35" s="783"/>
      <c r="P35" s="783"/>
      <c r="Q35" s="783"/>
      <c r="R35" s="783"/>
      <c r="S35" s="783"/>
      <c r="T35" s="783"/>
      <c r="U35" s="783"/>
      <c r="V35" s="783"/>
      <c r="W35" s="783"/>
      <c r="X35" s="783"/>
      <c r="Y35" s="783"/>
      <c r="Z35" s="783"/>
      <c r="AA35" s="783"/>
      <c r="AB35" s="783"/>
      <c r="AC35" s="784"/>
      <c r="AD35" s="783"/>
      <c r="AE35" s="784"/>
      <c r="AF35" s="785"/>
      <c r="AG35" s="785"/>
      <c r="AH35" s="785"/>
      <c r="AI35" s="785"/>
      <c r="AJ35" s="786"/>
      <c r="AK35" s="787"/>
      <c r="AL35" s="786"/>
      <c r="AM35" s="788"/>
      <c r="AN35" s="789"/>
      <c r="AO35" s="790"/>
      <c r="AP35" s="791"/>
      <c r="AQ35" s="790"/>
      <c r="AR35" s="792"/>
      <c r="AS35" s="792"/>
      <c r="AT35" s="792"/>
      <c r="AU35" s="792"/>
      <c r="AV35" s="792"/>
      <c r="AW35" s="792"/>
      <c r="AX35" s="792"/>
      <c r="AY35" s="792"/>
    </row>
    <row r="36">
      <c r="B36" s="783"/>
      <c r="D36" s="783"/>
      <c r="E36" s="783"/>
      <c r="F36" s="783"/>
      <c r="G36" s="783"/>
      <c r="H36" s="783"/>
      <c r="I36" s="783"/>
      <c r="J36" s="783"/>
      <c r="K36" s="783"/>
      <c r="L36" s="783"/>
      <c r="M36" s="783"/>
      <c r="N36" s="783"/>
      <c r="O36" s="783"/>
      <c r="P36" s="783"/>
      <c r="Q36" s="783"/>
      <c r="R36" s="783"/>
      <c r="S36" s="783"/>
      <c r="T36" s="783"/>
      <c r="U36" s="783"/>
      <c r="V36" s="783"/>
      <c r="W36" s="783"/>
      <c r="X36" s="783"/>
      <c r="Y36" s="783"/>
      <c r="Z36" s="783"/>
      <c r="AA36" s="783"/>
      <c r="AB36" s="783"/>
      <c r="AC36" s="784"/>
      <c r="AD36" s="783"/>
      <c r="AE36" s="784"/>
      <c r="AF36" s="785"/>
      <c r="AG36" s="785"/>
      <c r="AH36" s="785"/>
      <c r="AI36" s="785"/>
      <c r="AJ36" s="786"/>
      <c r="AK36" s="787"/>
      <c r="AL36" s="786"/>
      <c r="AM36" s="788"/>
      <c r="AN36" s="789"/>
      <c r="AO36" s="790"/>
      <c r="AP36" s="791"/>
      <c r="AQ36" s="790"/>
      <c r="AR36" s="792"/>
      <c r="AS36" s="792"/>
      <c r="AT36" s="792"/>
      <c r="AU36" s="792"/>
      <c r="AV36" s="792"/>
      <c r="AW36" s="792"/>
      <c r="AX36" s="792"/>
      <c r="AY36" s="792"/>
    </row>
    <row r="37">
      <c r="B37" s="783"/>
      <c r="D37" s="783"/>
      <c r="E37" s="783"/>
      <c r="F37" s="783"/>
      <c r="G37" s="783"/>
      <c r="H37" s="783"/>
      <c r="I37" s="783"/>
      <c r="J37" s="783"/>
      <c r="K37" s="783"/>
      <c r="L37" s="783"/>
      <c r="M37" s="783"/>
      <c r="N37" s="783"/>
      <c r="O37" s="783"/>
      <c r="P37" s="783"/>
      <c r="Q37" s="783"/>
      <c r="R37" s="783"/>
      <c r="S37" s="783"/>
      <c r="T37" s="783"/>
      <c r="U37" s="783"/>
      <c r="V37" s="783"/>
      <c r="W37" s="783"/>
      <c r="X37" s="783"/>
      <c r="Y37" s="783"/>
      <c r="Z37" s="783"/>
      <c r="AA37" s="783"/>
      <c r="AB37" s="783"/>
      <c r="AC37" s="784"/>
      <c r="AD37" s="783"/>
      <c r="AE37" s="784"/>
      <c r="AF37" s="785"/>
      <c r="AG37" s="785"/>
      <c r="AH37" s="785"/>
      <c r="AI37" s="785"/>
      <c r="AJ37" s="786"/>
      <c r="AK37" s="787"/>
      <c r="AL37" s="786"/>
      <c r="AM37" s="788"/>
      <c r="AN37" s="789"/>
      <c r="AO37" s="790"/>
      <c r="AP37" s="791"/>
      <c r="AQ37" s="790"/>
      <c r="AR37" s="792"/>
      <c r="AS37" s="792"/>
      <c r="AT37" s="792"/>
      <c r="AU37" s="792"/>
      <c r="AV37" s="792"/>
      <c r="AW37" s="792"/>
      <c r="AX37" s="792"/>
      <c r="AY37" s="792"/>
    </row>
    <row r="38">
      <c r="B38" s="783"/>
      <c r="D38" s="783"/>
      <c r="E38" s="783"/>
      <c r="F38" s="783"/>
      <c r="G38" s="783"/>
      <c r="H38" s="783"/>
      <c r="I38" s="783"/>
      <c r="J38" s="783"/>
      <c r="K38" s="783"/>
      <c r="L38" s="783"/>
      <c r="M38" s="783"/>
      <c r="N38" s="783"/>
      <c r="O38" s="783"/>
      <c r="P38" s="783"/>
      <c r="Q38" s="783"/>
      <c r="R38" s="783"/>
      <c r="S38" s="783"/>
      <c r="T38" s="783"/>
      <c r="U38" s="783"/>
      <c r="V38" s="783"/>
      <c r="W38" s="783"/>
      <c r="X38" s="783"/>
      <c r="Y38" s="783"/>
      <c r="Z38" s="783"/>
      <c r="AA38" s="783"/>
      <c r="AB38" s="783"/>
      <c r="AC38" s="784"/>
      <c r="AD38" s="783"/>
      <c r="AE38" s="784"/>
      <c r="AF38" s="785"/>
      <c r="AG38" s="785"/>
      <c r="AH38" s="785"/>
      <c r="AI38" s="785"/>
      <c r="AJ38" s="786"/>
      <c r="AK38" s="787"/>
      <c r="AL38" s="786"/>
      <c r="AM38" s="788"/>
      <c r="AN38" s="789"/>
      <c r="AO38" s="790"/>
      <c r="AP38" s="791"/>
      <c r="AQ38" s="790"/>
      <c r="AR38" s="792"/>
      <c r="AS38" s="792"/>
      <c r="AT38" s="792"/>
      <c r="AU38" s="792"/>
      <c r="AV38" s="792"/>
      <c r="AW38" s="792"/>
      <c r="AX38" s="792"/>
      <c r="AY38" s="792"/>
    </row>
    <row r="39">
      <c r="B39" s="783"/>
      <c r="D39" s="783"/>
      <c r="E39" s="783"/>
      <c r="F39" s="783"/>
      <c r="G39" s="783"/>
      <c r="H39" s="783"/>
      <c r="I39" s="783"/>
      <c r="J39" s="783"/>
      <c r="K39" s="783"/>
      <c r="L39" s="783"/>
      <c r="M39" s="783"/>
      <c r="N39" s="783"/>
      <c r="O39" s="783"/>
      <c r="P39" s="783"/>
      <c r="Q39" s="783"/>
      <c r="R39" s="783"/>
      <c r="S39" s="783"/>
      <c r="T39" s="783"/>
      <c r="U39" s="783"/>
      <c r="V39" s="783"/>
      <c r="W39" s="783"/>
      <c r="X39" s="783"/>
      <c r="Y39" s="783"/>
      <c r="Z39" s="783"/>
      <c r="AA39" s="783"/>
      <c r="AB39" s="783"/>
      <c r="AC39" s="784"/>
      <c r="AD39" s="783"/>
      <c r="AE39" s="784"/>
      <c r="AF39" s="785"/>
      <c r="AG39" s="785"/>
      <c r="AH39" s="785"/>
      <c r="AI39" s="785"/>
      <c r="AJ39" s="786"/>
      <c r="AK39" s="787"/>
      <c r="AL39" s="786"/>
      <c r="AM39" s="788"/>
      <c r="AN39" s="789"/>
      <c r="AO39" s="790"/>
      <c r="AP39" s="791"/>
      <c r="AQ39" s="790"/>
      <c r="AR39" s="792"/>
      <c r="AS39" s="792"/>
      <c r="AT39" s="792"/>
      <c r="AU39" s="792"/>
      <c r="AV39" s="792"/>
      <c r="AW39" s="792"/>
      <c r="AX39" s="792"/>
      <c r="AY39" s="792"/>
    </row>
    <row r="40">
      <c r="B40" s="783"/>
      <c r="D40" s="783"/>
      <c r="E40" s="783"/>
      <c r="F40" s="783"/>
      <c r="G40" s="783"/>
      <c r="H40" s="783"/>
      <c r="I40" s="783"/>
      <c r="J40" s="783"/>
      <c r="K40" s="783"/>
      <c r="L40" s="783"/>
      <c r="M40" s="783"/>
      <c r="N40" s="783"/>
      <c r="O40" s="783"/>
      <c r="P40" s="783"/>
      <c r="Q40" s="783"/>
      <c r="R40" s="783"/>
      <c r="S40" s="783"/>
      <c r="T40" s="783"/>
      <c r="U40" s="783"/>
      <c r="V40" s="783"/>
      <c r="W40" s="783"/>
      <c r="X40" s="783"/>
      <c r="Y40" s="783"/>
      <c r="Z40" s="783"/>
      <c r="AA40" s="783"/>
      <c r="AB40" s="783"/>
      <c r="AC40" s="784"/>
      <c r="AD40" s="783"/>
      <c r="AE40" s="784"/>
      <c r="AF40" s="785"/>
      <c r="AG40" s="785"/>
      <c r="AH40" s="785"/>
      <c r="AI40" s="785"/>
      <c r="AJ40" s="786"/>
      <c r="AK40" s="787"/>
      <c r="AL40" s="786"/>
      <c r="AM40" s="788"/>
      <c r="AN40" s="789"/>
      <c r="AO40" s="790"/>
      <c r="AP40" s="791"/>
      <c r="AQ40" s="790"/>
      <c r="AR40" s="792"/>
      <c r="AS40" s="792"/>
      <c r="AT40" s="792"/>
      <c r="AU40" s="792"/>
      <c r="AV40" s="792"/>
      <c r="AW40" s="792"/>
      <c r="AX40" s="792"/>
      <c r="AY40" s="792"/>
    </row>
    <row r="41">
      <c r="B41" s="783"/>
      <c r="D41" s="783"/>
      <c r="E41" s="783"/>
      <c r="F41" s="783"/>
      <c r="G41" s="783"/>
      <c r="H41" s="783"/>
      <c r="I41" s="783"/>
      <c r="J41" s="783"/>
      <c r="K41" s="783"/>
      <c r="L41" s="783"/>
      <c r="M41" s="783"/>
      <c r="N41" s="783"/>
      <c r="O41" s="783"/>
      <c r="P41" s="783"/>
      <c r="Q41" s="783"/>
      <c r="R41" s="783"/>
      <c r="S41" s="783"/>
      <c r="T41" s="783"/>
      <c r="U41" s="783"/>
      <c r="V41" s="783"/>
      <c r="W41" s="783"/>
      <c r="X41" s="783"/>
      <c r="Y41" s="783"/>
      <c r="Z41" s="783"/>
      <c r="AA41" s="783"/>
      <c r="AB41" s="783"/>
      <c r="AC41" s="784"/>
      <c r="AD41" s="783"/>
      <c r="AE41" s="784"/>
      <c r="AF41" s="785"/>
      <c r="AG41" s="785"/>
      <c r="AH41" s="785"/>
      <c r="AI41" s="785"/>
      <c r="AJ41" s="786"/>
      <c r="AK41" s="787"/>
      <c r="AL41" s="786"/>
      <c r="AM41" s="788"/>
      <c r="AN41" s="789"/>
      <c r="AO41" s="790"/>
      <c r="AP41" s="791"/>
      <c r="AQ41" s="790"/>
      <c r="AR41" s="792"/>
      <c r="AS41" s="792"/>
      <c r="AT41" s="792"/>
      <c r="AU41" s="792"/>
      <c r="AV41" s="792"/>
      <c r="AW41" s="792"/>
      <c r="AX41" s="792"/>
      <c r="AY41" s="792"/>
    </row>
    <row r="42">
      <c r="B42" s="783"/>
      <c r="D42" s="783"/>
      <c r="E42" s="783"/>
      <c r="F42" s="783"/>
      <c r="G42" s="783"/>
      <c r="H42" s="783"/>
      <c r="I42" s="783"/>
      <c r="J42" s="783"/>
      <c r="K42" s="783"/>
      <c r="L42" s="783"/>
      <c r="M42" s="783"/>
      <c r="N42" s="783"/>
      <c r="O42" s="783"/>
      <c r="P42" s="783"/>
      <c r="Q42" s="783"/>
      <c r="R42" s="783"/>
      <c r="S42" s="783"/>
      <c r="T42" s="783"/>
      <c r="U42" s="783"/>
      <c r="V42" s="783"/>
      <c r="W42" s="783"/>
      <c r="X42" s="783"/>
      <c r="Y42" s="783"/>
      <c r="Z42" s="783"/>
      <c r="AA42" s="783"/>
      <c r="AB42" s="783"/>
      <c r="AC42" s="784"/>
      <c r="AD42" s="783"/>
      <c r="AE42" s="784"/>
      <c r="AF42" s="785"/>
      <c r="AG42" s="785"/>
      <c r="AH42" s="785"/>
      <c r="AI42" s="785"/>
      <c r="AJ42" s="786"/>
      <c r="AK42" s="787"/>
      <c r="AL42" s="786"/>
      <c r="AM42" s="788"/>
      <c r="AN42" s="789"/>
      <c r="AO42" s="790"/>
      <c r="AP42" s="791"/>
      <c r="AQ42" s="790"/>
      <c r="AR42" s="792"/>
      <c r="AS42" s="792"/>
      <c r="AT42" s="792"/>
      <c r="AU42" s="792"/>
      <c r="AV42" s="792"/>
      <c r="AW42" s="792"/>
      <c r="AX42" s="792"/>
      <c r="AY42" s="792"/>
    </row>
    <row r="43">
      <c r="B43" s="783"/>
      <c r="D43" s="783"/>
      <c r="E43" s="783"/>
      <c r="F43" s="783"/>
      <c r="G43" s="783"/>
      <c r="H43" s="783"/>
      <c r="I43" s="783"/>
      <c r="J43" s="783"/>
      <c r="K43" s="783"/>
      <c r="L43" s="783"/>
      <c r="M43" s="783"/>
      <c r="N43" s="783"/>
      <c r="O43" s="783"/>
      <c r="P43" s="783"/>
      <c r="Q43" s="783"/>
      <c r="R43" s="783"/>
      <c r="S43" s="783"/>
      <c r="T43" s="783"/>
      <c r="U43" s="783"/>
      <c r="V43" s="783"/>
      <c r="W43" s="783"/>
      <c r="X43" s="783"/>
      <c r="Y43" s="783"/>
      <c r="Z43" s="783"/>
      <c r="AA43" s="783"/>
      <c r="AB43" s="783"/>
      <c r="AC43" s="784"/>
      <c r="AD43" s="783"/>
      <c r="AE43" s="784"/>
      <c r="AF43" s="785"/>
      <c r="AG43" s="785"/>
      <c r="AH43" s="785"/>
      <c r="AI43" s="785"/>
      <c r="AJ43" s="786"/>
      <c r="AK43" s="787"/>
      <c r="AL43" s="786"/>
      <c r="AM43" s="788"/>
      <c r="AN43" s="789"/>
      <c r="AO43" s="790"/>
      <c r="AP43" s="791"/>
      <c r="AQ43" s="790"/>
      <c r="AR43" s="792"/>
      <c r="AS43" s="792"/>
      <c r="AT43" s="792"/>
      <c r="AU43" s="792"/>
      <c r="AV43" s="792"/>
      <c r="AW43" s="792"/>
      <c r="AX43" s="792"/>
      <c r="AY43" s="792"/>
    </row>
    <row r="44">
      <c r="B44" s="783"/>
      <c r="D44" s="783"/>
      <c r="E44" s="783"/>
      <c r="F44" s="783"/>
      <c r="G44" s="783"/>
      <c r="H44" s="783"/>
      <c r="I44" s="783"/>
      <c r="J44" s="783"/>
      <c r="K44" s="783"/>
      <c r="L44" s="783"/>
      <c r="M44" s="783"/>
      <c r="N44" s="783"/>
      <c r="O44" s="783"/>
      <c r="P44" s="783"/>
      <c r="Q44" s="783"/>
      <c r="R44" s="783"/>
      <c r="S44" s="783"/>
      <c r="T44" s="783"/>
      <c r="U44" s="783"/>
      <c r="V44" s="783"/>
      <c r="W44" s="783"/>
      <c r="X44" s="783"/>
      <c r="Y44" s="783"/>
      <c r="Z44" s="783"/>
      <c r="AA44" s="783"/>
      <c r="AB44" s="783"/>
      <c r="AC44" s="784"/>
      <c r="AD44" s="783"/>
      <c r="AE44" s="784"/>
      <c r="AF44" s="785"/>
      <c r="AG44" s="785"/>
      <c r="AH44" s="785"/>
      <c r="AI44" s="785"/>
      <c r="AJ44" s="786"/>
      <c r="AK44" s="787"/>
      <c r="AL44" s="786"/>
      <c r="AM44" s="788"/>
      <c r="AN44" s="789"/>
      <c r="AO44" s="790"/>
      <c r="AP44" s="791"/>
      <c r="AQ44" s="790"/>
      <c r="AR44" s="792"/>
      <c r="AS44" s="792"/>
      <c r="AT44" s="792"/>
      <c r="AU44" s="792"/>
      <c r="AV44" s="792"/>
      <c r="AW44" s="792"/>
      <c r="AX44" s="792"/>
      <c r="AY44" s="792"/>
    </row>
    <row r="45">
      <c r="B45" s="783"/>
      <c r="D45" s="783"/>
      <c r="E45" s="783"/>
      <c r="F45" s="783"/>
      <c r="G45" s="783"/>
      <c r="H45" s="783"/>
      <c r="I45" s="783"/>
      <c r="J45" s="783"/>
      <c r="K45" s="783"/>
      <c r="L45" s="783"/>
      <c r="M45" s="783"/>
      <c r="N45" s="783"/>
      <c r="O45" s="783"/>
      <c r="P45" s="783"/>
      <c r="Q45" s="783"/>
      <c r="R45" s="783"/>
      <c r="S45" s="783"/>
      <c r="T45" s="783"/>
      <c r="U45" s="783"/>
      <c r="V45" s="783"/>
      <c r="W45" s="783"/>
      <c r="X45" s="783"/>
      <c r="Y45" s="783"/>
      <c r="Z45" s="783"/>
      <c r="AA45" s="783"/>
      <c r="AB45" s="783"/>
      <c r="AC45" s="784"/>
      <c r="AD45" s="783"/>
      <c r="AE45" s="784"/>
      <c r="AF45" s="785"/>
      <c r="AG45" s="785"/>
      <c r="AH45" s="785"/>
      <c r="AI45" s="785"/>
      <c r="AJ45" s="786"/>
      <c r="AK45" s="787"/>
      <c r="AL45" s="786"/>
      <c r="AM45" s="788"/>
      <c r="AN45" s="789"/>
      <c r="AO45" s="790"/>
      <c r="AP45" s="791"/>
      <c r="AQ45" s="790"/>
      <c r="AR45" s="792"/>
      <c r="AS45" s="792"/>
      <c r="AT45" s="792"/>
      <c r="AU45" s="792"/>
      <c r="AV45" s="792"/>
      <c r="AW45" s="792"/>
      <c r="AX45" s="792"/>
      <c r="AY45" s="792"/>
    </row>
    <row r="46">
      <c r="B46" s="783"/>
      <c r="D46" s="783"/>
      <c r="E46" s="783"/>
      <c r="F46" s="783"/>
      <c r="G46" s="783"/>
      <c r="H46" s="783"/>
      <c r="I46" s="783"/>
      <c r="J46" s="783"/>
      <c r="K46" s="783"/>
      <c r="L46" s="783"/>
      <c r="M46" s="783"/>
      <c r="N46" s="783"/>
      <c r="O46" s="783"/>
      <c r="P46" s="783"/>
      <c r="Q46" s="783"/>
      <c r="R46" s="783"/>
      <c r="S46" s="783"/>
      <c r="T46" s="783"/>
      <c r="U46" s="783"/>
      <c r="V46" s="783"/>
      <c r="W46" s="783"/>
      <c r="X46" s="783"/>
      <c r="Y46" s="783"/>
      <c r="Z46" s="783"/>
      <c r="AA46" s="783"/>
      <c r="AB46" s="783"/>
      <c r="AC46" s="784"/>
      <c r="AD46" s="783"/>
      <c r="AE46" s="784"/>
      <c r="AF46" s="785"/>
      <c r="AG46" s="785"/>
      <c r="AH46" s="785"/>
      <c r="AI46" s="785"/>
      <c r="AJ46" s="786"/>
      <c r="AK46" s="787"/>
      <c r="AL46" s="786"/>
      <c r="AM46" s="788"/>
      <c r="AN46" s="789"/>
      <c r="AO46" s="790"/>
      <c r="AP46" s="791"/>
      <c r="AQ46" s="790"/>
      <c r="AR46" s="792"/>
      <c r="AS46" s="792"/>
      <c r="AT46" s="792"/>
      <c r="AU46" s="792"/>
      <c r="AV46" s="792"/>
      <c r="AW46" s="792"/>
      <c r="AX46" s="792"/>
      <c r="AY46" s="792"/>
    </row>
    <row r="47">
      <c r="B47" s="783"/>
      <c r="D47" s="783"/>
      <c r="E47" s="783"/>
      <c r="F47" s="783"/>
      <c r="G47" s="783"/>
      <c r="H47" s="783"/>
      <c r="I47" s="783"/>
      <c r="J47" s="783"/>
      <c r="K47" s="783"/>
      <c r="L47" s="783"/>
      <c r="M47" s="783"/>
      <c r="N47" s="783"/>
      <c r="O47" s="783"/>
      <c r="P47" s="783"/>
      <c r="Q47" s="783"/>
      <c r="R47" s="783"/>
      <c r="S47" s="783"/>
      <c r="T47" s="783"/>
      <c r="U47" s="783"/>
      <c r="V47" s="783"/>
      <c r="W47" s="783"/>
      <c r="X47" s="783"/>
      <c r="Y47" s="783"/>
      <c r="Z47" s="783"/>
      <c r="AA47" s="783"/>
      <c r="AB47" s="783"/>
      <c r="AC47" s="784"/>
      <c r="AD47" s="783"/>
      <c r="AE47" s="784"/>
      <c r="AF47" s="785"/>
      <c r="AG47" s="785"/>
      <c r="AH47" s="785"/>
      <c r="AI47" s="785"/>
      <c r="AJ47" s="786"/>
      <c r="AK47" s="787"/>
      <c r="AL47" s="786"/>
      <c r="AM47" s="788"/>
      <c r="AN47" s="789"/>
      <c r="AO47" s="790"/>
      <c r="AP47" s="791"/>
      <c r="AQ47" s="790"/>
      <c r="AR47" s="792"/>
      <c r="AS47" s="792"/>
      <c r="AT47" s="792"/>
      <c r="AU47" s="792"/>
      <c r="AV47" s="792"/>
      <c r="AW47" s="792"/>
      <c r="AX47" s="792"/>
      <c r="AY47" s="792"/>
    </row>
    <row r="48">
      <c r="B48" s="783"/>
      <c r="D48" s="783"/>
      <c r="E48" s="783"/>
      <c r="F48" s="783"/>
      <c r="G48" s="783"/>
      <c r="H48" s="783"/>
      <c r="I48" s="783"/>
      <c r="J48" s="783"/>
      <c r="K48" s="783"/>
      <c r="L48" s="783"/>
      <c r="M48" s="783"/>
      <c r="N48" s="783"/>
      <c r="O48" s="783"/>
      <c r="P48" s="783"/>
      <c r="Q48" s="783"/>
      <c r="R48" s="783"/>
      <c r="S48" s="783"/>
      <c r="T48" s="783"/>
      <c r="U48" s="783"/>
      <c r="V48" s="783"/>
      <c r="W48" s="783"/>
      <c r="X48" s="783"/>
      <c r="Y48" s="783"/>
      <c r="Z48" s="783"/>
      <c r="AA48" s="783"/>
      <c r="AB48" s="783"/>
      <c r="AC48" s="784"/>
      <c r="AD48" s="783"/>
      <c r="AE48" s="784"/>
      <c r="AF48" s="785"/>
      <c r="AG48" s="785"/>
      <c r="AH48" s="785"/>
      <c r="AI48" s="785"/>
      <c r="AJ48" s="786"/>
      <c r="AK48" s="787"/>
      <c r="AL48" s="786"/>
      <c r="AM48" s="788"/>
      <c r="AN48" s="789"/>
      <c r="AO48" s="790"/>
      <c r="AP48" s="791"/>
      <c r="AQ48" s="790"/>
      <c r="AR48" s="792"/>
      <c r="AS48" s="792"/>
      <c r="AT48" s="792"/>
      <c r="AU48" s="792"/>
      <c r="AV48" s="792"/>
      <c r="AW48" s="792"/>
      <c r="AX48" s="792"/>
      <c r="AY48" s="792"/>
    </row>
    <row r="49">
      <c r="B49" s="783"/>
      <c r="D49" s="783"/>
      <c r="E49" s="783"/>
      <c r="F49" s="783"/>
      <c r="G49" s="783"/>
      <c r="H49" s="783"/>
      <c r="I49" s="783"/>
      <c r="J49" s="783"/>
      <c r="K49" s="783"/>
      <c r="L49" s="783"/>
      <c r="M49" s="783"/>
      <c r="N49" s="783"/>
      <c r="O49" s="783"/>
      <c r="P49" s="783"/>
      <c r="Q49" s="783"/>
      <c r="R49" s="783"/>
      <c r="S49" s="783"/>
      <c r="T49" s="783"/>
      <c r="U49" s="783"/>
      <c r="V49" s="783"/>
      <c r="W49" s="783"/>
      <c r="X49" s="783"/>
      <c r="Y49" s="783"/>
      <c r="Z49" s="783"/>
      <c r="AA49" s="783"/>
      <c r="AB49" s="783"/>
      <c r="AC49" s="784"/>
      <c r="AD49" s="783"/>
      <c r="AE49" s="784"/>
      <c r="AF49" s="785"/>
      <c r="AG49" s="785"/>
      <c r="AH49" s="785"/>
      <c r="AI49" s="785"/>
      <c r="AJ49" s="786"/>
      <c r="AK49" s="787"/>
      <c r="AL49" s="786"/>
      <c r="AM49" s="788"/>
      <c r="AN49" s="789"/>
      <c r="AO49" s="790"/>
      <c r="AP49" s="791"/>
      <c r="AQ49" s="790"/>
      <c r="AR49" s="792"/>
      <c r="AS49" s="792"/>
      <c r="AT49" s="792"/>
      <c r="AU49" s="792"/>
      <c r="AV49" s="792"/>
      <c r="AW49" s="792"/>
      <c r="AX49" s="792"/>
      <c r="AY49" s="792"/>
    </row>
    <row r="50">
      <c r="B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83"/>
      <c r="P50" s="783"/>
      <c r="Q50" s="783"/>
      <c r="R50" s="783"/>
      <c r="S50" s="783"/>
      <c r="T50" s="783"/>
      <c r="U50" s="783"/>
      <c r="V50" s="783"/>
      <c r="W50" s="783"/>
      <c r="X50" s="783"/>
      <c r="Y50" s="783"/>
      <c r="Z50" s="783"/>
      <c r="AA50" s="783"/>
      <c r="AB50" s="783"/>
      <c r="AC50" s="784"/>
      <c r="AD50" s="783"/>
      <c r="AE50" s="784"/>
      <c r="AF50" s="785"/>
      <c r="AG50" s="785"/>
      <c r="AH50" s="785"/>
      <c r="AI50" s="785"/>
      <c r="AJ50" s="786"/>
      <c r="AK50" s="787"/>
      <c r="AL50" s="786"/>
      <c r="AM50" s="788"/>
      <c r="AN50" s="789"/>
      <c r="AO50" s="790"/>
      <c r="AP50" s="791"/>
      <c r="AQ50" s="790"/>
      <c r="AR50" s="792"/>
      <c r="AS50" s="792"/>
      <c r="AT50" s="792"/>
      <c r="AU50" s="792"/>
      <c r="AV50" s="792"/>
      <c r="AW50" s="792"/>
      <c r="AX50" s="792"/>
      <c r="AY50" s="792"/>
    </row>
    <row r="51">
      <c r="B51" s="783"/>
      <c r="D51" s="783"/>
      <c r="E51" s="783"/>
      <c r="F51" s="783"/>
      <c r="G51" s="783"/>
      <c r="H51" s="783"/>
      <c r="I51" s="783"/>
      <c r="J51" s="783"/>
      <c r="K51" s="783"/>
      <c r="L51" s="783"/>
      <c r="M51" s="783"/>
      <c r="N51" s="783"/>
      <c r="O51" s="783"/>
      <c r="P51" s="783"/>
      <c r="Q51" s="783"/>
      <c r="R51" s="783"/>
      <c r="S51" s="783"/>
      <c r="T51" s="783"/>
      <c r="U51" s="783"/>
      <c r="V51" s="783"/>
      <c r="W51" s="783"/>
      <c r="X51" s="783"/>
      <c r="Y51" s="783"/>
      <c r="Z51" s="783"/>
      <c r="AA51" s="783"/>
      <c r="AB51" s="783"/>
      <c r="AC51" s="784"/>
      <c r="AD51" s="783"/>
      <c r="AE51" s="784"/>
      <c r="AF51" s="785"/>
      <c r="AG51" s="785"/>
      <c r="AH51" s="785"/>
      <c r="AI51" s="785"/>
      <c r="AJ51" s="786"/>
      <c r="AK51" s="787"/>
      <c r="AL51" s="786"/>
      <c r="AM51" s="788"/>
      <c r="AN51" s="789"/>
      <c r="AO51" s="790"/>
      <c r="AP51" s="791"/>
      <c r="AQ51" s="790"/>
      <c r="AR51" s="792"/>
      <c r="AS51" s="792"/>
      <c r="AT51" s="792"/>
      <c r="AU51" s="792"/>
      <c r="AV51" s="792"/>
      <c r="AW51" s="792"/>
      <c r="AX51" s="792"/>
      <c r="AY51" s="792"/>
    </row>
    <row r="52">
      <c r="B52" s="783"/>
      <c r="D52" s="783"/>
      <c r="E52" s="783"/>
      <c r="F52" s="783"/>
      <c r="G52" s="783"/>
      <c r="H52" s="783"/>
      <c r="I52" s="783"/>
      <c r="J52" s="783"/>
      <c r="K52" s="783"/>
      <c r="L52" s="783"/>
      <c r="M52" s="783"/>
      <c r="N52" s="783"/>
      <c r="O52" s="783"/>
      <c r="P52" s="783"/>
      <c r="Q52" s="783"/>
      <c r="R52" s="783"/>
      <c r="S52" s="783"/>
      <c r="T52" s="783"/>
      <c r="U52" s="783"/>
      <c r="V52" s="783"/>
      <c r="W52" s="783"/>
      <c r="X52" s="783"/>
      <c r="Y52" s="783"/>
      <c r="Z52" s="783"/>
      <c r="AA52" s="783"/>
      <c r="AB52" s="783"/>
      <c r="AC52" s="784"/>
      <c r="AD52" s="783"/>
      <c r="AE52" s="784"/>
      <c r="AF52" s="785"/>
      <c r="AG52" s="785"/>
      <c r="AH52" s="785"/>
      <c r="AI52" s="785"/>
      <c r="AJ52" s="786"/>
      <c r="AK52" s="787"/>
      <c r="AL52" s="786"/>
      <c r="AM52" s="788"/>
      <c r="AN52" s="789"/>
      <c r="AO52" s="790"/>
      <c r="AP52" s="791"/>
      <c r="AQ52" s="790"/>
      <c r="AR52" s="792"/>
      <c r="AS52" s="792"/>
      <c r="AT52" s="792"/>
      <c r="AU52" s="792"/>
      <c r="AV52" s="792"/>
      <c r="AW52" s="792"/>
      <c r="AX52" s="792"/>
      <c r="AY52" s="792"/>
    </row>
    <row r="53">
      <c r="B53" s="783"/>
      <c r="D53" s="783"/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83"/>
      <c r="P53" s="783"/>
      <c r="Q53" s="783"/>
      <c r="R53" s="783"/>
      <c r="S53" s="783"/>
      <c r="T53" s="783"/>
      <c r="U53" s="783"/>
      <c r="V53" s="783"/>
      <c r="W53" s="783"/>
      <c r="X53" s="783"/>
      <c r="Y53" s="783"/>
      <c r="Z53" s="783"/>
      <c r="AA53" s="783"/>
      <c r="AB53" s="783"/>
      <c r="AC53" s="784"/>
      <c r="AD53" s="783"/>
      <c r="AE53" s="784"/>
      <c r="AF53" s="785"/>
      <c r="AG53" s="785"/>
      <c r="AH53" s="785"/>
      <c r="AI53" s="785"/>
      <c r="AJ53" s="786"/>
      <c r="AK53" s="787"/>
      <c r="AL53" s="786"/>
      <c r="AM53" s="788"/>
      <c r="AN53" s="789"/>
      <c r="AO53" s="790"/>
      <c r="AP53" s="791"/>
      <c r="AQ53" s="790"/>
      <c r="AR53" s="792"/>
      <c r="AS53" s="792"/>
      <c r="AT53" s="792"/>
      <c r="AU53" s="792"/>
      <c r="AV53" s="792"/>
      <c r="AW53" s="792"/>
      <c r="AX53" s="792"/>
      <c r="AY53" s="792"/>
    </row>
    <row r="54">
      <c r="B54" s="783"/>
      <c r="D54" s="783"/>
      <c r="E54" s="783"/>
      <c r="F54" s="783"/>
      <c r="G54" s="783"/>
      <c r="H54" s="783"/>
      <c r="I54" s="783"/>
      <c r="J54" s="783"/>
      <c r="K54" s="783"/>
      <c r="L54" s="783"/>
      <c r="M54" s="783"/>
      <c r="N54" s="783"/>
      <c r="O54" s="783"/>
      <c r="P54" s="783"/>
      <c r="Q54" s="783"/>
      <c r="R54" s="783"/>
      <c r="S54" s="783"/>
      <c r="T54" s="783"/>
      <c r="U54" s="783"/>
      <c r="V54" s="783"/>
      <c r="W54" s="783"/>
      <c r="X54" s="783"/>
      <c r="Y54" s="783"/>
      <c r="Z54" s="783"/>
      <c r="AA54" s="783"/>
      <c r="AB54" s="783"/>
      <c r="AC54" s="784"/>
      <c r="AD54" s="783"/>
      <c r="AE54" s="784"/>
      <c r="AF54" s="785"/>
      <c r="AG54" s="785"/>
      <c r="AH54" s="785"/>
      <c r="AI54" s="785"/>
      <c r="AJ54" s="786"/>
      <c r="AK54" s="787"/>
      <c r="AL54" s="786"/>
      <c r="AM54" s="788"/>
      <c r="AN54" s="789"/>
      <c r="AO54" s="790"/>
      <c r="AP54" s="791"/>
      <c r="AQ54" s="790"/>
      <c r="AR54" s="792"/>
      <c r="AS54" s="792"/>
      <c r="AT54" s="792"/>
      <c r="AU54" s="792"/>
      <c r="AV54" s="792"/>
      <c r="AW54" s="792"/>
      <c r="AX54" s="792"/>
      <c r="AY54" s="792"/>
    </row>
    <row r="55">
      <c r="B55" s="783"/>
      <c r="D55" s="783"/>
      <c r="E55" s="783"/>
      <c r="F55" s="783"/>
      <c r="G55" s="783"/>
      <c r="H55" s="783"/>
      <c r="I55" s="783"/>
      <c r="J55" s="783"/>
      <c r="K55" s="783"/>
      <c r="L55" s="783"/>
      <c r="M55" s="783"/>
      <c r="N55" s="783"/>
      <c r="O55" s="783"/>
      <c r="P55" s="783"/>
      <c r="Q55" s="783"/>
      <c r="R55" s="783"/>
      <c r="S55" s="783"/>
      <c r="T55" s="783"/>
      <c r="U55" s="783"/>
      <c r="V55" s="783"/>
      <c r="W55" s="783"/>
      <c r="X55" s="783"/>
      <c r="Y55" s="783"/>
      <c r="Z55" s="783"/>
      <c r="AA55" s="783"/>
      <c r="AB55" s="783"/>
      <c r="AC55" s="784"/>
      <c r="AD55" s="783"/>
      <c r="AE55" s="784"/>
      <c r="AF55" s="785"/>
      <c r="AG55" s="785"/>
      <c r="AH55" s="785"/>
      <c r="AI55" s="785"/>
      <c r="AJ55" s="786"/>
      <c r="AK55" s="787"/>
      <c r="AL55" s="786"/>
      <c r="AM55" s="788"/>
      <c r="AN55" s="789"/>
      <c r="AO55" s="790"/>
      <c r="AP55" s="791"/>
      <c r="AQ55" s="790"/>
      <c r="AR55" s="792"/>
      <c r="AS55" s="792"/>
      <c r="AT55" s="792"/>
      <c r="AU55" s="792"/>
      <c r="AV55" s="792"/>
      <c r="AW55" s="792"/>
      <c r="AX55" s="792"/>
      <c r="AY55" s="792"/>
    </row>
    <row r="56">
      <c r="B56" s="783"/>
      <c r="D56" s="783"/>
      <c r="E56" s="783"/>
      <c r="F56" s="783"/>
      <c r="G56" s="783"/>
      <c r="H56" s="783"/>
      <c r="I56" s="783"/>
      <c r="J56" s="783"/>
      <c r="K56" s="783"/>
      <c r="L56" s="783"/>
      <c r="M56" s="783"/>
      <c r="N56" s="783"/>
      <c r="O56" s="783"/>
      <c r="P56" s="783"/>
      <c r="Q56" s="783"/>
      <c r="R56" s="783"/>
      <c r="S56" s="783"/>
      <c r="T56" s="783"/>
      <c r="U56" s="783"/>
      <c r="V56" s="783"/>
      <c r="W56" s="783"/>
      <c r="X56" s="783"/>
      <c r="Y56" s="783"/>
      <c r="Z56" s="783"/>
      <c r="AA56" s="783"/>
      <c r="AB56" s="783"/>
      <c r="AC56" s="784"/>
      <c r="AD56" s="783"/>
      <c r="AE56" s="784"/>
      <c r="AF56" s="785"/>
      <c r="AG56" s="785"/>
      <c r="AH56" s="785"/>
      <c r="AI56" s="785"/>
      <c r="AJ56" s="786"/>
      <c r="AK56" s="787"/>
      <c r="AL56" s="786"/>
      <c r="AM56" s="788"/>
      <c r="AN56" s="789"/>
      <c r="AO56" s="790"/>
      <c r="AP56" s="791"/>
      <c r="AQ56" s="790"/>
      <c r="AR56" s="792"/>
      <c r="AS56" s="792"/>
      <c r="AT56" s="792"/>
      <c r="AU56" s="792"/>
      <c r="AV56" s="792"/>
      <c r="AW56" s="792"/>
      <c r="AX56" s="792"/>
      <c r="AY56" s="792"/>
    </row>
    <row r="57">
      <c r="B57" s="783"/>
      <c r="D57" s="783"/>
      <c r="E57" s="783"/>
      <c r="F57" s="783"/>
      <c r="G57" s="783"/>
      <c r="H57" s="783"/>
      <c r="I57" s="783"/>
      <c r="J57" s="783"/>
      <c r="K57" s="783"/>
      <c r="L57" s="783"/>
      <c r="M57" s="783"/>
      <c r="N57" s="783"/>
      <c r="O57" s="783"/>
      <c r="P57" s="783"/>
      <c r="Q57" s="783"/>
      <c r="R57" s="783"/>
      <c r="S57" s="783"/>
      <c r="T57" s="783"/>
      <c r="U57" s="783"/>
      <c r="V57" s="783"/>
      <c r="W57" s="783"/>
      <c r="X57" s="783"/>
      <c r="Y57" s="783"/>
      <c r="Z57" s="783"/>
      <c r="AA57" s="783"/>
      <c r="AB57" s="783"/>
      <c r="AC57" s="784"/>
      <c r="AD57" s="783"/>
      <c r="AE57" s="784"/>
      <c r="AF57" s="785"/>
      <c r="AG57" s="785"/>
      <c r="AH57" s="785"/>
      <c r="AI57" s="785"/>
      <c r="AJ57" s="786"/>
      <c r="AK57" s="787"/>
      <c r="AL57" s="786"/>
      <c r="AM57" s="788"/>
      <c r="AN57" s="789"/>
      <c r="AO57" s="790"/>
      <c r="AP57" s="791"/>
      <c r="AQ57" s="790"/>
      <c r="AR57" s="792"/>
      <c r="AS57" s="792"/>
      <c r="AT57" s="792"/>
      <c r="AU57" s="792"/>
      <c r="AV57" s="792"/>
      <c r="AW57" s="792"/>
      <c r="AX57" s="792"/>
      <c r="AY57" s="792"/>
    </row>
    <row r="58">
      <c r="B58" s="783"/>
      <c r="D58" s="783"/>
      <c r="E58" s="783"/>
      <c r="F58" s="783"/>
      <c r="G58" s="783"/>
      <c r="H58" s="783"/>
      <c r="I58" s="783"/>
      <c r="J58" s="783"/>
      <c r="K58" s="783"/>
      <c r="L58" s="783"/>
      <c r="M58" s="783"/>
      <c r="N58" s="783"/>
      <c r="O58" s="783"/>
      <c r="P58" s="783"/>
      <c r="Q58" s="783"/>
      <c r="R58" s="783"/>
      <c r="S58" s="783"/>
      <c r="T58" s="783"/>
      <c r="U58" s="783"/>
      <c r="V58" s="783"/>
      <c r="W58" s="783"/>
      <c r="X58" s="783"/>
      <c r="Y58" s="783"/>
      <c r="Z58" s="783"/>
      <c r="AA58" s="783"/>
      <c r="AB58" s="783"/>
      <c r="AC58" s="784"/>
      <c r="AD58" s="783"/>
      <c r="AE58" s="784"/>
      <c r="AF58" s="785"/>
      <c r="AG58" s="785"/>
      <c r="AH58" s="785"/>
      <c r="AI58" s="785"/>
      <c r="AJ58" s="786"/>
      <c r="AK58" s="787"/>
      <c r="AL58" s="786"/>
      <c r="AM58" s="788"/>
      <c r="AN58" s="789"/>
      <c r="AO58" s="790"/>
      <c r="AP58" s="791"/>
      <c r="AQ58" s="790"/>
      <c r="AR58" s="792"/>
      <c r="AS58" s="792"/>
      <c r="AT58" s="792"/>
      <c r="AU58" s="792"/>
      <c r="AV58" s="792"/>
      <c r="AW58" s="792"/>
      <c r="AX58" s="792"/>
      <c r="AY58" s="792"/>
    </row>
    <row r="59">
      <c r="B59" s="783"/>
      <c r="D59" s="783"/>
      <c r="E59" s="783"/>
      <c r="F59" s="783"/>
      <c r="G59" s="783"/>
      <c r="H59" s="783"/>
      <c r="I59" s="783"/>
      <c r="J59" s="783"/>
      <c r="K59" s="783"/>
      <c r="L59" s="783"/>
      <c r="M59" s="783"/>
      <c r="N59" s="783"/>
      <c r="O59" s="783"/>
      <c r="P59" s="783"/>
      <c r="Q59" s="783"/>
      <c r="R59" s="783"/>
      <c r="S59" s="783"/>
      <c r="T59" s="783"/>
      <c r="U59" s="783"/>
      <c r="V59" s="783"/>
      <c r="W59" s="783"/>
      <c r="X59" s="783"/>
      <c r="Y59" s="783"/>
      <c r="Z59" s="783"/>
      <c r="AA59" s="783"/>
      <c r="AB59" s="783"/>
      <c r="AC59" s="784"/>
      <c r="AD59" s="783"/>
      <c r="AE59" s="784"/>
      <c r="AF59" s="785"/>
      <c r="AG59" s="785"/>
      <c r="AH59" s="785"/>
      <c r="AI59" s="785"/>
      <c r="AJ59" s="786"/>
      <c r="AK59" s="787"/>
      <c r="AL59" s="786"/>
      <c r="AM59" s="788"/>
      <c r="AN59" s="789"/>
      <c r="AO59" s="790"/>
      <c r="AP59" s="791"/>
      <c r="AQ59" s="790"/>
      <c r="AR59" s="792"/>
      <c r="AS59" s="792"/>
      <c r="AT59" s="792"/>
      <c r="AU59" s="792"/>
      <c r="AV59" s="792"/>
      <c r="AW59" s="792"/>
      <c r="AX59" s="792"/>
      <c r="AY59" s="792"/>
    </row>
    <row r="60">
      <c r="B60" s="783"/>
      <c r="D60" s="783"/>
      <c r="E60" s="783"/>
      <c r="F60" s="783"/>
      <c r="G60" s="783"/>
      <c r="H60" s="783"/>
      <c r="I60" s="783"/>
      <c r="J60" s="783"/>
      <c r="K60" s="783"/>
      <c r="L60" s="783"/>
      <c r="M60" s="783"/>
      <c r="N60" s="783"/>
      <c r="O60" s="783"/>
      <c r="P60" s="783"/>
      <c r="Q60" s="783"/>
      <c r="R60" s="783"/>
      <c r="S60" s="783"/>
      <c r="T60" s="783"/>
      <c r="U60" s="783"/>
      <c r="V60" s="783"/>
      <c r="W60" s="783"/>
      <c r="X60" s="783"/>
      <c r="Y60" s="783"/>
      <c r="Z60" s="783"/>
      <c r="AA60" s="783"/>
      <c r="AB60" s="783"/>
      <c r="AC60" s="784"/>
      <c r="AD60" s="783"/>
      <c r="AE60" s="784"/>
      <c r="AF60" s="785"/>
      <c r="AG60" s="785"/>
      <c r="AH60" s="785"/>
      <c r="AI60" s="785"/>
      <c r="AJ60" s="786"/>
      <c r="AK60" s="787"/>
      <c r="AL60" s="786"/>
      <c r="AM60" s="788"/>
      <c r="AN60" s="789"/>
      <c r="AO60" s="790"/>
      <c r="AP60" s="791"/>
      <c r="AQ60" s="790"/>
      <c r="AR60" s="792"/>
      <c r="AS60" s="792"/>
      <c r="AT60" s="792"/>
      <c r="AU60" s="792"/>
      <c r="AV60" s="792"/>
      <c r="AW60" s="792"/>
      <c r="AX60" s="792"/>
      <c r="AY60" s="792"/>
    </row>
    <row r="61">
      <c r="B61" s="783"/>
      <c r="D61" s="783"/>
      <c r="E61" s="783"/>
      <c r="F61" s="783"/>
      <c r="G61" s="783"/>
      <c r="H61" s="783"/>
      <c r="I61" s="783"/>
      <c r="J61" s="783"/>
      <c r="K61" s="783"/>
      <c r="L61" s="783"/>
      <c r="M61" s="783"/>
      <c r="N61" s="783"/>
      <c r="O61" s="783"/>
      <c r="P61" s="783"/>
      <c r="Q61" s="783"/>
      <c r="R61" s="783"/>
      <c r="S61" s="783"/>
      <c r="T61" s="783"/>
      <c r="U61" s="783"/>
      <c r="V61" s="783"/>
      <c r="W61" s="783"/>
      <c r="X61" s="783"/>
      <c r="Y61" s="783"/>
      <c r="Z61" s="783"/>
      <c r="AA61" s="783"/>
      <c r="AB61" s="783"/>
      <c r="AC61" s="784"/>
      <c r="AD61" s="783"/>
      <c r="AE61" s="784"/>
      <c r="AF61" s="785"/>
      <c r="AG61" s="785"/>
      <c r="AH61" s="785"/>
      <c r="AI61" s="785"/>
      <c r="AJ61" s="786"/>
      <c r="AK61" s="787"/>
      <c r="AL61" s="786"/>
      <c r="AM61" s="788"/>
      <c r="AN61" s="789"/>
      <c r="AO61" s="790"/>
      <c r="AP61" s="791"/>
      <c r="AQ61" s="790"/>
      <c r="AR61" s="792"/>
      <c r="AS61" s="792"/>
      <c r="AT61" s="792"/>
      <c r="AU61" s="792"/>
      <c r="AV61" s="792"/>
      <c r="AW61" s="792"/>
      <c r="AX61" s="792"/>
      <c r="AY61" s="792"/>
    </row>
    <row r="62">
      <c r="B62" s="783"/>
      <c r="D62" s="783"/>
      <c r="E62" s="783"/>
      <c r="F62" s="783"/>
      <c r="G62" s="783"/>
      <c r="H62" s="783"/>
      <c r="I62" s="783"/>
      <c r="J62" s="783"/>
      <c r="K62" s="783"/>
      <c r="L62" s="783"/>
      <c r="M62" s="783"/>
      <c r="N62" s="783"/>
      <c r="O62" s="783"/>
      <c r="P62" s="783"/>
      <c r="Q62" s="783"/>
      <c r="R62" s="783"/>
      <c r="S62" s="783"/>
      <c r="T62" s="783"/>
      <c r="U62" s="783"/>
      <c r="V62" s="783"/>
      <c r="W62" s="783"/>
      <c r="X62" s="783"/>
      <c r="Y62" s="783"/>
      <c r="Z62" s="783"/>
      <c r="AA62" s="783"/>
      <c r="AB62" s="783"/>
      <c r="AC62" s="784"/>
      <c r="AD62" s="783"/>
      <c r="AE62" s="784"/>
      <c r="AF62" s="785"/>
      <c r="AG62" s="785"/>
      <c r="AH62" s="785"/>
      <c r="AI62" s="785"/>
      <c r="AJ62" s="786"/>
      <c r="AK62" s="787"/>
      <c r="AL62" s="786"/>
      <c r="AM62" s="788"/>
      <c r="AN62" s="789"/>
      <c r="AO62" s="790"/>
      <c r="AP62" s="791"/>
      <c r="AQ62" s="790"/>
      <c r="AR62" s="792"/>
      <c r="AS62" s="792"/>
      <c r="AT62" s="792"/>
      <c r="AU62" s="792"/>
      <c r="AV62" s="792"/>
      <c r="AW62" s="792"/>
      <c r="AX62" s="792"/>
      <c r="AY62" s="792"/>
    </row>
    <row r="63">
      <c r="B63" s="783"/>
      <c r="D63" s="783"/>
      <c r="E63" s="783"/>
      <c r="F63" s="783"/>
      <c r="G63" s="783"/>
      <c r="H63" s="783"/>
      <c r="I63" s="783"/>
      <c r="J63" s="783"/>
      <c r="K63" s="783"/>
      <c r="L63" s="783"/>
      <c r="M63" s="783"/>
      <c r="N63" s="783"/>
      <c r="O63" s="783"/>
      <c r="P63" s="783"/>
      <c r="Q63" s="783"/>
      <c r="R63" s="783"/>
      <c r="S63" s="783"/>
      <c r="T63" s="783"/>
      <c r="U63" s="783"/>
      <c r="V63" s="783"/>
      <c r="W63" s="783"/>
      <c r="X63" s="783"/>
      <c r="Y63" s="783"/>
      <c r="Z63" s="783"/>
      <c r="AA63" s="783"/>
      <c r="AB63" s="783"/>
      <c r="AC63" s="784"/>
      <c r="AD63" s="783"/>
      <c r="AE63" s="784"/>
      <c r="AF63" s="785"/>
      <c r="AG63" s="785"/>
      <c r="AH63" s="785"/>
      <c r="AI63" s="785"/>
      <c r="AJ63" s="786"/>
      <c r="AK63" s="787"/>
      <c r="AL63" s="786"/>
      <c r="AM63" s="788"/>
      <c r="AN63" s="789"/>
      <c r="AO63" s="790"/>
      <c r="AP63" s="791"/>
      <c r="AQ63" s="790"/>
      <c r="AR63" s="792"/>
      <c r="AS63" s="792"/>
      <c r="AT63" s="792"/>
      <c r="AU63" s="792"/>
      <c r="AV63" s="792"/>
      <c r="AW63" s="792"/>
      <c r="AX63" s="792"/>
      <c r="AY63" s="792"/>
    </row>
    <row r="64">
      <c r="B64" s="783"/>
      <c r="D64" s="783"/>
      <c r="E64" s="783"/>
      <c r="F64" s="783"/>
      <c r="G64" s="783"/>
      <c r="H64" s="783"/>
      <c r="I64" s="783"/>
      <c r="J64" s="783"/>
      <c r="K64" s="783"/>
      <c r="L64" s="783"/>
      <c r="M64" s="783"/>
      <c r="N64" s="783"/>
      <c r="O64" s="783"/>
      <c r="P64" s="783"/>
      <c r="Q64" s="783"/>
      <c r="R64" s="783"/>
      <c r="S64" s="783"/>
      <c r="T64" s="783"/>
      <c r="U64" s="783"/>
      <c r="V64" s="783"/>
      <c r="W64" s="783"/>
      <c r="X64" s="783"/>
      <c r="Y64" s="783"/>
      <c r="Z64" s="783"/>
      <c r="AA64" s="783"/>
      <c r="AB64" s="783"/>
      <c r="AC64" s="784"/>
      <c r="AD64" s="783"/>
      <c r="AE64" s="784"/>
      <c r="AF64" s="785"/>
      <c r="AG64" s="785"/>
      <c r="AH64" s="785"/>
      <c r="AI64" s="785"/>
      <c r="AJ64" s="786"/>
      <c r="AK64" s="787"/>
      <c r="AL64" s="786"/>
      <c r="AM64" s="788"/>
      <c r="AN64" s="789"/>
      <c r="AO64" s="790"/>
      <c r="AP64" s="791"/>
      <c r="AQ64" s="790"/>
      <c r="AR64" s="792"/>
      <c r="AS64" s="792"/>
      <c r="AT64" s="792"/>
      <c r="AU64" s="792"/>
      <c r="AV64" s="792"/>
      <c r="AW64" s="792"/>
      <c r="AX64" s="792"/>
      <c r="AY64" s="792"/>
    </row>
    <row r="65">
      <c r="B65" s="783"/>
      <c r="D65" s="783"/>
      <c r="E65" s="783"/>
      <c r="F65" s="783"/>
      <c r="G65" s="783"/>
      <c r="H65" s="783"/>
      <c r="I65" s="783"/>
      <c r="J65" s="783"/>
      <c r="K65" s="783"/>
      <c r="L65" s="783"/>
      <c r="M65" s="783"/>
      <c r="N65" s="783"/>
      <c r="O65" s="783"/>
      <c r="P65" s="783"/>
      <c r="Q65" s="783"/>
      <c r="R65" s="783"/>
      <c r="S65" s="783"/>
      <c r="T65" s="783"/>
      <c r="U65" s="783"/>
      <c r="V65" s="783"/>
      <c r="W65" s="783"/>
      <c r="X65" s="783"/>
      <c r="Y65" s="783"/>
      <c r="Z65" s="783"/>
      <c r="AA65" s="783"/>
      <c r="AB65" s="783"/>
      <c r="AC65" s="784"/>
      <c r="AD65" s="783"/>
      <c r="AE65" s="784"/>
      <c r="AF65" s="785"/>
      <c r="AG65" s="785"/>
      <c r="AH65" s="785"/>
      <c r="AI65" s="785"/>
      <c r="AJ65" s="786"/>
      <c r="AK65" s="787"/>
      <c r="AL65" s="786"/>
      <c r="AM65" s="788"/>
      <c r="AN65" s="789"/>
      <c r="AO65" s="790"/>
      <c r="AP65" s="791"/>
      <c r="AQ65" s="790"/>
      <c r="AR65" s="792"/>
      <c r="AS65" s="792"/>
      <c r="AT65" s="792"/>
      <c r="AU65" s="792"/>
      <c r="AV65" s="792"/>
      <c r="AW65" s="792"/>
      <c r="AX65" s="792"/>
      <c r="AY65" s="792"/>
    </row>
    <row r="66">
      <c r="B66" s="783"/>
      <c r="D66" s="783"/>
      <c r="E66" s="783"/>
      <c r="F66" s="783"/>
      <c r="G66" s="783"/>
      <c r="H66" s="783"/>
      <c r="I66" s="783"/>
      <c r="J66" s="783"/>
      <c r="K66" s="783"/>
      <c r="L66" s="783"/>
      <c r="M66" s="783"/>
      <c r="N66" s="783"/>
      <c r="O66" s="783"/>
      <c r="P66" s="783"/>
      <c r="Q66" s="783"/>
      <c r="R66" s="783"/>
      <c r="S66" s="783"/>
      <c r="T66" s="783"/>
      <c r="U66" s="783"/>
      <c r="V66" s="783"/>
      <c r="W66" s="783"/>
      <c r="X66" s="783"/>
      <c r="Y66" s="783"/>
      <c r="Z66" s="783"/>
      <c r="AA66" s="783"/>
      <c r="AB66" s="783"/>
      <c r="AC66" s="784"/>
      <c r="AD66" s="783"/>
      <c r="AE66" s="784"/>
      <c r="AF66" s="785"/>
      <c r="AG66" s="785"/>
      <c r="AH66" s="785"/>
      <c r="AI66" s="785"/>
      <c r="AJ66" s="786"/>
      <c r="AK66" s="787"/>
      <c r="AL66" s="786"/>
      <c r="AM66" s="788"/>
      <c r="AN66" s="789"/>
      <c r="AO66" s="790"/>
      <c r="AP66" s="791"/>
      <c r="AQ66" s="790"/>
      <c r="AR66" s="792"/>
      <c r="AS66" s="792"/>
      <c r="AT66" s="792"/>
      <c r="AU66" s="792"/>
      <c r="AV66" s="792"/>
      <c r="AW66" s="792"/>
      <c r="AX66" s="792"/>
      <c r="AY66" s="792"/>
    </row>
    <row r="67">
      <c r="B67" s="783"/>
      <c r="D67" s="783"/>
      <c r="E67" s="783"/>
      <c r="F67" s="783"/>
      <c r="G67" s="783"/>
      <c r="H67" s="783"/>
      <c r="I67" s="783"/>
      <c r="J67" s="783"/>
      <c r="K67" s="783"/>
      <c r="L67" s="783"/>
      <c r="M67" s="783"/>
      <c r="N67" s="783"/>
      <c r="O67" s="783"/>
      <c r="P67" s="783"/>
      <c r="Q67" s="783"/>
      <c r="R67" s="783"/>
      <c r="S67" s="783"/>
      <c r="T67" s="783"/>
      <c r="U67" s="783"/>
      <c r="V67" s="783"/>
      <c r="W67" s="783"/>
      <c r="X67" s="783"/>
      <c r="Y67" s="783"/>
      <c r="Z67" s="783"/>
      <c r="AA67" s="783"/>
      <c r="AB67" s="783"/>
      <c r="AC67" s="784"/>
      <c r="AD67" s="783"/>
      <c r="AE67" s="784"/>
      <c r="AF67" s="785"/>
      <c r="AG67" s="785"/>
      <c r="AH67" s="785"/>
      <c r="AI67" s="785"/>
      <c r="AJ67" s="786"/>
      <c r="AK67" s="787"/>
      <c r="AL67" s="786"/>
      <c r="AM67" s="788"/>
      <c r="AN67" s="789"/>
      <c r="AO67" s="790"/>
      <c r="AP67" s="791"/>
      <c r="AQ67" s="790"/>
      <c r="AR67" s="792"/>
      <c r="AS67" s="792"/>
      <c r="AT67" s="792"/>
      <c r="AU67" s="792"/>
      <c r="AV67" s="792"/>
      <c r="AW67" s="792"/>
      <c r="AX67" s="792"/>
      <c r="AY67" s="792"/>
    </row>
    <row r="68">
      <c r="B68" s="783"/>
      <c r="D68" s="783"/>
      <c r="E68" s="783"/>
      <c r="F68" s="783"/>
      <c r="G68" s="783"/>
      <c r="H68" s="783"/>
      <c r="I68" s="783"/>
      <c r="J68" s="783"/>
      <c r="K68" s="783"/>
      <c r="L68" s="783"/>
      <c r="M68" s="783"/>
      <c r="N68" s="783"/>
      <c r="O68" s="783"/>
      <c r="P68" s="783"/>
      <c r="Q68" s="783"/>
      <c r="R68" s="783"/>
      <c r="S68" s="783"/>
      <c r="T68" s="783"/>
      <c r="U68" s="783"/>
      <c r="V68" s="783"/>
      <c r="W68" s="783"/>
      <c r="X68" s="783"/>
      <c r="Y68" s="783"/>
      <c r="Z68" s="783"/>
      <c r="AA68" s="783"/>
      <c r="AB68" s="783"/>
      <c r="AC68" s="784"/>
      <c r="AD68" s="783"/>
      <c r="AE68" s="784"/>
      <c r="AF68" s="785"/>
      <c r="AG68" s="785"/>
      <c r="AH68" s="785"/>
      <c r="AI68" s="785"/>
      <c r="AJ68" s="786"/>
      <c r="AK68" s="787"/>
      <c r="AL68" s="786"/>
      <c r="AM68" s="788"/>
      <c r="AN68" s="789"/>
      <c r="AO68" s="790"/>
      <c r="AP68" s="791"/>
      <c r="AQ68" s="790"/>
      <c r="AR68" s="792"/>
      <c r="AS68" s="792"/>
      <c r="AT68" s="792"/>
      <c r="AU68" s="792"/>
      <c r="AV68" s="792"/>
      <c r="AW68" s="792"/>
      <c r="AX68" s="792"/>
      <c r="AY68" s="792"/>
    </row>
    <row r="69">
      <c r="B69" s="783"/>
      <c r="D69" s="783"/>
      <c r="E69" s="783"/>
      <c r="F69" s="783"/>
      <c r="G69" s="783"/>
      <c r="H69" s="783"/>
      <c r="I69" s="783"/>
      <c r="J69" s="783"/>
      <c r="K69" s="783"/>
      <c r="L69" s="783"/>
      <c r="M69" s="783"/>
      <c r="N69" s="783"/>
      <c r="O69" s="783"/>
      <c r="P69" s="783"/>
      <c r="Q69" s="783"/>
      <c r="R69" s="783"/>
      <c r="S69" s="783"/>
      <c r="T69" s="783"/>
      <c r="U69" s="783"/>
      <c r="V69" s="783"/>
      <c r="W69" s="783"/>
      <c r="X69" s="783"/>
      <c r="Y69" s="783"/>
      <c r="Z69" s="783"/>
      <c r="AA69" s="783"/>
      <c r="AB69" s="783"/>
      <c r="AC69" s="784"/>
      <c r="AD69" s="783"/>
      <c r="AE69" s="784"/>
      <c r="AF69" s="785"/>
      <c r="AG69" s="785"/>
      <c r="AH69" s="785"/>
      <c r="AI69" s="785"/>
      <c r="AJ69" s="786"/>
      <c r="AK69" s="787"/>
      <c r="AL69" s="786"/>
      <c r="AM69" s="788"/>
      <c r="AN69" s="789"/>
      <c r="AO69" s="790"/>
      <c r="AP69" s="791"/>
      <c r="AQ69" s="790"/>
      <c r="AR69" s="792"/>
      <c r="AS69" s="792"/>
      <c r="AT69" s="792"/>
      <c r="AU69" s="792"/>
      <c r="AV69" s="792"/>
      <c r="AW69" s="792"/>
      <c r="AX69" s="792"/>
      <c r="AY69" s="792"/>
    </row>
    <row r="70">
      <c r="B70" s="783"/>
      <c r="D70" s="783"/>
      <c r="E70" s="783"/>
      <c r="F70" s="783"/>
      <c r="G70" s="783"/>
      <c r="H70" s="783"/>
      <c r="I70" s="783"/>
      <c r="J70" s="783"/>
      <c r="K70" s="783"/>
      <c r="L70" s="783"/>
      <c r="M70" s="783"/>
      <c r="N70" s="783"/>
      <c r="O70" s="783"/>
      <c r="P70" s="783"/>
      <c r="Q70" s="783"/>
      <c r="R70" s="783"/>
      <c r="S70" s="783"/>
      <c r="T70" s="783"/>
      <c r="U70" s="783"/>
      <c r="V70" s="783"/>
      <c r="W70" s="783"/>
      <c r="X70" s="783"/>
      <c r="Y70" s="783"/>
      <c r="Z70" s="783"/>
      <c r="AA70" s="783"/>
      <c r="AB70" s="783"/>
      <c r="AC70" s="784"/>
      <c r="AD70" s="783"/>
      <c r="AE70" s="784"/>
      <c r="AF70" s="785"/>
      <c r="AG70" s="785"/>
      <c r="AH70" s="785"/>
      <c r="AI70" s="785"/>
      <c r="AJ70" s="786"/>
      <c r="AK70" s="787"/>
      <c r="AL70" s="786"/>
      <c r="AM70" s="788"/>
      <c r="AN70" s="789"/>
      <c r="AO70" s="790"/>
      <c r="AP70" s="791"/>
      <c r="AQ70" s="790"/>
      <c r="AR70" s="792"/>
      <c r="AS70" s="792"/>
      <c r="AT70" s="792"/>
      <c r="AU70" s="792"/>
      <c r="AV70" s="792"/>
      <c r="AW70" s="792"/>
      <c r="AX70" s="792"/>
      <c r="AY70" s="792"/>
    </row>
    <row r="71">
      <c r="B71" s="783"/>
      <c r="D71" s="783"/>
      <c r="E71" s="783"/>
      <c r="F71" s="783"/>
      <c r="G71" s="783"/>
      <c r="H71" s="783"/>
      <c r="I71" s="783"/>
      <c r="J71" s="783"/>
      <c r="K71" s="783"/>
      <c r="L71" s="783"/>
      <c r="M71" s="783"/>
      <c r="N71" s="783"/>
      <c r="O71" s="783"/>
      <c r="P71" s="783"/>
      <c r="Q71" s="783"/>
      <c r="R71" s="783"/>
      <c r="S71" s="783"/>
      <c r="T71" s="783"/>
      <c r="U71" s="783"/>
      <c r="V71" s="783"/>
      <c r="W71" s="783"/>
      <c r="X71" s="783"/>
      <c r="Y71" s="783"/>
      <c r="Z71" s="783"/>
      <c r="AA71" s="783"/>
      <c r="AB71" s="783"/>
      <c r="AC71" s="784"/>
      <c r="AD71" s="783"/>
      <c r="AE71" s="784"/>
      <c r="AF71" s="785"/>
      <c r="AG71" s="785"/>
      <c r="AH71" s="785"/>
      <c r="AI71" s="785"/>
      <c r="AJ71" s="786"/>
      <c r="AK71" s="787"/>
      <c r="AL71" s="786"/>
      <c r="AM71" s="788"/>
      <c r="AN71" s="789"/>
      <c r="AO71" s="790"/>
      <c r="AP71" s="791"/>
      <c r="AQ71" s="790"/>
      <c r="AR71" s="792"/>
      <c r="AS71" s="792"/>
      <c r="AT71" s="792"/>
      <c r="AU71" s="792"/>
      <c r="AV71" s="792"/>
      <c r="AW71" s="792"/>
      <c r="AX71" s="792"/>
      <c r="AY71" s="792"/>
    </row>
    <row r="72">
      <c r="B72" s="783"/>
      <c r="D72" s="783"/>
      <c r="E72" s="783"/>
      <c r="F72" s="783"/>
      <c r="G72" s="783"/>
      <c r="H72" s="783"/>
      <c r="I72" s="783"/>
      <c r="J72" s="783"/>
      <c r="K72" s="783"/>
      <c r="L72" s="783"/>
      <c r="M72" s="783"/>
      <c r="N72" s="783"/>
      <c r="O72" s="783"/>
      <c r="P72" s="783"/>
      <c r="Q72" s="783"/>
      <c r="R72" s="783"/>
      <c r="S72" s="783"/>
      <c r="T72" s="783"/>
      <c r="U72" s="783"/>
      <c r="V72" s="783"/>
      <c r="W72" s="783"/>
      <c r="X72" s="783"/>
      <c r="Y72" s="783"/>
      <c r="Z72" s="783"/>
      <c r="AA72" s="783"/>
      <c r="AB72" s="783"/>
      <c r="AC72" s="784"/>
      <c r="AD72" s="783"/>
      <c r="AE72" s="784"/>
      <c r="AF72" s="785"/>
      <c r="AG72" s="785"/>
      <c r="AH72" s="785"/>
      <c r="AI72" s="785"/>
      <c r="AJ72" s="786"/>
      <c r="AK72" s="787"/>
      <c r="AL72" s="786"/>
      <c r="AM72" s="788"/>
      <c r="AN72" s="789"/>
      <c r="AO72" s="790"/>
      <c r="AP72" s="791"/>
      <c r="AQ72" s="790"/>
      <c r="AR72" s="792"/>
      <c r="AS72" s="792"/>
      <c r="AT72" s="792"/>
      <c r="AU72" s="792"/>
      <c r="AV72" s="792"/>
      <c r="AW72" s="792"/>
      <c r="AX72" s="792"/>
      <c r="AY72" s="792"/>
    </row>
    <row r="73">
      <c r="B73" s="783"/>
      <c r="D73" s="783"/>
      <c r="E73" s="783"/>
      <c r="F73" s="783"/>
      <c r="G73" s="783"/>
      <c r="H73" s="783"/>
      <c r="I73" s="783"/>
      <c r="J73" s="783"/>
      <c r="K73" s="783"/>
      <c r="L73" s="783"/>
      <c r="M73" s="783"/>
      <c r="N73" s="783"/>
      <c r="O73" s="783"/>
      <c r="P73" s="783"/>
      <c r="Q73" s="783"/>
      <c r="R73" s="783"/>
      <c r="S73" s="783"/>
      <c r="T73" s="783"/>
      <c r="U73" s="783"/>
      <c r="V73" s="783"/>
      <c r="W73" s="783"/>
      <c r="X73" s="783"/>
      <c r="Y73" s="783"/>
      <c r="Z73" s="783"/>
      <c r="AA73" s="783"/>
      <c r="AB73" s="783"/>
      <c r="AC73" s="784"/>
      <c r="AD73" s="783"/>
      <c r="AE73" s="784"/>
      <c r="AF73" s="785"/>
      <c r="AG73" s="785"/>
      <c r="AH73" s="785"/>
      <c r="AI73" s="785"/>
      <c r="AJ73" s="786"/>
      <c r="AK73" s="787"/>
      <c r="AL73" s="786"/>
      <c r="AM73" s="788"/>
      <c r="AN73" s="789"/>
      <c r="AO73" s="790"/>
      <c r="AP73" s="791"/>
      <c r="AQ73" s="790"/>
      <c r="AR73" s="792"/>
      <c r="AS73" s="792"/>
      <c r="AT73" s="792"/>
      <c r="AU73" s="792"/>
      <c r="AV73" s="792"/>
      <c r="AW73" s="792"/>
      <c r="AX73" s="792"/>
      <c r="AY73" s="792"/>
    </row>
    <row r="74">
      <c r="B74" s="783"/>
      <c r="D74" s="783"/>
      <c r="E74" s="783"/>
      <c r="F74" s="783"/>
      <c r="G74" s="783"/>
      <c r="H74" s="783"/>
      <c r="I74" s="783"/>
      <c r="J74" s="783"/>
      <c r="K74" s="783"/>
      <c r="L74" s="783"/>
      <c r="M74" s="783"/>
      <c r="N74" s="783"/>
      <c r="O74" s="783"/>
      <c r="P74" s="783"/>
      <c r="Q74" s="783"/>
      <c r="R74" s="783"/>
      <c r="S74" s="783"/>
      <c r="T74" s="783"/>
      <c r="U74" s="783"/>
      <c r="V74" s="783"/>
      <c r="W74" s="783"/>
      <c r="X74" s="783"/>
      <c r="Y74" s="783"/>
      <c r="Z74" s="783"/>
      <c r="AA74" s="783"/>
      <c r="AB74" s="783"/>
      <c r="AC74" s="784"/>
      <c r="AD74" s="783"/>
      <c r="AE74" s="784"/>
      <c r="AF74" s="785"/>
      <c r="AG74" s="785"/>
      <c r="AH74" s="785"/>
      <c r="AI74" s="785"/>
      <c r="AJ74" s="786"/>
      <c r="AK74" s="787"/>
      <c r="AL74" s="786"/>
      <c r="AM74" s="788"/>
      <c r="AN74" s="789"/>
      <c r="AO74" s="790"/>
      <c r="AP74" s="791"/>
      <c r="AQ74" s="790"/>
      <c r="AR74" s="792"/>
      <c r="AS74" s="792"/>
      <c r="AT74" s="792"/>
      <c r="AU74" s="792"/>
      <c r="AV74" s="792"/>
      <c r="AW74" s="792"/>
      <c r="AX74" s="792"/>
      <c r="AY74" s="792"/>
    </row>
    <row r="75">
      <c r="B75" s="783"/>
      <c r="D75" s="783"/>
      <c r="E75" s="783"/>
      <c r="F75" s="783"/>
      <c r="G75" s="783"/>
      <c r="H75" s="783"/>
      <c r="I75" s="783"/>
      <c r="J75" s="783"/>
      <c r="K75" s="783"/>
      <c r="L75" s="783"/>
      <c r="M75" s="783"/>
      <c r="N75" s="783"/>
      <c r="O75" s="783"/>
      <c r="P75" s="783"/>
      <c r="Q75" s="783"/>
      <c r="R75" s="783"/>
      <c r="S75" s="783"/>
      <c r="T75" s="783"/>
      <c r="U75" s="783"/>
      <c r="V75" s="783"/>
      <c r="W75" s="783"/>
      <c r="X75" s="783"/>
      <c r="Y75" s="783"/>
      <c r="Z75" s="783"/>
      <c r="AA75" s="783"/>
      <c r="AB75" s="783"/>
      <c r="AC75" s="784"/>
      <c r="AD75" s="783"/>
      <c r="AE75" s="784"/>
      <c r="AF75" s="785"/>
      <c r="AG75" s="785"/>
      <c r="AH75" s="785"/>
      <c r="AI75" s="785"/>
      <c r="AJ75" s="786"/>
      <c r="AK75" s="787"/>
      <c r="AL75" s="786"/>
      <c r="AM75" s="788"/>
      <c r="AN75" s="789"/>
      <c r="AO75" s="790"/>
      <c r="AP75" s="791"/>
      <c r="AQ75" s="790"/>
      <c r="AR75" s="792"/>
      <c r="AS75" s="792"/>
      <c r="AT75" s="792"/>
      <c r="AU75" s="792"/>
      <c r="AV75" s="792"/>
      <c r="AW75" s="792"/>
      <c r="AX75" s="792"/>
      <c r="AY75" s="792"/>
    </row>
    <row r="76">
      <c r="B76" s="783"/>
      <c r="D76" s="783"/>
      <c r="E76" s="783"/>
      <c r="F76" s="783"/>
      <c r="G76" s="783"/>
      <c r="H76" s="783"/>
      <c r="I76" s="783"/>
      <c r="J76" s="783"/>
      <c r="K76" s="783"/>
      <c r="L76" s="783"/>
      <c r="M76" s="783"/>
      <c r="N76" s="783"/>
      <c r="O76" s="783"/>
      <c r="P76" s="783"/>
      <c r="Q76" s="783"/>
      <c r="R76" s="783"/>
      <c r="S76" s="783"/>
      <c r="T76" s="783"/>
      <c r="U76" s="783"/>
      <c r="V76" s="783"/>
      <c r="W76" s="783"/>
      <c r="X76" s="783"/>
      <c r="Y76" s="783"/>
      <c r="Z76" s="783"/>
      <c r="AA76" s="783"/>
      <c r="AB76" s="783"/>
      <c r="AC76" s="784"/>
      <c r="AD76" s="783"/>
      <c r="AE76" s="784"/>
      <c r="AF76" s="785"/>
      <c r="AG76" s="785"/>
      <c r="AH76" s="785"/>
      <c r="AI76" s="785"/>
      <c r="AJ76" s="786"/>
      <c r="AK76" s="787"/>
      <c r="AL76" s="786"/>
      <c r="AM76" s="788"/>
      <c r="AN76" s="789"/>
      <c r="AO76" s="790"/>
      <c r="AP76" s="791"/>
      <c r="AQ76" s="790"/>
      <c r="AR76" s="792"/>
      <c r="AS76" s="792"/>
      <c r="AT76" s="792"/>
      <c r="AU76" s="792"/>
      <c r="AV76" s="792"/>
      <c r="AW76" s="792"/>
      <c r="AX76" s="792"/>
      <c r="AY76" s="792"/>
    </row>
    <row r="77">
      <c r="B77" s="783"/>
      <c r="D77" s="783"/>
      <c r="E77" s="783"/>
      <c r="F77" s="783"/>
      <c r="G77" s="783"/>
      <c r="H77" s="783"/>
      <c r="I77" s="783"/>
      <c r="J77" s="783"/>
      <c r="K77" s="783"/>
      <c r="L77" s="783"/>
      <c r="M77" s="783"/>
      <c r="N77" s="783"/>
      <c r="O77" s="783"/>
      <c r="P77" s="783"/>
      <c r="Q77" s="783"/>
      <c r="R77" s="783"/>
      <c r="S77" s="783"/>
      <c r="T77" s="783"/>
      <c r="U77" s="783"/>
      <c r="V77" s="783"/>
      <c r="W77" s="783"/>
      <c r="X77" s="783"/>
      <c r="Y77" s="783"/>
      <c r="Z77" s="783"/>
      <c r="AA77" s="783"/>
      <c r="AB77" s="783"/>
      <c r="AC77" s="784"/>
      <c r="AD77" s="783"/>
      <c r="AE77" s="784"/>
      <c r="AF77" s="785"/>
      <c r="AG77" s="785"/>
      <c r="AH77" s="785"/>
      <c r="AI77" s="785"/>
      <c r="AJ77" s="786"/>
      <c r="AK77" s="787"/>
      <c r="AL77" s="786"/>
      <c r="AM77" s="788"/>
      <c r="AN77" s="789"/>
      <c r="AO77" s="790"/>
      <c r="AP77" s="791"/>
      <c r="AQ77" s="790"/>
      <c r="AR77" s="792"/>
      <c r="AS77" s="792"/>
      <c r="AT77" s="792"/>
      <c r="AU77" s="792"/>
      <c r="AV77" s="792"/>
      <c r="AW77" s="792"/>
      <c r="AX77" s="792"/>
      <c r="AY77" s="792"/>
    </row>
    <row r="78">
      <c r="B78" s="783"/>
      <c r="D78" s="783"/>
      <c r="E78" s="783"/>
      <c r="F78" s="783"/>
      <c r="G78" s="783"/>
      <c r="H78" s="783"/>
      <c r="I78" s="783"/>
      <c r="J78" s="783"/>
      <c r="K78" s="783"/>
      <c r="L78" s="783"/>
      <c r="M78" s="783"/>
      <c r="N78" s="783"/>
      <c r="O78" s="783"/>
      <c r="P78" s="783"/>
      <c r="Q78" s="783"/>
      <c r="R78" s="783"/>
      <c r="S78" s="783"/>
      <c r="T78" s="783"/>
      <c r="U78" s="783"/>
      <c r="V78" s="783"/>
      <c r="W78" s="783"/>
      <c r="X78" s="783"/>
      <c r="Y78" s="783"/>
      <c r="Z78" s="783"/>
      <c r="AA78" s="783"/>
      <c r="AB78" s="783"/>
      <c r="AC78" s="784"/>
      <c r="AD78" s="783"/>
      <c r="AE78" s="784"/>
      <c r="AF78" s="785"/>
      <c r="AG78" s="785"/>
      <c r="AH78" s="785"/>
      <c r="AI78" s="785"/>
      <c r="AJ78" s="786"/>
      <c r="AK78" s="787"/>
      <c r="AL78" s="786"/>
      <c r="AM78" s="788"/>
      <c r="AN78" s="789"/>
      <c r="AO78" s="790"/>
      <c r="AP78" s="791"/>
      <c r="AQ78" s="790"/>
      <c r="AR78" s="792"/>
      <c r="AS78" s="792"/>
      <c r="AT78" s="792"/>
      <c r="AU78" s="792"/>
      <c r="AV78" s="792"/>
      <c r="AW78" s="792"/>
      <c r="AX78" s="792"/>
      <c r="AY78" s="792"/>
    </row>
    <row r="79">
      <c r="B79" s="783"/>
      <c r="D79" s="783"/>
      <c r="E79" s="783"/>
      <c r="F79" s="783"/>
      <c r="G79" s="783"/>
      <c r="H79" s="783"/>
      <c r="I79" s="783"/>
      <c r="J79" s="783"/>
      <c r="K79" s="783"/>
      <c r="L79" s="783"/>
      <c r="M79" s="783"/>
      <c r="N79" s="783"/>
      <c r="O79" s="783"/>
      <c r="P79" s="783"/>
      <c r="Q79" s="783"/>
      <c r="R79" s="783"/>
      <c r="S79" s="783"/>
      <c r="T79" s="783"/>
      <c r="U79" s="783"/>
      <c r="V79" s="783"/>
      <c r="W79" s="783"/>
      <c r="X79" s="783"/>
      <c r="Y79" s="783"/>
      <c r="Z79" s="783"/>
      <c r="AA79" s="783"/>
      <c r="AB79" s="783"/>
      <c r="AC79" s="784"/>
      <c r="AD79" s="783"/>
      <c r="AE79" s="784"/>
      <c r="AF79" s="785"/>
      <c r="AG79" s="785"/>
      <c r="AH79" s="785"/>
      <c r="AI79" s="785"/>
      <c r="AJ79" s="786"/>
      <c r="AK79" s="787"/>
      <c r="AL79" s="786"/>
      <c r="AM79" s="788"/>
      <c r="AN79" s="789"/>
      <c r="AO79" s="790"/>
      <c r="AP79" s="791"/>
      <c r="AQ79" s="790"/>
      <c r="AR79" s="792"/>
      <c r="AS79" s="792"/>
      <c r="AT79" s="792"/>
      <c r="AU79" s="792"/>
      <c r="AV79" s="792"/>
      <c r="AW79" s="792"/>
      <c r="AX79" s="792"/>
      <c r="AY79" s="792"/>
    </row>
    <row r="80">
      <c r="B80" s="783"/>
      <c r="D80" s="783"/>
      <c r="E80" s="783"/>
      <c r="F80" s="783"/>
      <c r="G80" s="783"/>
      <c r="H80" s="783"/>
      <c r="I80" s="783"/>
      <c r="J80" s="783"/>
      <c r="K80" s="783"/>
      <c r="L80" s="783"/>
      <c r="M80" s="783"/>
      <c r="N80" s="783"/>
      <c r="O80" s="783"/>
      <c r="P80" s="783"/>
      <c r="Q80" s="783"/>
      <c r="R80" s="783"/>
      <c r="S80" s="783"/>
      <c r="T80" s="783"/>
      <c r="U80" s="783"/>
      <c r="V80" s="783"/>
      <c r="W80" s="783"/>
      <c r="X80" s="783"/>
      <c r="Y80" s="783"/>
      <c r="Z80" s="783"/>
      <c r="AA80" s="783"/>
      <c r="AB80" s="783"/>
      <c r="AC80" s="784"/>
      <c r="AD80" s="783"/>
      <c r="AE80" s="784"/>
      <c r="AF80" s="785"/>
      <c r="AG80" s="785"/>
      <c r="AH80" s="785"/>
      <c r="AI80" s="785"/>
      <c r="AJ80" s="786"/>
      <c r="AK80" s="787"/>
      <c r="AL80" s="786"/>
      <c r="AM80" s="788"/>
      <c r="AN80" s="789"/>
      <c r="AO80" s="790"/>
      <c r="AP80" s="791"/>
      <c r="AQ80" s="790"/>
      <c r="AR80" s="792"/>
      <c r="AS80" s="792"/>
      <c r="AT80" s="792"/>
      <c r="AU80" s="792"/>
      <c r="AV80" s="792"/>
      <c r="AW80" s="792"/>
      <c r="AX80" s="792"/>
      <c r="AY80" s="792"/>
    </row>
    <row r="81">
      <c r="B81" s="783"/>
      <c r="D81" s="783"/>
      <c r="E81" s="783"/>
      <c r="F81" s="783"/>
      <c r="G81" s="783"/>
      <c r="H81" s="783"/>
      <c r="I81" s="783"/>
      <c r="J81" s="783"/>
      <c r="K81" s="783"/>
      <c r="L81" s="783"/>
      <c r="M81" s="783"/>
      <c r="N81" s="783"/>
      <c r="O81" s="783"/>
      <c r="P81" s="783"/>
      <c r="Q81" s="783"/>
      <c r="R81" s="783"/>
      <c r="S81" s="783"/>
      <c r="T81" s="783"/>
      <c r="U81" s="783"/>
      <c r="V81" s="783"/>
      <c r="W81" s="783"/>
      <c r="X81" s="783"/>
      <c r="Y81" s="783"/>
      <c r="Z81" s="783"/>
      <c r="AA81" s="783"/>
      <c r="AB81" s="783"/>
      <c r="AC81" s="784"/>
      <c r="AD81" s="783"/>
      <c r="AE81" s="784"/>
      <c r="AF81" s="785"/>
      <c r="AG81" s="785"/>
      <c r="AH81" s="785"/>
      <c r="AI81" s="785"/>
      <c r="AJ81" s="786"/>
      <c r="AK81" s="787"/>
      <c r="AL81" s="786"/>
      <c r="AM81" s="788"/>
      <c r="AN81" s="789"/>
      <c r="AO81" s="790"/>
      <c r="AP81" s="791"/>
      <c r="AQ81" s="790"/>
      <c r="AR81" s="792"/>
      <c r="AS81" s="792"/>
      <c r="AT81" s="792"/>
      <c r="AU81" s="792"/>
      <c r="AV81" s="792"/>
      <c r="AW81" s="792"/>
      <c r="AX81" s="792"/>
      <c r="AY81" s="792"/>
    </row>
    <row r="82">
      <c r="B82" s="783"/>
      <c r="D82" s="783"/>
      <c r="E82" s="783"/>
      <c r="F82" s="783"/>
      <c r="G82" s="783"/>
      <c r="H82" s="783"/>
      <c r="I82" s="783"/>
      <c r="J82" s="783"/>
      <c r="K82" s="783"/>
      <c r="L82" s="783"/>
      <c r="M82" s="783"/>
      <c r="N82" s="783"/>
      <c r="O82" s="783"/>
      <c r="P82" s="783"/>
      <c r="Q82" s="783"/>
      <c r="R82" s="783"/>
      <c r="S82" s="783"/>
      <c r="T82" s="783"/>
      <c r="U82" s="783"/>
      <c r="V82" s="783"/>
      <c r="W82" s="783"/>
      <c r="X82" s="783"/>
      <c r="Y82" s="783"/>
      <c r="Z82" s="783"/>
      <c r="AA82" s="783"/>
      <c r="AB82" s="783"/>
      <c r="AC82" s="784"/>
      <c r="AD82" s="783"/>
      <c r="AE82" s="784"/>
      <c r="AF82" s="785"/>
      <c r="AG82" s="785"/>
      <c r="AH82" s="785"/>
      <c r="AI82" s="785"/>
      <c r="AJ82" s="786"/>
      <c r="AK82" s="787"/>
      <c r="AL82" s="786"/>
      <c r="AM82" s="788"/>
      <c r="AN82" s="789"/>
      <c r="AO82" s="790"/>
      <c r="AP82" s="791"/>
      <c r="AQ82" s="790"/>
      <c r="AR82" s="792"/>
      <c r="AS82" s="792"/>
      <c r="AT82" s="792"/>
      <c r="AU82" s="792"/>
      <c r="AV82" s="792"/>
      <c r="AW82" s="792"/>
      <c r="AX82" s="792"/>
      <c r="AY82" s="792"/>
    </row>
    <row r="83">
      <c r="B83" s="783"/>
      <c r="D83" s="783"/>
      <c r="E83" s="783"/>
      <c r="F83" s="783"/>
      <c r="G83" s="783"/>
      <c r="H83" s="783"/>
      <c r="I83" s="783"/>
      <c r="J83" s="783"/>
      <c r="K83" s="783"/>
      <c r="L83" s="783"/>
      <c r="M83" s="783"/>
      <c r="N83" s="783"/>
      <c r="O83" s="783"/>
      <c r="P83" s="783"/>
      <c r="Q83" s="783"/>
      <c r="R83" s="783"/>
      <c r="S83" s="783"/>
      <c r="T83" s="783"/>
      <c r="U83" s="783"/>
      <c r="V83" s="783"/>
      <c r="W83" s="783"/>
      <c r="X83" s="783"/>
      <c r="Y83" s="783"/>
      <c r="Z83" s="783"/>
      <c r="AA83" s="783"/>
      <c r="AB83" s="783"/>
      <c r="AC83" s="784"/>
      <c r="AD83" s="783"/>
      <c r="AE83" s="784"/>
      <c r="AF83" s="785"/>
      <c r="AG83" s="785"/>
      <c r="AH83" s="785"/>
      <c r="AI83" s="785"/>
      <c r="AJ83" s="786"/>
      <c r="AK83" s="787"/>
      <c r="AL83" s="786"/>
      <c r="AM83" s="788"/>
      <c r="AN83" s="789"/>
      <c r="AO83" s="790"/>
      <c r="AP83" s="791"/>
      <c r="AQ83" s="790"/>
      <c r="AR83" s="792"/>
      <c r="AS83" s="792"/>
      <c r="AT83" s="792"/>
      <c r="AU83" s="792"/>
      <c r="AV83" s="792"/>
      <c r="AW83" s="792"/>
      <c r="AX83" s="792"/>
      <c r="AY83" s="792"/>
    </row>
    <row r="84">
      <c r="B84" s="783"/>
      <c r="D84" s="783"/>
      <c r="E84" s="783"/>
      <c r="F84" s="783"/>
      <c r="G84" s="783"/>
      <c r="H84" s="783"/>
      <c r="I84" s="783"/>
      <c r="J84" s="783"/>
      <c r="K84" s="783"/>
      <c r="L84" s="783"/>
      <c r="M84" s="783"/>
      <c r="N84" s="783"/>
      <c r="O84" s="783"/>
      <c r="P84" s="783"/>
      <c r="Q84" s="783"/>
      <c r="R84" s="783"/>
      <c r="S84" s="783"/>
      <c r="T84" s="783"/>
      <c r="U84" s="783"/>
      <c r="V84" s="783"/>
      <c r="W84" s="783"/>
      <c r="X84" s="783"/>
      <c r="Y84" s="783"/>
      <c r="Z84" s="783"/>
      <c r="AA84" s="783"/>
      <c r="AB84" s="783"/>
      <c r="AC84" s="784"/>
      <c r="AD84" s="783"/>
      <c r="AE84" s="784"/>
      <c r="AF84" s="785"/>
      <c r="AG84" s="785"/>
      <c r="AH84" s="785"/>
      <c r="AI84" s="785"/>
      <c r="AJ84" s="786"/>
      <c r="AK84" s="787"/>
      <c r="AL84" s="786"/>
      <c r="AM84" s="788"/>
      <c r="AN84" s="789"/>
      <c r="AO84" s="790"/>
      <c r="AP84" s="791"/>
      <c r="AQ84" s="790"/>
      <c r="AR84" s="792"/>
      <c r="AS84" s="792"/>
      <c r="AT84" s="792"/>
      <c r="AU84" s="792"/>
      <c r="AV84" s="792"/>
      <c r="AW84" s="792"/>
      <c r="AX84" s="792"/>
      <c r="AY84" s="792"/>
    </row>
    <row r="85">
      <c r="B85" s="783"/>
      <c r="D85" s="783"/>
      <c r="E85" s="783"/>
      <c r="F85" s="783"/>
      <c r="G85" s="783"/>
      <c r="H85" s="783"/>
      <c r="I85" s="783"/>
      <c r="J85" s="783"/>
      <c r="K85" s="783"/>
      <c r="L85" s="783"/>
      <c r="M85" s="783"/>
      <c r="N85" s="783"/>
      <c r="O85" s="783"/>
      <c r="P85" s="783"/>
      <c r="Q85" s="783"/>
      <c r="R85" s="783"/>
      <c r="S85" s="783"/>
      <c r="T85" s="783"/>
      <c r="U85" s="783"/>
      <c r="V85" s="783"/>
      <c r="W85" s="783"/>
      <c r="X85" s="783"/>
      <c r="Y85" s="783"/>
      <c r="Z85" s="783"/>
      <c r="AA85" s="783"/>
      <c r="AB85" s="783"/>
      <c r="AC85" s="784"/>
      <c r="AD85" s="783"/>
      <c r="AE85" s="784"/>
      <c r="AF85" s="785"/>
      <c r="AG85" s="785"/>
      <c r="AH85" s="785"/>
      <c r="AI85" s="785"/>
      <c r="AJ85" s="786"/>
      <c r="AK85" s="787"/>
      <c r="AL85" s="786"/>
      <c r="AM85" s="788"/>
      <c r="AN85" s="789"/>
      <c r="AO85" s="790"/>
      <c r="AP85" s="791"/>
      <c r="AQ85" s="790"/>
      <c r="AR85" s="792"/>
      <c r="AS85" s="792"/>
      <c r="AT85" s="792"/>
      <c r="AU85" s="792"/>
      <c r="AV85" s="792"/>
      <c r="AW85" s="792"/>
      <c r="AX85" s="792"/>
      <c r="AY85" s="792"/>
    </row>
    <row r="86">
      <c r="B86" s="783"/>
      <c r="D86" s="783"/>
      <c r="E86" s="783"/>
      <c r="F86" s="783"/>
      <c r="G86" s="783"/>
      <c r="H86" s="783"/>
      <c r="I86" s="783"/>
      <c r="J86" s="783"/>
      <c r="K86" s="783"/>
      <c r="L86" s="783"/>
      <c r="M86" s="783"/>
      <c r="N86" s="783"/>
      <c r="O86" s="783"/>
      <c r="P86" s="783"/>
      <c r="Q86" s="783"/>
      <c r="R86" s="783"/>
      <c r="S86" s="783"/>
      <c r="T86" s="783"/>
      <c r="U86" s="783"/>
      <c r="V86" s="783"/>
      <c r="W86" s="783"/>
      <c r="X86" s="783"/>
      <c r="Y86" s="783"/>
      <c r="Z86" s="783"/>
      <c r="AA86" s="783"/>
      <c r="AB86" s="783"/>
      <c r="AC86" s="784"/>
      <c r="AD86" s="783"/>
      <c r="AE86" s="784"/>
      <c r="AF86" s="785"/>
      <c r="AG86" s="785"/>
      <c r="AH86" s="785"/>
      <c r="AI86" s="785"/>
      <c r="AJ86" s="786"/>
      <c r="AK86" s="787"/>
      <c r="AL86" s="786"/>
      <c r="AM86" s="788"/>
      <c r="AN86" s="789"/>
      <c r="AO86" s="790"/>
      <c r="AP86" s="791"/>
      <c r="AQ86" s="790"/>
      <c r="AR86" s="792"/>
      <c r="AS86" s="792"/>
      <c r="AT86" s="792"/>
      <c r="AU86" s="792"/>
      <c r="AV86" s="792"/>
      <c r="AW86" s="792"/>
      <c r="AX86" s="792"/>
      <c r="AY86" s="792"/>
    </row>
    <row r="87">
      <c r="B87" s="783"/>
      <c r="D87" s="783"/>
      <c r="E87" s="783"/>
      <c r="F87" s="783"/>
      <c r="G87" s="783"/>
      <c r="H87" s="783"/>
      <c r="I87" s="783"/>
      <c r="J87" s="783"/>
      <c r="K87" s="783"/>
      <c r="L87" s="783"/>
      <c r="M87" s="783"/>
      <c r="N87" s="783"/>
      <c r="O87" s="783"/>
      <c r="P87" s="783"/>
      <c r="Q87" s="783"/>
      <c r="R87" s="783"/>
      <c r="S87" s="783"/>
      <c r="T87" s="783"/>
      <c r="U87" s="783"/>
      <c r="V87" s="783"/>
      <c r="W87" s="783"/>
      <c r="X87" s="783"/>
      <c r="Y87" s="783"/>
      <c r="Z87" s="783"/>
      <c r="AA87" s="783"/>
      <c r="AB87" s="783"/>
      <c r="AC87" s="784"/>
      <c r="AD87" s="783"/>
      <c r="AE87" s="784"/>
      <c r="AF87" s="785"/>
      <c r="AG87" s="785"/>
      <c r="AH87" s="785"/>
      <c r="AI87" s="785"/>
      <c r="AJ87" s="786"/>
      <c r="AK87" s="787"/>
      <c r="AL87" s="786"/>
      <c r="AM87" s="788"/>
      <c r="AN87" s="789"/>
      <c r="AO87" s="790"/>
      <c r="AP87" s="791"/>
      <c r="AQ87" s="790"/>
      <c r="AR87" s="792"/>
      <c r="AS87" s="792"/>
      <c r="AT87" s="792"/>
      <c r="AU87" s="792"/>
      <c r="AV87" s="792"/>
      <c r="AW87" s="792"/>
      <c r="AX87" s="792"/>
      <c r="AY87" s="792"/>
    </row>
    <row r="88">
      <c r="B88" s="783"/>
      <c r="D88" s="783"/>
      <c r="E88" s="783"/>
      <c r="F88" s="783"/>
      <c r="G88" s="783"/>
      <c r="H88" s="783"/>
      <c r="I88" s="783"/>
      <c r="J88" s="783"/>
      <c r="K88" s="783"/>
      <c r="L88" s="783"/>
      <c r="M88" s="783"/>
      <c r="N88" s="783"/>
      <c r="O88" s="783"/>
      <c r="P88" s="783"/>
      <c r="Q88" s="783"/>
      <c r="R88" s="783"/>
      <c r="S88" s="783"/>
      <c r="T88" s="783"/>
      <c r="U88" s="783"/>
      <c r="V88" s="783"/>
      <c r="W88" s="783"/>
      <c r="X88" s="783"/>
      <c r="Y88" s="783"/>
      <c r="Z88" s="783"/>
      <c r="AA88" s="783"/>
      <c r="AB88" s="783"/>
      <c r="AC88" s="784"/>
      <c r="AD88" s="783"/>
      <c r="AE88" s="784"/>
      <c r="AF88" s="785"/>
      <c r="AG88" s="785"/>
      <c r="AH88" s="785"/>
      <c r="AI88" s="785"/>
      <c r="AJ88" s="786"/>
      <c r="AK88" s="787"/>
      <c r="AL88" s="786"/>
      <c r="AM88" s="788"/>
      <c r="AN88" s="789"/>
      <c r="AO88" s="790"/>
      <c r="AP88" s="791"/>
      <c r="AQ88" s="790"/>
      <c r="AR88" s="792"/>
      <c r="AS88" s="792"/>
      <c r="AT88" s="792"/>
      <c r="AU88" s="792"/>
      <c r="AV88" s="792"/>
      <c r="AW88" s="792"/>
      <c r="AX88" s="792"/>
      <c r="AY88" s="792"/>
    </row>
    <row r="89">
      <c r="B89" s="783"/>
      <c r="D89" s="783"/>
      <c r="E89" s="783"/>
      <c r="F89" s="783"/>
      <c r="G89" s="783"/>
      <c r="H89" s="783"/>
      <c r="I89" s="783"/>
      <c r="J89" s="783"/>
      <c r="K89" s="783"/>
      <c r="L89" s="783"/>
      <c r="M89" s="783"/>
      <c r="N89" s="783"/>
      <c r="O89" s="783"/>
      <c r="P89" s="783"/>
      <c r="Q89" s="783"/>
      <c r="R89" s="783"/>
      <c r="S89" s="783"/>
      <c r="T89" s="783"/>
      <c r="U89" s="783"/>
      <c r="V89" s="783"/>
      <c r="W89" s="783"/>
      <c r="X89" s="783"/>
      <c r="Y89" s="783"/>
      <c r="Z89" s="783"/>
      <c r="AA89" s="783"/>
      <c r="AB89" s="783"/>
      <c r="AC89" s="784"/>
      <c r="AD89" s="783"/>
      <c r="AE89" s="784"/>
      <c r="AF89" s="785"/>
      <c r="AG89" s="785"/>
      <c r="AH89" s="785"/>
      <c r="AI89" s="785"/>
      <c r="AJ89" s="786"/>
      <c r="AK89" s="787"/>
      <c r="AL89" s="786"/>
      <c r="AM89" s="788"/>
      <c r="AN89" s="789"/>
      <c r="AO89" s="790"/>
      <c r="AP89" s="791"/>
      <c r="AQ89" s="790"/>
      <c r="AR89" s="792"/>
      <c r="AS89" s="792"/>
      <c r="AT89" s="792"/>
      <c r="AU89" s="792"/>
      <c r="AV89" s="792"/>
      <c r="AW89" s="792"/>
      <c r="AX89" s="792"/>
      <c r="AY89" s="792"/>
    </row>
    <row r="90">
      <c r="B90" s="783"/>
      <c r="D90" s="783"/>
      <c r="E90" s="783"/>
      <c r="F90" s="783"/>
      <c r="G90" s="783"/>
      <c r="H90" s="783"/>
      <c r="I90" s="783"/>
      <c r="J90" s="783"/>
      <c r="K90" s="783"/>
      <c r="L90" s="783"/>
      <c r="M90" s="783"/>
      <c r="N90" s="783"/>
      <c r="O90" s="783"/>
      <c r="P90" s="783"/>
      <c r="Q90" s="783"/>
      <c r="R90" s="783"/>
      <c r="S90" s="783"/>
      <c r="T90" s="783"/>
      <c r="U90" s="783"/>
      <c r="V90" s="783"/>
      <c r="W90" s="783"/>
      <c r="X90" s="783"/>
      <c r="Y90" s="783"/>
      <c r="Z90" s="783"/>
      <c r="AA90" s="783"/>
      <c r="AB90" s="783"/>
      <c r="AC90" s="784"/>
      <c r="AD90" s="783"/>
      <c r="AE90" s="784"/>
      <c r="AF90" s="785"/>
      <c r="AG90" s="785"/>
      <c r="AH90" s="785"/>
      <c r="AI90" s="785"/>
      <c r="AJ90" s="786"/>
      <c r="AK90" s="787"/>
      <c r="AL90" s="786"/>
      <c r="AM90" s="788"/>
      <c r="AN90" s="789"/>
      <c r="AO90" s="790"/>
      <c r="AP90" s="791"/>
      <c r="AQ90" s="790"/>
      <c r="AR90" s="792"/>
      <c r="AS90" s="792"/>
      <c r="AT90" s="792"/>
      <c r="AU90" s="792"/>
      <c r="AV90" s="792"/>
      <c r="AW90" s="792"/>
      <c r="AX90" s="792"/>
      <c r="AY90" s="792"/>
    </row>
    <row r="91">
      <c r="B91" s="783"/>
      <c r="D91" s="783"/>
      <c r="E91" s="783"/>
      <c r="F91" s="783"/>
      <c r="G91" s="783"/>
      <c r="H91" s="783"/>
      <c r="I91" s="783"/>
      <c r="J91" s="783"/>
      <c r="K91" s="783"/>
      <c r="L91" s="783"/>
      <c r="M91" s="783"/>
      <c r="N91" s="783"/>
      <c r="O91" s="783"/>
      <c r="P91" s="783"/>
      <c r="Q91" s="783"/>
      <c r="R91" s="783"/>
      <c r="S91" s="783"/>
      <c r="T91" s="783"/>
      <c r="U91" s="783"/>
      <c r="V91" s="783"/>
      <c r="W91" s="783"/>
      <c r="X91" s="783"/>
      <c r="Y91" s="783"/>
      <c r="Z91" s="783"/>
      <c r="AA91" s="783"/>
      <c r="AB91" s="783"/>
      <c r="AC91" s="784"/>
      <c r="AD91" s="783"/>
      <c r="AE91" s="784"/>
      <c r="AF91" s="785"/>
      <c r="AG91" s="785"/>
      <c r="AH91" s="785"/>
      <c r="AI91" s="785"/>
      <c r="AJ91" s="786"/>
      <c r="AK91" s="787"/>
      <c r="AL91" s="786"/>
      <c r="AM91" s="788"/>
      <c r="AN91" s="789"/>
      <c r="AO91" s="790"/>
      <c r="AP91" s="791"/>
      <c r="AQ91" s="790"/>
      <c r="AR91" s="792"/>
      <c r="AS91" s="792"/>
      <c r="AT91" s="792"/>
      <c r="AU91" s="792"/>
      <c r="AV91" s="792"/>
      <c r="AW91" s="792"/>
      <c r="AX91" s="792"/>
      <c r="AY91" s="792"/>
    </row>
    <row r="92">
      <c r="B92" s="783"/>
      <c r="D92" s="783"/>
      <c r="E92" s="783"/>
      <c r="F92" s="783"/>
      <c r="G92" s="783"/>
      <c r="H92" s="783"/>
      <c r="I92" s="783"/>
      <c r="J92" s="783"/>
      <c r="K92" s="783"/>
      <c r="L92" s="783"/>
      <c r="M92" s="783"/>
      <c r="N92" s="783"/>
      <c r="O92" s="783"/>
      <c r="P92" s="783"/>
      <c r="Q92" s="783"/>
      <c r="R92" s="783"/>
      <c r="S92" s="783"/>
      <c r="T92" s="783"/>
      <c r="U92" s="783"/>
      <c r="V92" s="783"/>
      <c r="W92" s="783"/>
      <c r="X92" s="783"/>
      <c r="Y92" s="783"/>
      <c r="Z92" s="783"/>
      <c r="AA92" s="783"/>
      <c r="AB92" s="783"/>
      <c r="AC92" s="784"/>
      <c r="AD92" s="783"/>
      <c r="AE92" s="784"/>
      <c r="AF92" s="785"/>
      <c r="AG92" s="785"/>
      <c r="AH92" s="785"/>
      <c r="AI92" s="785"/>
      <c r="AJ92" s="786"/>
      <c r="AK92" s="787"/>
      <c r="AL92" s="786"/>
      <c r="AM92" s="788"/>
      <c r="AN92" s="789"/>
      <c r="AO92" s="790"/>
      <c r="AP92" s="791"/>
      <c r="AQ92" s="790"/>
      <c r="AR92" s="792"/>
      <c r="AS92" s="792"/>
      <c r="AT92" s="792"/>
      <c r="AU92" s="792"/>
      <c r="AV92" s="792"/>
      <c r="AW92" s="792"/>
      <c r="AX92" s="792"/>
      <c r="AY92" s="792"/>
    </row>
    <row r="93">
      <c r="B93" s="783"/>
      <c r="D93" s="783"/>
      <c r="E93" s="783"/>
      <c r="F93" s="783"/>
      <c r="G93" s="783"/>
      <c r="H93" s="783"/>
      <c r="I93" s="783"/>
      <c r="J93" s="783"/>
      <c r="K93" s="783"/>
      <c r="L93" s="783"/>
      <c r="M93" s="783"/>
      <c r="N93" s="783"/>
      <c r="O93" s="783"/>
      <c r="P93" s="783"/>
      <c r="Q93" s="783"/>
      <c r="R93" s="783"/>
      <c r="S93" s="783"/>
      <c r="T93" s="783"/>
      <c r="U93" s="783"/>
      <c r="V93" s="783"/>
      <c r="W93" s="783"/>
      <c r="X93" s="783"/>
      <c r="Y93" s="783"/>
      <c r="Z93" s="783"/>
      <c r="AA93" s="783"/>
      <c r="AB93" s="783"/>
      <c r="AC93" s="784"/>
      <c r="AD93" s="783"/>
      <c r="AE93" s="784"/>
      <c r="AF93" s="785"/>
      <c r="AG93" s="785"/>
      <c r="AH93" s="785"/>
      <c r="AI93" s="785"/>
      <c r="AJ93" s="786"/>
      <c r="AK93" s="787"/>
      <c r="AL93" s="786"/>
      <c r="AM93" s="788"/>
      <c r="AN93" s="789"/>
      <c r="AO93" s="790"/>
      <c r="AP93" s="791"/>
      <c r="AQ93" s="790"/>
      <c r="AR93" s="792"/>
      <c r="AS93" s="792"/>
      <c r="AT93" s="792"/>
      <c r="AU93" s="792"/>
      <c r="AV93" s="792"/>
      <c r="AW93" s="792"/>
      <c r="AX93" s="792"/>
      <c r="AY93" s="792"/>
    </row>
    <row r="94">
      <c r="B94" s="783"/>
      <c r="D94" s="783"/>
      <c r="E94" s="783"/>
      <c r="F94" s="783"/>
      <c r="G94" s="783"/>
      <c r="H94" s="783"/>
      <c r="I94" s="783"/>
      <c r="J94" s="783"/>
      <c r="K94" s="783"/>
      <c r="L94" s="783"/>
      <c r="M94" s="783"/>
      <c r="N94" s="783"/>
      <c r="O94" s="783"/>
      <c r="P94" s="783"/>
      <c r="Q94" s="783"/>
      <c r="R94" s="783"/>
      <c r="S94" s="783"/>
      <c r="T94" s="783"/>
      <c r="U94" s="783"/>
      <c r="V94" s="783"/>
      <c r="W94" s="783"/>
      <c r="X94" s="783"/>
      <c r="Y94" s="783"/>
      <c r="Z94" s="783"/>
      <c r="AA94" s="783"/>
      <c r="AB94" s="783"/>
      <c r="AC94" s="784"/>
      <c r="AD94" s="783"/>
      <c r="AE94" s="784"/>
      <c r="AF94" s="785"/>
      <c r="AG94" s="785"/>
      <c r="AH94" s="785"/>
      <c r="AI94" s="785"/>
      <c r="AJ94" s="786"/>
      <c r="AK94" s="787"/>
      <c r="AL94" s="786"/>
      <c r="AM94" s="788"/>
      <c r="AN94" s="789"/>
      <c r="AO94" s="790"/>
      <c r="AP94" s="791"/>
      <c r="AQ94" s="790"/>
      <c r="AR94" s="792"/>
      <c r="AS94" s="792"/>
      <c r="AT94" s="792"/>
      <c r="AU94" s="792"/>
      <c r="AV94" s="792"/>
      <c r="AW94" s="792"/>
      <c r="AX94" s="792"/>
      <c r="AY94" s="792"/>
    </row>
    <row r="95">
      <c r="B95" s="783"/>
      <c r="D95" s="783"/>
      <c r="E95" s="783"/>
      <c r="F95" s="783"/>
      <c r="G95" s="783"/>
      <c r="H95" s="783"/>
      <c r="I95" s="783"/>
      <c r="J95" s="783"/>
      <c r="K95" s="783"/>
      <c r="L95" s="783"/>
      <c r="M95" s="783"/>
      <c r="N95" s="783"/>
      <c r="O95" s="783"/>
      <c r="P95" s="783"/>
      <c r="Q95" s="783"/>
      <c r="R95" s="783"/>
      <c r="S95" s="783"/>
      <c r="T95" s="783"/>
      <c r="U95" s="783"/>
      <c r="V95" s="783"/>
      <c r="W95" s="783"/>
      <c r="X95" s="783"/>
      <c r="Y95" s="783"/>
      <c r="Z95" s="783"/>
      <c r="AA95" s="783"/>
      <c r="AB95" s="783"/>
      <c r="AC95" s="784"/>
      <c r="AD95" s="783"/>
      <c r="AE95" s="784"/>
      <c r="AF95" s="785"/>
      <c r="AG95" s="785"/>
      <c r="AH95" s="785"/>
      <c r="AI95" s="785"/>
      <c r="AJ95" s="786"/>
      <c r="AK95" s="787"/>
      <c r="AL95" s="786"/>
      <c r="AM95" s="788"/>
      <c r="AN95" s="789"/>
      <c r="AO95" s="790"/>
      <c r="AP95" s="791"/>
      <c r="AQ95" s="790"/>
      <c r="AR95" s="792"/>
      <c r="AS95" s="792"/>
      <c r="AT95" s="792"/>
      <c r="AU95" s="792"/>
      <c r="AV95" s="792"/>
      <c r="AW95" s="792"/>
      <c r="AX95" s="792"/>
      <c r="AY95" s="792"/>
    </row>
    <row r="96">
      <c r="B96" s="783"/>
      <c r="D96" s="783"/>
      <c r="E96" s="783"/>
      <c r="F96" s="783"/>
      <c r="G96" s="783"/>
      <c r="H96" s="783"/>
      <c r="I96" s="783"/>
      <c r="J96" s="783"/>
      <c r="K96" s="783"/>
      <c r="L96" s="783"/>
      <c r="M96" s="783"/>
      <c r="N96" s="783"/>
      <c r="O96" s="783"/>
      <c r="P96" s="783"/>
      <c r="Q96" s="783"/>
      <c r="R96" s="783"/>
      <c r="S96" s="783"/>
      <c r="T96" s="783"/>
      <c r="U96" s="783"/>
      <c r="V96" s="783"/>
      <c r="W96" s="783"/>
      <c r="X96" s="783"/>
      <c r="Y96" s="783"/>
      <c r="Z96" s="783"/>
      <c r="AA96" s="783"/>
      <c r="AB96" s="783"/>
      <c r="AC96" s="784"/>
      <c r="AD96" s="783"/>
      <c r="AE96" s="784"/>
      <c r="AF96" s="785"/>
      <c r="AG96" s="785"/>
      <c r="AH96" s="785"/>
      <c r="AI96" s="785"/>
      <c r="AJ96" s="786"/>
      <c r="AK96" s="787"/>
      <c r="AL96" s="786"/>
      <c r="AM96" s="788"/>
      <c r="AN96" s="789"/>
      <c r="AO96" s="790"/>
      <c r="AP96" s="791"/>
      <c r="AQ96" s="790"/>
      <c r="AR96" s="792"/>
      <c r="AS96" s="792"/>
      <c r="AT96" s="792"/>
      <c r="AU96" s="792"/>
      <c r="AV96" s="792"/>
      <c r="AW96" s="792"/>
      <c r="AX96" s="792"/>
      <c r="AY96" s="792"/>
    </row>
    <row r="97">
      <c r="B97" s="783"/>
      <c r="D97" s="783"/>
      <c r="E97" s="783"/>
      <c r="F97" s="783"/>
      <c r="G97" s="783"/>
      <c r="H97" s="783"/>
      <c r="I97" s="783"/>
      <c r="J97" s="783"/>
      <c r="K97" s="783"/>
      <c r="L97" s="783"/>
      <c r="M97" s="783"/>
      <c r="N97" s="783"/>
      <c r="O97" s="783"/>
      <c r="P97" s="783"/>
      <c r="Q97" s="783"/>
      <c r="R97" s="783"/>
      <c r="S97" s="783"/>
      <c r="T97" s="783"/>
      <c r="U97" s="783"/>
      <c r="V97" s="783"/>
      <c r="W97" s="783"/>
      <c r="X97" s="783"/>
      <c r="Y97" s="783"/>
      <c r="Z97" s="783"/>
      <c r="AA97" s="783"/>
      <c r="AB97" s="783"/>
      <c r="AC97" s="784"/>
      <c r="AD97" s="783"/>
      <c r="AE97" s="784"/>
      <c r="AF97" s="785"/>
      <c r="AG97" s="785"/>
      <c r="AH97" s="785"/>
      <c r="AI97" s="785"/>
      <c r="AJ97" s="786"/>
      <c r="AK97" s="787"/>
      <c r="AL97" s="786"/>
      <c r="AM97" s="788"/>
      <c r="AN97" s="789"/>
      <c r="AO97" s="790"/>
      <c r="AP97" s="791"/>
      <c r="AQ97" s="790"/>
      <c r="AR97" s="792"/>
      <c r="AS97" s="792"/>
      <c r="AT97" s="792"/>
      <c r="AU97" s="792"/>
      <c r="AV97" s="792"/>
      <c r="AW97" s="792"/>
      <c r="AX97" s="792"/>
      <c r="AY97" s="792"/>
    </row>
    <row r="98">
      <c r="B98" s="783"/>
      <c r="D98" s="783"/>
      <c r="E98" s="783"/>
      <c r="F98" s="783"/>
      <c r="G98" s="783"/>
      <c r="H98" s="783"/>
      <c r="I98" s="783"/>
      <c r="J98" s="783"/>
      <c r="K98" s="783"/>
      <c r="L98" s="783"/>
      <c r="M98" s="783"/>
      <c r="N98" s="783"/>
      <c r="O98" s="783"/>
      <c r="P98" s="783"/>
      <c r="Q98" s="783"/>
      <c r="R98" s="783"/>
      <c r="S98" s="783"/>
      <c r="T98" s="783"/>
      <c r="U98" s="783"/>
      <c r="V98" s="783"/>
      <c r="W98" s="783"/>
      <c r="X98" s="783"/>
      <c r="Y98" s="783"/>
      <c r="Z98" s="783"/>
      <c r="AA98" s="783"/>
      <c r="AB98" s="783"/>
      <c r="AC98" s="784"/>
      <c r="AD98" s="783"/>
      <c r="AE98" s="784"/>
      <c r="AF98" s="785"/>
      <c r="AG98" s="785"/>
      <c r="AH98" s="785"/>
      <c r="AI98" s="785"/>
      <c r="AJ98" s="786"/>
      <c r="AK98" s="787"/>
      <c r="AL98" s="786"/>
      <c r="AM98" s="788"/>
      <c r="AN98" s="789"/>
      <c r="AO98" s="790"/>
      <c r="AP98" s="791"/>
      <c r="AQ98" s="790"/>
      <c r="AR98" s="792"/>
      <c r="AS98" s="792"/>
      <c r="AT98" s="792"/>
      <c r="AU98" s="792"/>
      <c r="AV98" s="792"/>
      <c r="AW98" s="792"/>
      <c r="AX98" s="792"/>
      <c r="AY98" s="792"/>
    </row>
    <row r="99">
      <c r="B99" s="783"/>
      <c r="D99" s="783"/>
      <c r="E99" s="783"/>
      <c r="F99" s="783"/>
      <c r="G99" s="783"/>
      <c r="H99" s="783"/>
      <c r="I99" s="783"/>
      <c r="J99" s="783"/>
      <c r="K99" s="783"/>
      <c r="L99" s="783"/>
      <c r="M99" s="783"/>
      <c r="N99" s="783"/>
      <c r="O99" s="783"/>
      <c r="P99" s="783"/>
      <c r="Q99" s="783"/>
      <c r="R99" s="783"/>
      <c r="S99" s="783"/>
      <c r="T99" s="783"/>
      <c r="U99" s="783"/>
      <c r="V99" s="783"/>
      <c r="W99" s="783"/>
      <c r="X99" s="783"/>
      <c r="Y99" s="783"/>
      <c r="Z99" s="783"/>
      <c r="AA99" s="783"/>
      <c r="AB99" s="783"/>
      <c r="AC99" s="784"/>
      <c r="AD99" s="783"/>
      <c r="AE99" s="784"/>
      <c r="AF99" s="785"/>
      <c r="AG99" s="785"/>
      <c r="AH99" s="785"/>
      <c r="AI99" s="785"/>
      <c r="AJ99" s="786"/>
      <c r="AK99" s="787"/>
      <c r="AL99" s="786"/>
      <c r="AM99" s="788"/>
      <c r="AN99" s="789"/>
      <c r="AO99" s="790"/>
      <c r="AP99" s="791"/>
      <c r="AQ99" s="790"/>
      <c r="AR99" s="792"/>
      <c r="AS99" s="792"/>
      <c r="AT99" s="792"/>
      <c r="AU99" s="792"/>
      <c r="AV99" s="792"/>
      <c r="AW99" s="792"/>
      <c r="AX99" s="792"/>
      <c r="AY99" s="792"/>
    </row>
    <row r="100">
      <c r="B100" s="783"/>
      <c r="D100" s="783"/>
      <c r="E100" s="783"/>
      <c r="F100" s="783"/>
      <c r="G100" s="783"/>
      <c r="H100" s="783"/>
      <c r="I100" s="783"/>
      <c r="J100" s="783"/>
      <c r="K100" s="783"/>
      <c r="L100" s="783"/>
      <c r="M100" s="783"/>
      <c r="N100" s="783"/>
      <c r="O100" s="783"/>
      <c r="P100" s="783"/>
      <c r="Q100" s="783"/>
      <c r="R100" s="783"/>
      <c r="S100" s="783"/>
      <c r="T100" s="783"/>
      <c r="U100" s="783"/>
      <c r="V100" s="783"/>
      <c r="W100" s="783"/>
      <c r="X100" s="783"/>
      <c r="Y100" s="783"/>
      <c r="Z100" s="783"/>
      <c r="AA100" s="783"/>
      <c r="AB100" s="783"/>
      <c r="AC100" s="784"/>
      <c r="AD100" s="783"/>
      <c r="AE100" s="784"/>
      <c r="AF100" s="785"/>
      <c r="AG100" s="785"/>
      <c r="AH100" s="785"/>
      <c r="AI100" s="785"/>
      <c r="AJ100" s="786"/>
      <c r="AK100" s="787"/>
      <c r="AL100" s="786"/>
      <c r="AM100" s="788"/>
      <c r="AN100" s="789"/>
      <c r="AO100" s="790"/>
      <c r="AP100" s="791"/>
      <c r="AQ100" s="790"/>
      <c r="AR100" s="792"/>
      <c r="AS100" s="792"/>
      <c r="AT100" s="792"/>
      <c r="AU100" s="792"/>
      <c r="AV100" s="792"/>
      <c r="AW100" s="792"/>
      <c r="AX100" s="792"/>
      <c r="AY100" s="792"/>
    </row>
    <row r="101">
      <c r="B101" s="783"/>
      <c r="D101" s="783"/>
      <c r="E101" s="783"/>
      <c r="F101" s="783"/>
      <c r="G101" s="783"/>
      <c r="H101" s="783"/>
      <c r="I101" s="783"/>
      <c r="J101" s="783"/>
      <c r="K101" s="783"/>
      <c r="L101" s="783"/>
      <c r="M101" s="783"/>
      <c r="N101" s="783"/>
      <c r="O101" s="783"/>
      <c r="P101" s="783"/>
      <c r="Q101" s="783"/>
      <c r="R101" s="783"/>
      <c r="S101" s="783"/>
      <c r="T101" s="783"/>
      <c r="U101" s="783"/>
      <c r="V101" s="783"/>
      <c r="W101" s="783"/>
      <c r="X101" s="783"/>
      <c r="Y101" s="783"/>
      <c r="Z101" s="783"/>
      <c r="AA101" s="783"/>
      <c r="AB101" s="783"/>
      <c r="AC101" s="784"/>
      <c r="AD101" s="783"/>
      <c r="AE101" s="784"/>
      <c r="AF101" s="785"/>
      <c r="AG101" s="785"/>
      <c r="AH101" s="785"/>
      <c r="AI101" s="785"/>
      <c r="AJ101" s="786"/>
      <c r="AK101" s="787"/>
      <c r="AL101" s="786"/>
      <c r="AM101" s="788"/>
      <c r="AN101" s="789"/>
      <c r="AO101" s="790"/>
      <c r="AP101" s="791"/>
      <c r="AQ101" s="790"/>
      <c r="AR101" s="792"/>
      <c r="AS101" s="792"/>
      <c r="AT101" s="792"/>
      <c r="AU101" s="792"/>
      <c r="AV101" s="792"/>
      <c r="AW101" s="792"/>
      <c r="AX101" s="792"/>
      <c r="AY101" s="792"/>
    </row>
    <row r="102">
      <c r="B102" s="783"/>
      <c r="D102" s="783"/>
      <c r="E102" s="783"/>
      <c r="F102" s="783"/>
      <c r="G102" s="783"/>
      <c r="H102" s="783"/>
      <c r="I102" s="783"/>
      <c r="J102" s="783"/>
      <c r="K102" s="783"/>
      <c r="L102" s="783"/>
      <c r="M102" s="783"/>
      <c r="N102" s="783"/>
      <c r="O102" s="783"/>
      <c r="P102" s="783"/>
      <c r="Q102" s="783"/>
      <c r="R102" s="783"/>
      <c r="S102" s="783"/>
      <c r="T102" s="783"/>
      <c r="U102" s="783"/>
      <c r="V102" s="783"/>
      <c r="W102" s="783"/>
      <c r="X102" s="783"/>
      <c r="Y102" s="783"/>
      <c r="Z102" s="783"/>
      <c r="AA102" s="783"/>
      <c r="AB102" s="783"/>
      <c r="AC102" s="784"/>
      <c r="AD102" s="783"/>
      <c r="AE102" s="784"/>
      <c r="AF102" s="785"/>
      <c r="AG102" s="785"/>
      <c r="AH102" s="785"/>
      <c r="AI102" s="785"/>
      <c r="AJ102" s="786"/>
      <c r="AK102" s="787"/>
      <c r="AL102" s="786"/>
      <c r="AM102" s="788"/>
      <c r="AN102" s="789"/>
      <c r="AO102" s="790"/>
      <c r="AP102" s="791"/>
      <c r="AQ102" s="790"/>
      <c r="AR102" s="792"/>
      <c r="AS102" s="792"/>
      <c r="AT102" s="792"/>
      <c r="AU102" s="792"/>
      <c r="AV102" s="792"/>
      <c r="AW102" s="792"/>
      <c r="AX102" s="792"/>
      <c r="AY102" s="792"/>
    </row>
    <row r="103">
      <c r="B103" s="783"/>
      <c r="D103" s="783"/>
      <c r="E103" s="783"/>
      <c r="F103" s="783"/>
      <c r="G103" s="783"/>
      <c r="H103" s="783"/>
      <c r="I103" s="783"/>
      <c r="J103" s="783"/>
      <c r="K103" s="783"/>
      <c r="L103" s="783"/>
      <c r="M103" s="783"/>
      <c r="N103" s="783"/>
      <c r="O103" s="783"/>
      <c r="P103" s="783"/>
      <c r="Q103" s="783"/>
      <c r="R103" s="783"/>
      <c r="S103" s="783"/>
      <c r="T103" s="783"/>
      <c r="U103" s="783"/>
      <c r="V103" s="783"/>
      <c r="W103" s="783"/>
      <c r="X103" s="783"/>
      <c r="Y103" s="783"/>
      <c r="Z103" s="783"/>
      <c r="AA103" s="783"/>
      <c r="AB103" s="783"/>
      <c r="AC103" s="784"/>
      <c r="AD103" s="783"/>
      <c r="AE103" s="784"/>
      <c r="AF103" s="785"/>
      <c r="AG103" s="785"/>
      <c r="AH103" s="785"/>
      <c r="AI103" s="785"/>
      <c r="AJ103" s="786"/>
      <c r="AK103" s="787"/>
      <c r="AL103" s="786"/>
      <c r="AM103" s="788"/>
      <c r="AN103" s="789"/>
      <c r="AO103" s="790"/>
      <c r="AP103" s="791"/>
      <c r="AQ103" s="790"/>
      <c r="AR103" s="792"/>
      <c r="AS103" s="792"/>
      <c r="AT103" s="792"/>
      <c r="AU103" s="792"/>
      <c r="AV103" s="792"/>
      <c r="AW103" s="792"/>
      <c r="AX103" s="792"/>
      <c r="AY103" s="792"/>
    </row>
    <row r="104">
      <c r="B104" s="783"/>
      <c r="D104" s="783"/>
      <c r="E104" s="783"/>
      <c r="F104" s="783"/>
      <c r="G104" s="783"/>
      <c r="H104" s="783"/>
      <c r="I104" s="783"/>
      <c r="J104" s="783"/>
      <c r="K104" s="783"/>
      <c r="L104" s="783"/>
      <c r="M104" s="783"/>
      <c r="N104" s="783"/>
      <c r="O104" s="783"/>
      <c r="P104" s="783"/>
      <c r="Q104" s="783"/>
      <c r="R104" s="783"/>
      <c r="S104" s="783"/>
      <c r="T104" s="783"/>
      <c r="U104" s="783"/>
      <c r="V104" s="783"/>
      <c r="W104" s="783"/>
      <c r="X104" s="783"/>
      <c r="Y104" s="783"/>
      <c r="Z104" s="783"/>
      <c r="AA104" s="783"/>
      <c r="AB104" s="783"/>
      <c r="AC104" s="784"/>
      <c r="AD104" s="783"/>
      <c r="AE104" s="784"/>
      <c r="AF104" s="785"/>
      <c r="AG104" s="785"/>
      <c r="AH104" s="785"/>
      <c r="AI104" s="785"/>
      <c r="AJ104" s="786"/>
      <c r="AK104" s="787"/>
      <c r="AL104" s="786"/>
      <c r="AM104" s="788"/>
      <c r="AN104" s="789"/>
      <c r="AO104" s="790"/>
      <c r="AP104" s="791"/>
      <c r="AQ104" s="790"/>
      <c r="AR104" s="792"/>
      <c r="AS104" s="792"/>
      <c r="AT104" s="792"/>
      <c r="AU104" s="792"/>
      <c r="AV104" s="792"/>
      <c r="AW104" s="792"/>
      <c r="AX104" s="792"/>
      <c r="AY104" s="792"/>
    </row>
    <row r="105">
      <c r="B105" s="783"/>
      <c r="D105" s="783"/>
      <c r="E105" s="783"/>
      <c r="F105" s="783"/>
      <c r="G105" s="783"/>
      <c r="H105" s="783"/>
      <c r="I105" s="783"/>
      <c r="J105" s="783"/>
      <c r="K105" s="783"/>
      <c r="L105" s="783"/>
      <c r="M105" s="783"/>
      <c r="N105" s="783"/>
      <c r="O105" s="783"/>
      <c r="P105" s="783"/>
      <c r="Q105" s="783"/>
      <c r="R105" s="783"/>
      <c r="S105" s="783"/>
      <c r="T105" s="783"/>
      <c r="U105" s="783"/>
      <c r="V105" s="783"/>
      <c r="W105" s="783"/>
      <c r="X105" s="783"/>
      <c r="Y105" s="783"/>
      <c r="Z105" s="783"/>
      <c r="AA105" s="783"/>
      <c r="AB105" s="783"/>
      <c r="AC105" s="784"/>
      <c r="AD105" s="783"/>
      <c r="AE105" s="784"/>
      <c r="AF105" s="785"/>
      <c r="AG105" s="785"/>
      <c r="AH105" s="785"/>
      <c r="AI105" s="785"/>
      <c r="AJ105" s="786"/>
      <c r="AK105" s="787"/>
      <c r="AL105" s="786"/>
      <c r="AM105" s="788"/>
      <c r="AN105" s="789"/>
      <c r="AO105" s="790"/>
      <c r="AP105" s="791"/>
      <c r="AQ105" s="790"/>
      <c r="AR105" s="792"/>
      <c r="AS105" s="792"/>
      <c r="AT105" s="792"/>
      <c r="AU105" s="792"/>
      <c r="AV105" s="792"/>
      <c r="AW105" s="792"/>
      <c r="AX105" s="792"/>
      <c r="AY105" s="792"/>
    </row>
    <row r="106">
      <c r="B106" s="783"/>
      <c r="D106" s="783"/>
      <c r="E106" s="783"/>
      <c r="F106" s="783"/>
      <c r="G106" s="783"/>
      <c r="H106" s="783"/>
      <c r="I106" s="783"/>
      <c r="J106" s="783"/>
      <c r="K106" s="783"/>
      <c r="L106" s="783"/>
      <c r="M106" s="783"/>
      <c r="N106" s="783"/>
      <c r="O106" s="783"/>
      <c r="P106" s="783"/>
      <c r="Q106" s="783"/>
      <c r="R106" s="783"/>
      <c r="S106" s="783"/>
      <c r="T106" s="783"/>
      <c r="U106" s="783"/>
      <c r="V106" s="783"/>
      <c r="W106" s="783"/>
      <c r="X106" s="783"/>
      <c r="Y106" s="783"/>
      <c r="Z106" s="783"/>
      <c r="AA106" s="783"/>
      <c r="AB106" s="783"/>
      <c r="AC106" s="784"/>
      <c r="AD106" s="783"/>
      <c r="AE106" s="784"/>
      <c r="AF106" s="785"/>
      <c r="AG106" s="785"/>
      <c r="AH106" s="785"/>
      <c r="AI106" s="785"/>
      <c r="AJ106" s="786"/>
      <c r="AK106" s="787"/>
      <c r="AL106" s="786"/>
      <c r="AM106" s="788"/>
      <c r="AN106" s="789"/>
      <c r="AO106" s="790"/>
      <c r="AP106" s="791"/>
      <c r="AQ106" s="790"/>
      <c r="AR106" s="792"/>
      <c r="AS106" s="792"/>
      <c r="AT106" s="792"/>
      <c r="AU106" s="792"/>
      <c r="AV106" s="792"/>
      <c r="AW106" s="792"/>
      <c r="AX106" s="792"/>
      <c r="AY106" s="792"/>
    </row>
    <row r="107">
      <c r="B107" s="783"/>
      <c r="D107" s="783"/>
      <c r="E107" s="783"/>
      <c r="F107" s="783"/>
      <c r="G107" s="783"/>
      <c r="H107" s="783"/>
      <c r="I107" s="783"/>
      <c r="J107" s="783"/>
      <c r="K107" s="783"/>
      <c r="L107" s="783"/>
      <c r="M107" s="783"/>
      <c r="N107" s="783"/>
      <c r="O107" s="783"/>
      <c r="P107" s="783"/>
      <c r="Q107" s="783"/>
      <c r="R107" s="783"/>
      <c r="S107" s="783"/>
      <c r="T107" s="783"/>
      <c r="U107" s="783"/>
      <c r="V107" s="783"/>
      <c r="W107" s="783"/>
      <c r="X107" s="783"/>
      <c r="Y107" s="783"/>
      <c r="Z107" s="783"/>
      <c r="AA107" s="783"/>
      <c r="AB107" s="783"/>
      <c r="AC107" s="784"/>
      <c r="AD107" s="783"/>
      <c r="AE107" s="784"/>
      <c r="AF107" s="785"/>
      <c r="AG107" s="785"/>
      <c r="AH107" s="785"/>
      <c r="AI107" s="785"/>
      <c r="AJ107" s="786"/>
      <c r="AK107" s="787"/>
      <c r="AL107" s="786"/>
      <c r="AM107" s="788"/>
      <c r="AN107" s="789"/>
      <c r="AO107" s="790"/>
      <c r="AP107" s="791"/>
      <c r="AQ107" s="790"/>
      <c r="AR107" s="792"/>
      <c r="AS107" s="792"/>
      <c r="AT107" s="792"/>
      <c r="AU107" s="792"/>
      <c r="AV107" s="792"/>
      <c r="AW107" s="792"/>
      <c r="AX107" s="792"/>
      <c r="AY107" s="792"/>
    </row>
    <row r="108">
      <c r="B108" s="783"/>
      <c r="D108" s="783"/>
      <c r="E108" s="783"/>
      <c r="F108" s="783"/>
      <c r="G108" s="783"/>
      <c r="H108" s="783"/>
      <c r="I108" s="783"/>
      <c r="J108" s="783"/>
      <c r="K108" s="783"/>
      <c r="L108" s="783"/>
      <c r="M108" s="783"/>
      <c r="N108" s="783"/>
      <c r="O108" s="783"/>
      <c r="P108" s="783"/>
      <c r="Q108" s="783"/>
      <c r="R108" s="783"/>
      <c r="S108" s="783"/>
      <c r="T108" s="783"/>
      <c r="U108" s="783"/>
      <c r="V108" s="783"/>
      <c r="W108" s="783"/>
      <c r="X108" s="783"/>
      <c r="Y108" s="783"/>
      <c r="Z108" s="783"/>
      <c r="AA108" s="783"/>
      <c r="AB108" s="783"/>
      <c r="AC108" s="784"/>
      <c r="AD108" s="783"/>
      <c r="AE108" s="784"/>
      <c r="AF108" s="785"/>
      <c r="AG108" s="785"/>
      <c r="AH108" s="785"/>
      <c r="AI108" s="785"/>
      <c r="AJ108" s="786"/>
      <c r="AK108" s="787"/>
      <c r="AL108" s="786"/>
      <c r="AM108" s="788"/>
      <c r="AN108" s="789"/>
      <c r="AO108" s="790"/>
      <c r="AP108" s="791"/>
      <c r="AQ108" s="790"/>
      <c r="AR108" s="792"/>
      <c r="AS108" s="792"/>
      <c r="AT108" s="792"/>
      <c r="AU108" s="792"/>
      <c r="AV108" s="792"/>
      <c r="AW108" s="792"/>
      <c r="AX108" s="792"/>
      <c r="AY108" s="792"/>
    </row>
    <row r="109">
      <c r="B109" s="783"/>
      <c r="D109" s="783"/>
      <c r="E109" s="783"/>
      <c r="F109" s="783"/>
      <c r="G109" s="783"/>
      <c r="H109" s="783"/>
      <c r="I109" s="783"/>
      <c r="J109" s="783"/>
      <c r="K109" s="783"/>
      <c r="L109" s="783"/>
      <c r="M109" s="783"/>
      <c r="N109" s="783"/>
      <c r="O109" s="783"/>
      <c r="P109" s="783"/>
      <c r="Q109" s="783"/>
      <c r="R109" s="783"/>
      <c r="S109" s="783"/>
      <c r="T109" s="783"/>
      <c r="U109" s="783"/>
      <c r="V109" s="783"/>
      <c r="W109" s="783"/>
      <c r="X109" s="783"/>
      <c r="Y109" s="783"/>
      <c r="Z109" s="783"/>
      <c r="AA109" s="783"/>
      <c r="AB109" s="783"/>
      <c r="AC109" s="784"/>
      <c r="AD109" s="783"/>
      <c r="AE109" s="784"/>
      <c r="AF109" s="785"/>
      <c r="AG109" s="785"/>
      <c r="AH109" s="785"/>
      <c r="AI109" s="785"/>
      <c r="AJ109" s="786"/>
      <c r="AK109" s="787"/>
      <c r="AL109" s="786"/>
      <c r="AM109" s="788"/>
      <c r="AN109" s="789"/>
      <c r="AO109" s="790"/>
      <c r="AP109" s="791"/>
      <c r="AQ109" s="790"/>
      <c r="AR109" s="792"/>
      <c r="AS109" s="792"/>
      <c r="AT109" s="792"/>
      <c r="AU109" s="792"/>
      <c r="AV109" s="792"/>
      <c r="AW109" s="792"/>
      <c r="AX109" s="792"/>
      <c r="AY109" s="792"/>
    </row>
    <row r="110">
      <c r="B110" s="783"/>
      <c r="D110" s="783"/>
      <c r="E110" s="783"/>
      <c r="F110" s="783"/>
      <c r="G110" s="783"/>
      <c r="H110" s="783"/>
      <c r="I110" s="783"/>
      <c r="J110" s="783"/>
      <c r="K110" s="783"/>
      <c r="L110" s="783"/>
      <c r="M110" s="783"/>
      <c r="N110" s="783"/>
      <c r="O110" s="783"/>
      <c r="P110" s="783"/>
      <c r="Q110" s="783"/>
      <c r="R110" s="783"/>
      <c r="S110" s="783"/>
      <c r="T110" s="783"/>
      <c r="U110" s="783"/>
      <c r="V110" s="783"/>
      <c r="W110" s="783"/>
      <c r="X110" s="783"/>
      <c r="Y110" s="783"/>
      <c r="Z110" s="783"/>
      <c r="AA110" s="783"/>
      <c r="AB110" s="783"/>
      <c r="AC110" s="784"/>
      <c r="AD110" s="783"/>
      <c r="AE110" s="784"/>
      <c r="AF110" s="785"/>
      <c r="AG110" s="785"/>
      <c r="AH110" s="785"/>
      <c r="AI110" s="785"/>
      <c r="AJ110" s="786"/>
      <c r="AK110" s="787"/>
      <c r="AL110" s="786"/>
      <c r="AM110" s="788"/>
      <c r="AN110" s="789"/>
      <c r="AO110" s="790"/>
      <c r="AP110" s="791"/>
      <c r="AQ110" s="790"/>
      <c r="AR110" s="792"/>
      <c r="AS110" s="792"/>
      <c r="AT110" s="792"/>
      <c r="AU110" s="792"/>
      <c r="AV110" s="792"/>
      <c r="AW110" s="792"/>
      <c r="AX110" s="792"/>
      <c r="AY110" s="792"/>
    </row>
    <row r="111">
      <c r="B111" s="783"/>
      <c r="D111" s="783"/>
      <c r="E111" s="783"/>
      <c r="F111" s="783"/>
      <c r="G111" s="783"/>
      <c r="H111" s="783"/>
      <c r="I111" s="783"/>
      <c r="J111" s="783"/>
      <c r="K111" s="783"/>
      <c r="L111" s="783"/>
      <c r="M111" s="783"/>
      <c r="N111" s="783"/>
      <c r="O111" s="783"/>
      <c r="P111" s="783"/>
      <c r="Q111" s="783"/>
      <c r="R111" s="783"/>
      <c r="S111" s="783"/>
      <c r="T111" s="783"/>
      <c r="U111" s="783"/>
      <c r="V111" s="783"/>
      <c r="W111" s="783"/>
      <c r="X111" s="783"/>
      <c r="Y111" s="783"/>
      <c r="Z111" s="783"/>
      <c r="AA111" s="783"/>
      <c r="AB111" s="783"/>
      <c r="AC111" s="784"/>
      <c r="AD111" s="783"/>
      <c r="AE111" s="784"/>
      <c r="AF111" s="785"/>
      <c r="AG111" s="785"/>
      <c r="AH111" s="785"/>
      <c r="AI111" s="785"/>
      <c r="AJ111" s="786"/>
      <c r="AK111" s="787"/>
      <c r="AL111" s="786"/>
      <c r="AM111" s="788"/>
      <c r="AN111" s="789"/>
      <c r="AO111" s="790"/>
      <c r="AP111" s="791"/>
      <c r="AQ111" s="790"/>
      <c r="AR111" s="792"/>
      <c r="AS111" s="792"/>
      <c r="AT111" s="792"/>
      <c r="AU111" s="792"/>
      <c r="AV111" s="792"/>
      <c r="AW111" s="792"/>
      <c r="AX111" s="792"/>
      <c r="AY111" s="792"/>
    </row>
    <row r="112">
      <c r="B112" s="783"/>
      <c r="D112" s="783"/>
      <c r="E112" s="783"/>
      <c r="F112" s="783"/>
      <c r="G112" s="783"/>
      <c r="H112" s="783"/>
      <c r="I112" s="783"/>
      <c r="J112" s="783"/>
      <c r="K112" s="783"/>
      <c r="L112" s="783"/>
      <c r="M112" s="783"/>
      <c r="N112" s="783"/>
      <c r="O112" s="783"/>
      <c r="P112" s="783"/>
      <c r="Q112" s="783"/>
      <c r="R112" s="783"/>
      <c r="S112" s="783"/>
      <c r="T112" s="783"/>
      <c r="U112" s="783"/>
      <c r="V112" s="783"/>
      <c r="W112" s="783"/>
      <c r="X112" s="783"/>
      <c r="Y112" s="783"/>
      <c r="Z112" s="783"/>
      <c r="AA112" s="783"/>
      <c r="AB112" s="783"/>
      <c r="AC112" s="784"/>
      <c r="AD112" s="783"/>
      <c r="AE112" s="784"/>
      <c r="AF112" s="785"/>
      <c r="AG112" s="785"/>
      <c r="AH112" s="785"/>
      <c r="AI112" s="785"/>
      <c r="AJ112" s="786"/>
      <c r="AK112" s="787"/>
      <c r="AL112" s="786"/>
      <c r="AM112" s="788"/>
      <c r="AN112" s="789"/>
      <c r="AO112" s="790"/>
      <c r="AP112" s="791"/>
      <c r="AQ112" s="790"/>
      <c r="AR112" s="792"/>
      <c r="AS112" s="792"/>
      <c r="AT112" s="792"/>
      <c r="AU112" s="792"/>
      <c r="AV112" s="792"/>
      <c r="AW112" s="792"/>
      <c r="AX112" s="792"/>
      <c r="AY112" s="792"/>
    </row>
    <row r="113">
      <c r="B113" s="783"/>
      <c r="D113" s="783"/>
      <c r="E113" s="783"/>
      <c r="F113" s="783"/>
      <c r="G113" s="783"/>
      <c r="H113" s="783"/>
      <c r="I113" s="783"/>
      <c r="J113" s="783"/>
      <c r="K113" s="783"/>
      <c r="L113" s="783"/>
      <c r="M113" s="783"/>
      <c r="N113" s="783"/>
      <c r="O113" s="783"/>
      <c r="P113" s="783"/>
      <c r="Q113" s="783"/>
      <c r="R113" s="783"/>
      <c r="S113" s="783"/>
      <c r="T113" s="783"/>
      <c r="U113" s="783"/>
      <c r="V113" s="783"/>
      <c r="W113" s="783"/>
      <c r="X113" s="783"/>
      <c r="Y113" s="783"/>
      <c r="Z113" s="783"/>
      <c r="AA113" s="783"/>
      <c r="AB113" s="783"/>
      <c r="AC113" s="784"/>
      <c r="AD113" s="783"/>
      <c r="AE113" s="784"/>
      <c r="AF113" s="785"/>
      <c r="AG113" s="785"/>
      <c r="AH113" s="785"/>
      <c r="AI113" s="785"/>
      <c r="AJ113" s="786"/>
      <c r="AK113" s="787"/>
      <c r="AL113" s="786"/>
      <c r="AM113" s="788"/>
      <c r="AN113" s="789"/>
      <c r="AO113" s="790"/>
      <c r="AP113" s="791"/>
      <c r="AQ113" s="790"/>
      <c r="AR113" s="792"/>
      <c r="AS113" s="792"/>
      <c r="AT113" s="792"/>
      <c r="AU113" s="792"/>
      <c r="AV113" s="792"/>
      <c r="AW113" s="792"/>
      <c r="AX113" s="792"/>
      <c r="AY113" s="792"/>
    </row>
    <row r="114">
      <c r="B114" s="783"/>
      <c r="D114" s="783"/>
      <c r="E114" s="783"/>
      <c r="F114" s="783"/>
      <c r="G114" s="783"/>
      <c r="H114" s="783"/>
      <c r="I114" s="783"/>
      <c r="J114" s="783"/>
      <c r="K114" s="783"/>
      <c r="L114" s="783"/>
      <c r="M114" s="783"/>
      <c r="N114" s="783"/>
      <c r="O114" s="783"/>
      <c r="P114" s="783"/>
      <c r="Q114" s="783"/>
      <c r="R114" s="783"/>
      <c r="S114" s="783"/>
      <c r="T114" s="783"/>
      <c r="U114" s="783"/>
      <c r="V114" s="783"/>
      <c r="W114" s="783"/>
      <c r="X114" s="783"/>
      <c r="Y114" s="783"/>
      <c r="Z114" s="783"/>
      <c r="AA114" s="783"/>
      <c r="AB114" s="783"/>
      <c r="AC114" s="784"/>
      <c r="AD114" s="783"/>
      <c r="AE114" s="784"/>
      <c r="AF114" s="785"/>
      <c r="AG114" s="785"/>
      <c r="AH114" s="785"/>
      <c r="AI114" s="785"/>
      <c r="AJ114" s="786"/>
      <c r="AK114" s="787"/>
      <c r="AL114" s="786"/>
      <c r="AM114" s="788"/>
      <c r="AN114" s="789"/>
      <c r="AO114" s="790"/>
      <c r="AP114" s="791"/>
      <c r="AQ114" s="790"/>
      <c r="AR114" s="792"/>
      <c r="AS114" s="792"/>
      <c r="AT114" s="792"/>
      <c r="AU114" s="792"/>
      <c r="AV114" s="792"/>
      <c r="AW114" s="792"/>
      <c r="AX114" s="792"/>
      <c r="AY114" s="792"/>
    </row>
    <row r="115">
      <c r="B115" s="783"/>
      <c r="D115" s="783"/>
      <c r="E115" s="783"/>
      <c r="F115" s="783"/>
      <c r="G115" s="783"/>
      <c r="H115" s="783"/>
      <c r="I115" s="783"/>
      <c r="J115" s="783"/>
      <c r="K115" s="783"/>
      <c r="L115" s="783"/>
      <c r="M115" s="783"/>
      <c r="N115" s="783"/>
      <c r="O115" s="783"/>
      <c r="P115" s="783"/>
      <c r="Q115" s="783"/>
      <c r="R115" s="783"/>
      <c r="S115" s="783"/>
      <c r="T115" s="783"/>
      <c r="U115" s="783"/>
      <c r="V115" s="783"/>
      <c r="W115" s="783"/>
      <c r="X115" s="783"/>
      <c r="Y115" s="783"/>
      <c r="Z115" s="783"/>
      <c r="AA115" s="783"/>
      <c r="AB115" s="783"/>
      <c r="AC115" s="784"/>
      <c r="AD115" s="783"/>
      <c r="AE115" s="784"/>
      <c r="AF115" s="785"/>
      <c r="AG115" s="785"/>
      <c r="AH115" s="785"/>
      <c r="AI115" s="785"/>
      <c r="AJ115" s="786"/>
      <c r="AK115" s="787"/>
      <c r="AL115" s="786"/>
      <c r="AM115" s="788"/>
      <c r="AN115" s="789"/>
      <c r="AO115" s="790"/>
      <c r="AP115" s="791"/>
      <c r="AQ115" s="790"/>
      <c r="AR115" s="792"/>
      <c r="AS115" s="792"/>
      <c r="AT115" s="792"/>
      <c r="AU115" s="792"/>
      <c r="AV115" s="792"/>
      <c r="AW115" s="792"/>
      <c r="AX115" s="792"/>
      <c r="AY115" s="792"/>
    </row>
    <row r="116">
      <c r="B116" s="783"/>
      <c r="D116" s="783"/>
      <c r="E116" s="783"/>
      <c r="F116" s="783"/>
      <c r="G116" s="783"/>
      <c r="H116" s="783"/>
      <c r="I116" s="783"/>
      <c r="J116" s="783"/>
      <c r="K116" s="783"/>
      <c r="L116" s="783"/>
      <c r="M116" s="783"/>
      <c r="N116" s="783"/>
      <c r="O116" s="783"/>
      <c r="P116" s="783"/>
      <c r="Q116" s="783"/>
      <c r="R116" s="783"/>
      <c r="S116" s="783"/>
      <c r="T116" s="783"/>
      <c r="U116" s="783"/>
      <c r="V116" s="783"/>
      <c r="W116" s="783"/>
      <c r="X116" s="783"/>
      <c r="Y116" s="783"/>
      <c r="Z116" s="783"/>
      <c r="AA116" s="783"/>
      <c r="AB116" s="783"/>
      <c r="AC116" s="784"/>
      <c r="AD116" s="783"/>
      <c r="AE116" s="784"/>
      <c r="AF116" s="785"/>
      <c r="AG116" s="785"/>
      <c r="AH116" s="785"/>
      <c r="AI116" s="785"/>
      <c r="AJ116" s="786"/>
      <c r="AK116" s="787"/>
      <c r="AL116" s="786"/>
      <c r="AM116" s="788"/>
      <c r="AN116" s="789"/>
      <c r="AO116" s="790"/>
      <c r="AP116" s="791"/>
      <c r="AQ116" s="790"/>
      <c r="AR116" s="792"/>
      <c r="AS116" s="792"/>
      <c r="AT116" s="792"/>
      <c r="AU116" s="792"/>
      <c r="AV116" s="792"/>
      <c r="AW116" s="792"/>
      <c r="AX116" s="792"/>
      <c r="AY116" s="792"/>
    </row>
    <row r="117">
      <c r="B117" s="783"/>
      <c r="D117" s="783"/>
      <c r="E117" s="783"/>
      <c r="F117" s="783"/>
      <c r="G117" s="783"/>
      <c r="H117" s="783"/>
      <c r="I117" s="783"/>
      <c r="J117" s="783"/>
      <c r="K117" s="783"/>
      <c r="L117" s="783"/>
      <c r="M117" s="783"/>
      <c r="N117" s="783"/>
      <c r="O117" s="783"/>
      <c r="P117" s="783"/>
      <c r="Q117" s="783"/>
      <c r="R117" s="783"/>
      <c r="S117" s="783"/>
      <c r="T117" s="783"/>
      <c r="U117" s="783"/>
      <c r="V117" s="783"/>
      <c r="W117" s="783"/>
      <c r="X117" s="783"/>
      <c r="Y117" s="783"/>
      <c r="Z117" s="783"/>
      <c r="AA117" s="783"/>
      <c r="AB117" s="783"/>
      <c r="AC117" s="784"/>
      <c r="AD117" s="783"/>
      <c r="AE117" s="784"/>
      <c r="AF117" s="785"/>
      <c r="AG117" s="785"/>
      <c r="AH117" s="785"/>
      <c r="AI117" s="785"/>
      <c r="AJ117" s="786"/>
      <c r="AK117" s="787"/>
      <c r="AL117" s="786"/>
      <c r="AM117" s="788"/>
      <c r="AN117" s="789"/>
      <c r="AO117" s="790"/>
      <c r="AP117" s="791"/>
      <c r="AQ117" s="790"/>
      <c r="AR117" s="792"/>
      <c r="AS117" s="792"/>
      <c r="AT117" s="792"/>
      <c r="AU117" s="792"/>
      <c r="AV117" s="792"/>
      <c r="AW117" s="792"/>
      <c r="AX117" s="792"/>
      <c r="AY117" s="792"/>
    </row>
    <row r="118">
      <c r="B118" s="783"/>
      <c r="D118" s="783"/>
      <c r="E118" s="783"/>
      <c r="F118" s="783"/>
      <c r="G118" s="783"/>
      <c r="H118" s="783"/>
      <c r="I118" s="783"/>
      <c r="J118" s="783"/>
      <c r="K118" s="783"/>
      <c r="L118" s="783"/>
      <c r="M118" s="783"/>
      <c r="N118" s="783"/>
      <c r="O118" s="783"/>
      <c r="P118" s="783"/>
      <c r="Q118" s="783"/>
      <c r="R118" s="783"/>
      <c r="S118" s="783"/>
      <c r="T118" s="783"/>
      <c r="U118" s="783"/>
      <c r="V118" s="783"/>
      <c r="W118" s="783"/>
      <c r="X118" s="783"/>
      <c r="Y118" s="783"/>
      <c r="Z118" s="783"/>
      <c r="AA118" s="783"/>
      <c r="AB118" s="783"/>
      <c r="AC118" s="784"/>
      <c r="AD118" s="783"/>
      <c r="AE118" s="784"/>
      <c r="AF118" s="785"/>
      <c r="AG118" s="785"/>
      <c r="AH118" s="785"/>
      <c r="AI118" s="785"/>
      <c r="AJ118" s="786"/>
      <c r="AK118" s="787"/>
      <c r="AL118" s="786"/>
      <c r="AM118" s="788"/>
      <c r="AN118" s="789"/>
      <c r="AO118" s="790"/>
      <c r="AP118" s="791"/>
      <c r="AQ118" s="790"/>
      <c r="AR118" s="792"/>
      <c r="AS118" s="792"/>
      <c r="AT118" s="792"/>
      <c r="AU118" s="792"/>
      <c r="AV118" s="792"/>
      <c r="AW118" s="792"/>
      <c r="AX118" s="792"/>
      <c r="AY118" s="792"/>
    </row>
    <row r="119">
      <c r="B119" s="783"/>
      <c r="D119" s="783"/>
      <c r="E119" s="783"/>
      <c r="F119" s="783"/>
      <c r="G119" s="783"/>
      <c r="H119" s="783"/>
      <c r="I119" s="783"/>
      <c r="J119" s="783"/>
      <c r="K119" s="783"/>
      <c r="L119" s="783"/>
      <c r="M119" s="783"/>
      <c r="N119" s="783"/>
      <c r="O119" s="783"/>
      <c r="P119" s="783"/>
      <c r="Q119" s="783"/>
      <c r="R119" s="783"/>
      <c r="S119" s="783"/>
      <c r="T119" s="783"/>
      <c r="U119" s="783"/>
      <c r="V119" s="783"/>
      <c r="W119" s="783"/>
      <c r="X119" s="783"/>
      <c r="Y119" s="783"/>
      <c r="Z119" s="783"/>
      <c r="AA119" s="783"/>
      <c r="AB119" s="783"/>
      <c r="AC119" s="784"/>
      <c r="AD119" s="783"/>
      <c r="AE119" s="784"/>
      <c r="AF119" s="785"/>
      <c r="AG119" s="785"/>
      <c r="AH119" s="785"/>
      <c r="AI119" s="785"/>
      <c r="AJ119" s="786"/>
      <c r="AK119" s="787"/>
      <c r="AL119" s="786"/>
      <c r="AM119" s="788"/>
      <c r="AN119" s="789"/>
      <c r="AO119" s="790"/>
      <c r="AP119" s="791"/>
      <c r="AQ119" s="790"/>
      <c r="AR119" s="792"/>
      <c r="AS119" s="792"/>
      <c r="AT119" s="792"/>
      <c r="AU119" s="792"/>
      <c r="AV119" s="792"/>
      <c r="AW119" s="792"/>
      <c r="AX119" s="792"/>
      <c r="AY119" s="792"/>
    </row>
    <row r="120">
      <c r="B120" s="783"/>
      <c r="D120" s="783"/>
      <c r="E120" s="783"/>
      <c r="F120" s="783"/>
      <c r="G120" s="783"/>
      <c r="H120" s="783"/>
      <c r="I120" s="783"/>
      <c r="J120" s="783"/>
      <c r="K120" s="783"/>
      <c r="L120" s="783"/>
      <c r="M120" s="783"/>
      <c r="N120" s="783"/>
      <c r="O120" s="783"/>
      <c r="P120" s="783"/>
      <c r="Q120" s="783"/>
      <c r="R120" s="783"/>
      <c r="S120" s="783"/>
      <c r="T120" s="783"/>
      <c r="U120" s="783"/>
      <c r="V120" s="783"/>
      <c r="W120" s="783"/>
      <c r="X120" s="783"/>
      <c r="Y120" s="783"/>
      <c r="Z120" s="783"/>
      <c r="AA120" s="783"/>
      <c r="AB120" s="783"/>
      <c r="AC120" s="784"/>
      <c r="AD120" s="783"/>
      <c r="AE120" s="784"/>
      <c r="AF120" s="785"/>
      <c r="AG120" s="785"/>
      <c r="AH120" s="785"/>
      <c r="AI120" s="785"/>
      <c r="AJ120" s="786"/>
      <c r="AK120" s="787"/>
      <c r="AL120" s="786"/>
      <c r="AM120" s="788"/>
      <c r="AN120" s="789"/>
      <c r="AO120" s="790"/>
      <c r="AP120" s="791"/>
      <c r="AQ120" s="790"/>
      <c r="AR120" s="792"/>
      <c r="AS120" s="792"/>
      <c r="AT120" s="792"/>
      <c r="AU120" s="792"/>
      <c r="AV120" s="792"/>
      <c r="AW120" s="792"/>
      <c r="AX120" s="792"/>
      <c r="AY120" s="792"/>
    </row>
    <row r="121">
      <c r="B121" s="783"/>
      <c r="D121" s="783"/>
      <c r="E121" s="783"/>
      <c r="F121" s="783"/>
      <c r="G121" s="783"/>
      <c r="H121" s="783"/>
      <c r="I121" s="783"/>
      <c r="J121" s="783"/>
      <c r="K121" s="783"/>
      <c r="L121" s="783"/>
      <c r="M121" s="783"/>
      <c r="N121" s="783"/>
      <c r="O121" s="783"/>
      <c r="P121" s="783"/>
      <c r="Q121" s="783"/>
      <c r="R121" s="783"/>
      <c r="S121" s="783"/>
      <c r="T121" s="783"/>
      <c r="U121" s="783"/>
      <c r="V121" s="783"/>
      <c r="W121" s="783"/>
      <c r="X121" s="783"/>
      <c r="Y121" s="783"/>
      <c r="Z121" s="783"/>
      <c r="AA121" s="783"/>
      <c r="AB121" s="783"/>
      <c r="AC121" s="784"/>
      <c r="AD121" s="783"/>
      <c r="AE121" s="784"/>
      <c r="AF121" s="785"/>
      <c r="AG121" s="785"/>
      <c r="AH121" s="785"/>
      <c r="AI121" s="785"/>
      <c r="AJ121" s="786"/>
      <c r="AK121" s="787"/>
      <c r="AL121" s="786"/>
      <c r="AM121" s="788"/>
      <c r="AN121" s="789"/>
      <c r="AO121" s="790"/>
      <c r="AP121" s="791"/>
      <c r="AQ121" s="790"/>
      <c r="AR121" s="792"/>
      <c r="AS121" s="792"/>
      <c r="AT121" s="792"/>
      <c r="AU121" s="792"/>
      <c r="AV121" s="792"/>
      <c r="AW121" s="792"/>
      <c r="AX121" s="792"/>
      <c r="AY121" s="792"/>
    </row>
    <row r="122">
      <c r="B122" s="783"/>
      <c r="D122" s="783"/>
      <c r="E122" s="783"/>
      <c r="F122" s="783"/>
      <c r="G122" s="783"/>
      <c r="H122" s="783"/>
      <c r="I122" s="783"/>
      <c r="J122" s="783"/>
      <c r="K122" s="783"/>
      <c r="L122" s="783"/>
      <c r="M122" s="783"/>
      <c r="N122" s="783"/>
      <c r="O122" s="783"/>
      <c r="P122" s="783"/>
      <c r="Q122" s="783"/>
      <c r="R122" s="783"/>
      <c r="S122" s="783"/>
      <c r="T122" s="783"/>
      <c r="U122" s="783"/>
      <c r="V122" s="783"/>
      <c r="W122" s="783"/>
      <c r="X122" s="783"/>
      <c r="Y122" s="783"/>
      <c r="Z122" s="783"/>
      <c r="AA122" s="783"/>
      <c r="AB122" s="783"/>
      <c r="AC122" s="784"/>
      <c r="AD122" s="783"/>
      <c r="AE122" s="784"/>
      <c r="AF122" s="785"/>
      <c r="AG122" s="785"/>
      <c r="AH122" s="785"/>
      <c r="AI122" s="785"/>
      <c r="AJ122" s="786"/>
      <c r="AK122" s="787"/>
      <c r="AL122" s="786"/>
      <c r="AM122" s="788"/>
      <c r="AN122" s="789"/>
      <c r="AO122" s="790"/>
      <c r="AP122" s="791"/>
      <c r="AQ122" s="790"/>
      <c r="AR122" s="792"/>
      <c r="AS122" s="792"/>
      <c r="AT122" s="792"/>
      <c r="AU122" s="792"/>
      <c r="AV122" s="792"/>
      <c r="AW122" s="792"/>
      <c r="AX122" s="792"/>
      <c r="AY122" s="792"/>
    </row>
    <row r="123">
      <c r="B123" s="783"/>
      <c r="D123" s="783"/>
      <c r="E123" s="783"/>
      <c r="F123" s="783"/>
      <c r="G123" s="783"/>
      <c r="H123" s="783"/>
      <c r="I123" s="783"/>
      <c r="J123" s="783"/>
      <c r="K123" s="783"/>
      <c r="L123" s="783"/>
      <c r="M123" s="783"/>
      <c r="N123" s="783"/>
      <c r="O123" s="783"/>
      <c r="P123" s="783"/>
      <c r="Q123" s="783"/>
      <c r="R123" s="783"/>
      <c r="S123" s="783"/>
      <c r="T123" s="783"/>
      <c r="U123" s="783"/>
      <c r="V123" s="783"/>
      <c r="W123" s="783"/>
      <c r="X123" s="783"/>
      <c r="Y123" s="783"/>
      <c r="Z123" s="783"/>
      <c r="AA123" s="783"/>
      <c r="AB123" s="783"/>
      <c r="AC123" s="784"/>
      <c r="AD123" s="783"/>
      <c r="AE123" s="784"/>
      <c r="AF123" s="785"/>
      <c r="AG123" s="785"/>
      <c r="AH123" s="785"/>
      <c r="AI123" s="785"/>
      <c r="AJ123" s="786"/>
      <c r="AK123" s="787"/>
      <c r="AL123" s="786"/>
      <c r="AM123" s="788"/>
      <c r="AN123" s="789"/>
      <c r="AO123" s="790"/>
      <c r="AP123" s="791"/>
      <c r="AQ123" s="790"/>
      <c r="AR123" s="792"/>
      <c r="AS123" s="792"/>
      <c r="AT123" s="792"/>
      <c r="AU123" s="792"/>
      <c r="AV123" s="792"/>
      <c r="AW123" s="792"/>
      <c r="AX123" s="792"/>
      <c r="AY123" s="792"/>
    </row>
    <row r="124">
      <c r="B124" s="783"/>
      <c r="D124" s="783"/>
      <c r="E124" s="783"/>
      <c r="F124" s="783"/>
      <c r="G124" s="783"/>
      <c r="H124" s="783"/>
      <c r="I124" s="783"/>
      <c r="J124" s="783"/>
      <c r="K124" s="783"/>
      <c r="L124" s="783"/>
      <c r="M124" s="783"/>
      <c r="N124" s="783"/>
      <c r="O124" s="783"/>
      <c r="P124" s="783"/>
      <c r="Q124" s="783"/>
      <c r="R124" s="783"/>
      <c r="S124" s="783"/>
      <c r="T124" s="783"/>
      <c r="U124" s="783"/>
      <c r="V124" s="783"/>
      <c r="W124" s="783"/>
      <c r="X124" s="783"/>
      <c r="Y124" s="783"/>
      <c r="Z124" s="783"/>
      <c r="AA124" s="783"/>
      <c r="AB124" s="783"/>
      <c r="AC124" s="784"/>
      <c r="AD124" s="783"/>
      <c r="AE124" s="784"/>
      <c r="AF124" s="785"/>
      <c r="AG124" s="785"/>
      <c r="AH124" s="785"/>
      <c r="AI124" s="785"/>
      <c r="AJ124" s="786"/>
      <c r="AK124" s="787"/>
      <c r="AL124" s="786"/>
      <c r="AM124" s="788"/>
      <c r="AN124" s="789"/>
      <c r="AO124" s="790"/>
      <c r="AP124" s="791"/>
      <c r="AQ124" s="790"/>
      <c r="AR124" s="792"/>
      <c r="AS124" s="792"/>
      <c r="AT124" s="792"/>
      <c r="AU124" s="792"/>
      <c r="AV124" s="792"/>
      <c r="AW124" s="792"/>
      <c r="AX124" s="792"/>
      <c r="AY124" s="792"/>
    </row>
    <row r="125">
      <c r="B125" s="783"/>
      <c r="D125" s="783"/>
      <c r="E125" s="783"/>
      <c r="F125" s="783"/>
      <c r="G125" s="783"/>
      <c r="H125" s="783"/>
      <c r="I125" s="783"/>
      <c r="J125" s="783"/>
      <c r="K125" s="783"/>
      <c r="L125" s="783"/>
      <c r="M125" s="783"/>
      <c r="N125" s="783"/>
      <c r="O125" s="783"/>
      <c r="P125" s="783"/>
      <c r="Q125" s="783"/>
      <c r="R125" s="783"/>
      <c r="S125" s="783"/>
      <c r="T125" s="783"/>
      <c r="U125" s="783"/>
      <c r="V125" s="783"/>
      <c r="W125" s="783"/>
      <c r="X125" s="783"/>
      <c r="Y125" s="783"/>
      <c r="Z125" s="783"/>
      <c r="AA125" s="783"/>
      <c r="AB125" s="783"/>
      <c r="AC125" s="784"/>
      <c r="AD125" s="783"/>
      <c r="AE125" s="784"/>
      <c r="AF125" s="785"/>
      <c r="AG125" s="785"/>
      <c r="AH125" s="785"/>
      <c r="AI125" s="785"/>
      <c r="AJ125" s="786"/>
      <c r="AK125" s="787"/>
      <c r="AL125" s="786"/>
      <c r="AM125" s="788"/>
      <c r="AN125" s="789"/>
      <c r="AO125" s="790"/>
      <c r="AP125" s="791"/>
      <c r="AQ125" s="790"/>
      <c r="AR125" s="792"/>
      <c r="AS125" s="792"/>
      <c r="AT125" s="792"/>
      <c r="AU125" s="792"/>
      <c r="AV125" s="792"/>
      <c r="AW125" s="792"/>
      <c r="AX125" s="792"/>
      <c r="AY125" s="792"/>
    </row>
    <row r="126">
      <c r="B126" s="783"/>
      <c r="D126" s="783"/>
      <c r="E126" s="783"/>
      <c r="F126" s="783"/>
      <c r="G126" s="783"/>
      <c r="H126" s="783"/>
      <c r="I126" s="783"/>
      <c r="J126" s="783"/>
      <c r="K126" s="783"/>
      <c r="L126" s="783"/>
      <c r="M126" s="783"/>
      <c r="N126" s="783"/>
      <c r="O126" s="783"/>
      <c r="P126" s="783"/>
      <c r="Q126" s="783"/>
      <c r="R126" s="783"/>
      <c r="S126" s="783"/>
      <c r="T126" s="783"/>
      <c r="U126" s="783"/>
      <c r="V126" s="783"/>
      <c r="W126" s="783"/>
      <c r="X126" s="783"/>
      <c r="Y126" s="783"/>
      <c r="Z126" s="783"/>
      <c r="AA126" s="783"/>
      <c r="AB126" s="783"/>
      <c r="AC126" s="784"/>
      <c r="AD126" s="783"/>
      <c r="AE126" s="784"/>
      <c r="AF126" s="785"/>
      <c r="AG126" s="785"/>
      <c r="AH126" s="785"/>
      <c r="AI126" s="785"/>
      <c r="AJ126" s="786"/>
      <c r="AK126" s="787"/>
      <c r="AL126" s="786"/>
      <c r="AM126" s="788"/>
      <c r="AN126" s="789"/>
      <c r="AO126" s="790"/>
      <c r="AP126" s="791"/>
      <c r="AQ126" s="790"/>
      <c r="AR126" s="792"/>
      <c r="AS126" s="792"/>
      <c r="AT126" s="792"/>
      <c r="AU126" s="792"/>
      <c r="AV126" s="792"/>
      <c r="AW126" s="792"/>
      <c r="AX126" s="792"/>
      <c r="AY126" s="792"/>
    </row>
    <row r="127">
      <c r="B127" s="783"/>
      <c r="D127" s="783"/>
      <c r="E127" s="783"/>
      <c r="F127" s="783"/>
      <c r="G127" s="783"/>
      <c r="H127" s="783"/>
      <c r="I127" s="783"/>
      <c r="J127" s="783"/>
      <c r="K127" s="783"/>
      <c r="L127" s="783"/>
      <c r="M127" s="783"/>
      <c r="N127" s="783"/>
      <c r="O127" s="783"/>
      <c r="P127" s="783"/>
      <c r="Q127" s="783"/>
      <c r="R127" s="783"/>
      <c r="S127" s="783"/>
      <c r="T127" s="783"/>
      <c r="U127" s="783"/>
      <c r="V127" s="783"/>
      <c r="W127" s="783"/>
      <c r="X127" s="783"/>
      <c r="Y127" s="783"/>
      <c r="Z127" s="783"/>
      <c r="AA127" s="783"/>
      <c r="AB127" s="783"/>
      <c r="AC127" s="784"/>
      <c r="AD127" s="783"/>
      <c r="AE127" s="784"/>
      <c r="AF127" s="785"/>
      <c r="AG127" s="785"/>
      <c r="AH127" s="785"/>
      <c r="AI127" s="785"/>
      <c r="AJ127" s="786"/>
      <c r="AK127" s="787"/>
      <c r="AL127" s="786"/>
      <c r="AM127" s="788"/>
      <c r="AN127" s="789"/>
      <c r="AO127" s="790"/>
      <c r="AP127" s="791"/>
      <c r="AQ127" s="790"/>
      <c r="AR127" s="792"/>
      <c r="AS127" s="792"/>
      <c r="AT127" s="792"/>
      <c r="AU127" s="792"/>
      <c r="AV127" s="792"/>
      <c r="AW127" s="792"/>
      <c r="AX127" s="792"/>
      <c r="AY127" s="792"/>
    </row>
    <row r="128">
      <c r="B128" s="783"/>
      <c r="D128" s="783"/>
      <c r="E128" s="783"/>
      <c r="F128" s="783"/>
      <c r="G128" s="783"/>
      <c r="H128" s="783"/>
      <c r="I128" s="783"/>
      <c r="J128" s="783"/>
      <c r="K128" s="783"/>
      <c r="L128" s="783"/>
      <c r="M128" s="783"/>
      <c r="N128" s="783"/>
      <c r="O128" s="783"/>
      <c r="P128" s="783"/>
      <c r="Q128" s="783"/>
      <c r="R128" s="783"/>
      <c r="S128" s="783"/>
      <c r="T128" s="783"/>
      <c r="U128" s="783"/>
      <c r="V128" s="783"/>
      <c r="W128" s="783"/>
      <c r="X128" s="783"/>
      <c r="Y128" s="783"/>
      <c r="Z128" s="783"/>
      <c r="AA128" s="783"/>
      <c r="AB128" s="783"/>
      <c r="AC128" s="784"/>
      <c r="AD128" s="783"/>
      <c r="AE128" s="784"/>
      <c r="AF128" s="785"/>
      <c r="AG128" s="785"/>
      <c r="AH128" s="785"/>
      <c r="AI128" s="785"/>
      <c r="AJ128" s="786"/>
      <c r="AK128" s="787"/>
      <c r="AL128" s="786"/>
      <c r="AM128" s="788"/>
      <c r="AN128" s="789"/>
      <c r="AO128" s="790"/>
      <c r="AP128" s="791"/>
      <c r="AQ128" s="790"/>
      <c r="AR128" s="792"/>
      <c r="AS128" s="792"/>
      <c r="AT128" s="792"/>
      <c r="AU128" s="792"/>
      <c r="AV128" s="792"/>
      <c r="AW128" s="792"/>
      <c r="AX128" s="792"/>
      <c r="AY128" s="792"/>
    </row>
    <row r="129">
      <c r="B129" s="783"/>
      <c r="D129" s="783"/>
      <c r="E129" s="783"/>
      <c r="F129" s="783"/>
      <c r="G129" s="783"/>
      <c r="H129" s="783"/>
      <c r="I129" s="783"/>
      <c r="J129" s="783"/>
      <c r="K129" s="783"/>
      <c r="L129" s="783"/>
      <c r="M129" s="783"/>
      <c r="N129" s="783"/>
      <c r="O129" s="783"/>
      <c r="P129" s="783"/>
      <c r="Q129" s="783"/>
      <c r="R129" s="783"/>
      <c r="S129" s="783"/>
      <c r="T129" s="783"/>
      <c r="U129" s="783"/>
      <c r="V129" s="783"/>
      <c r="W129" s="783"/>
      <c r="X129" s="783"/>
      <c r="Y129" s="783"/>
      <c r="Z129" s="783"/>
      <c r="AA129" s="783"/>
      <c r="AB129" s="783"/>
      <c r="AC129" s="784"/>
      <c r="AD129" s="783"/>
      <c r="AE129" s="784"/>
      <c r="AF129" s="785"/>
      <c r="AG129" s="785"/>
      <c r="AH129" s="785"/>
      <c r="AI129" s="785"/>
      <c r="AJ129" s="786"/>
      <c r="AK129" s="787"/>
      <c r="AL129" s="786"/>
      <c r="AM129" s="788"/>
      <c r="AN129" s="789"/>
      <c r="AO129" s="790"/>
      <c r="AP129" s="791"/>
      <c r="AQ129" s="790"/>
      <c r="AR129" s="792"/>
      <c r="AS129" s="792"/>
      <c r="AT129" s="792"/>
      <c r="AU129" s="792"/>
      <c r="AV129" s="792"/>
      <c r="AW129" s="792"/>
      <c r="AX129" s="792"/>
      <c r="AY129" s="792"/>
    </row>
    <row r="130">
      <c r="B130" s="783"/>
      <c r="D130" s="783"/>
      <c r="E130" s="783"/>
      <c r="F130" s="783"/>
      <c r="G130" s="783"/>
      <c r="H130" s="783"/>
      <c r="I130" s="783"/>
      <c r="J130" s="783"/>
      <c r="K130" s="783"/>
      <c r="L130" s="783"/>
      <c r="M130" s="783"/>
      <c r="N130" s="783"/>
      <c r="O130" s="783"/>
      <c r="P130" s="783"/>
      <c r="Q130" s="783"/>
      <c r="R130" s="783"/>
      <c r="S130" s="783"/>
      <c r="T130" s="783"/>
      <c r="U130" s="783"/>
      <c r="V130" s="783"/>
      <c r="W130" s="783"/>
      <c r="X130" s="783"/>
      <c r="Y130" s="783"/>
      <c r="Z130" s="783"/>
      <c r="AA130" s="783"/>
      <c r="AB130" s="783"/>
      <c r="AC130" s="784"/>
      <c r="AD130" s="783"/>
      <c r="AE130" s="784"/>
      <c r="AF130" s="785"/>
      <c r="AG130" s="785"/>
      <c r="AH130" s="785"/>
      <c r="AI130" s="785"/>
      <c r="AJ130" s="786"/>
      <c r="AK130" s="787"/>
      <c r="AL130" s="786"/>
      <c r="AM130" s="788"/>
      <c r="AN130" s="789"/>
      <c r="AO130" s="790"/>
      <c r="AP130" s="791"/>
      <c r="AQ130" s="790"/>
      <c r="AR130" s="792"/>
      <c r="AS130" s="792"/>
      <c r="AT130" s="792"/>
      <c r="AU130" s="792"/>
      <c r="AV130" s="792"/>
      <c r="AW130" s="792"/>
      <c r="AX130" s="792"/>
      <c r="AY130" s="792"/>
    </row>
    <row r="131">
      <c r="B131" s="783"/>
      <c r="D131" s="783"/>
      <c r="E131" s="783"/>
      <c r="F131" s="783"/>
      <c r="G131" s="783"/>
      <c r="H131" s="783"/>
      <c r="I131" s="783"/>
      <c r="J131" s="783"/>
      <c r="K131" s="783"/>
      <c r="L131" s="783"/>
      <c r="M131" s="783"/>
      <c r="N131" s="783"/>
      <c r="O131" s="783"/>
      <c r="P131" s="783"/>
      <c r="Q131" s="783"/>
      <c r="R131" s="783"/>
      <c r="S131" s="783"/>
      <c r="T131" s="783"/>
      <c r="U131" s="783"/>
      <c r="V131" s="783"/>
      <c r="W131" s="783"/>
      <c r="X131" s="783"/>
      <c r="Y131" s="783"/>
      <c r="Z131" s="783"/>
      <c r="AA131" s="783"/>
      <c r="AB131" s="783"/>
      <c r="AC131" s="784"/>
      <c r="AD131" s="783"/>
      <c r="AE131" s="784"/>
      <c r="AF131" s="785"/>
      <c r="AG131" s="785"/>
      <c r="AH131" s="785"/>
      <c r="AI131" s="785"/>
      <c r="AJ131" s="786"/>
      <c r="AK131" s="787"/>
      <c r="AL131" s="786"/>
      <c r="AM131" s="788"/>
      <c r="AN131" s="789"/>
      <c r="AO131" s="790"/>
      <c r="AP131" s="791"/>
      <c r="AQ131" s="790"/>
      <c r="AR131" s="792"/>
      <c r="AS131" s="792"/>
      <c r="AT131" s="792"/>
      <c r="AU131" s="792"/>
      <c r="AV131" s="792"/>
      <c r="AW131" s="792"/>
      <c r="AX131" s="792"/>
      <c r="AY131" s="792"/>
    </row>
    <row r="132">
      <c r="B132" s="783"/>
      <c r="D132" s="783"/>
      <c r="E132" s="783"/>
      <c r="F132" s="783"/>
      <c r="G132" s="783"/>
      <c r="H132" s="783"/>
      <c r="I132" s="783"/>
      <c r="J132" s="783"/>
      <c r="K132" s="783"/>
      <c r="L132" s="783"/>
      <c r="M132" s="783"/>
      <c r="N132" s="783"/>
      <c r="O132" s="783"/>
      <c r="P132" s="783"/>
      <c r="Q132" s="783"/>
      <c r="R132" s="783"/>
      <c r="S132" s="783"/>
      <c r="T132" s="783"/>
      <c r="U132" s="783"/>
      <c r="V132" s="783"/>
      <c r="W132" s="783"/>
      <c r="X132" s="783"/>
      <c r="Y132" s="783"/>
      <c r="Z132" s="783"/>
      <c r="AA132" s="783"/>
      <c r="AB132" s="783"/>
      <c r="AC132" s="784"/>
      <c r="AD132" s="783"/>
      <c r="AE132" s="784"/>
      <c r="AF132" s="785"/>
      <c r="AG132" s="785"/>
      <c r="AH132" s="785"/>
      <c r="AI132" s="785"/>
      <c r="AJ132" s="786"/>
      <c r="AK132" s="787"/>
      <c r="AL132" s="786"/>
      <c r="AM132" s="788"/>
      <c r="AN132" s="789"/>
      <c r="AO132" s="790"/>
      <c r="AP132" s="791"/>
      <c r="AQ132" s="790"/>
      <c r="AR132" s="792"/>
      <c r="AS132" s="792"/>
      <c r="AT132" s="792"/>
      <c r="AU132" s="792"/>
      <c r="AV132" s="792"/>
      <c r="AW132" s="792"/>
      <c r="AX132" s="792"/>
      <c r="AY132" s="792"/>
    </row>
    <row r="133">
      <c r="B133" s="783"/>
      <c r="D133" s="783"/>
      <c r="E133" s="783"/>
      <c r="F133" s="783"/>
      <c r="G133" s="783"/>
      <c r="H133" s="783"/>
      <c r="I133" s="783"/>
      <c r="J133" s="783"/>
      <c r="K133" s="783"/>
      <c r="L133" s="783"/>
      <c r="M133" s="783"/>
      <c r="N133" s="783"/>
      <c r="O133" s="783"/>
      <c r="P133" s="783"/>
      <c r="Q133" s="783"/>
      <c r="R133" s="783"/>
      <c r="S133" s="783"/>
      <c r="T133" s="783"/>
      <c r="U133" s="783"/>
      <c r="V133" s="783"/>
      <c r="W133" s="783"/>
      <c r="X133" s="783"/>
      <c r="Y133" s="783"/>
      <c r="Z133" s="783"/>
      <c r="AA133" s="783"/>
      <c r="AB133" s="783"/>
      <c r="AC133" s="784"/>
      <c r="AD133" s="783"/>
      <c r="AE133" s="784"/>
      <c r="AF133" s="785"/>
      <c r="AG133" s="785"/>
      <c r="AH133" s="785"/>
      <c r="AI133" s="785"/>
      <c r="AJ133" s="786"/>
      <c r="AK133" s="787"/>
      <c r="AL133" s="786"/>
      <c r="AM133" s="788"/>
      <c r="AN133" s="789"/>
      <c r="AO133" s="790"/>
      <c r="AP133" s="791"/>
      <c r="AQ133" s="790"/>
      <c r="AR133" s="792"/>
      <c r="AS133" s="792"/>
      <c r="AT133" s="792"/>
      <c r="AU133" s="792"/>
      <c r="AV133" s="792"/>
      <c r="AW133" s="792"/>
      <c r="AX133" s="792"/>
      <c r="AY133" s="792"/>
    </row>
    <row r="134">
      <c r="B134" s="783"/>
      <c r="D134" s="783"/>
      <c r="E134" s="783"/>
      <c r="F134" s="783"/>
      <c r="G134" s="783"/>
      <c r="H134" s="783"/>
      <c r="I134" s="783"/>
      <c r="J134" s="783"/>
      <c r="K134" s="783"/>
      <c r="L134" s="783"/>
      <c r="M134" s="783"/>
      <c r="N134" s="783"/>
      <c r="O134" s="783"/>
      <c r="P134" s="783"/>
      <c r="Q134" s="783"/>
      <c r="R134" s="783"/>
      <c r="S134" s="783"/>
      <c r="T134" s="783"/>
      <c r="U134" s="783"/>
      <c r="V134" s="783"/>
      <c r="W134" s="783"/>
      <c r="X134" s="783"/>
      <c r="Y134" s="783"/>
      <c r="Z134" s="783"/>
      <c r="AA134" s="783"/>
      <c r="AB134" s="783"/>
      <c r="AC134" s="784"/>
      <c r="AD134" s="783"/>
      <c r="AE134" s="784"/>
      <c r="AF134" s="785"/>
      <c r="AG134" s="785"/>
      <c r="AH134" s="785"/>
      <c r="AI134" s="785"/>
      <c r="AJ134" s="786"/>
      <c r="AK134" s="787"/>
      <c r="AL134" s="786"/>
      <c r="AM134" s="788"/>
      <c r="AN134" s="789"/>
      <c r="AO134" s="790"/>
      <c r="AP134" s="791"/>
      <c r="AQ134" s="790"/>
      <c r="AR134" s="792"/>
      <c r="AS134" s="792"/>
      <c r="AT134" s="792"/>
      <c r="AU134" s="792"/>
      <c r="AV134" s="792"/>
      <c r="AW134" s="792"/>
      <c r="AX134" s="792"/>
      <c r="AY134" s="792"/>
    </row>
    <row r="135">
      <c r="B135" s="783"/>
      <c r="D135" s="783"/>
      <c r="E135" s="783"/>
      <c r="F135" s="783"/>
      <c r="G135" s="783"/>
      <c r="H135" s="783"/>
      <c r="I135" s="783"/>
      <c r="J135" s="783"/>
      <c r="K135" s="783"/>
      <c r="L135" s="783"/>
      <c r="M135" s="783"/>
      <c r="N135" s="783"/>
      <c r="O135" s="783"/>
      <c r="P135" s="783"/>
      <c r="Q135" s="783"/>
      <c r="R135" s="783"/>
      <c r="S135" s="783"/>
      <c r="T135" s="783"/>
      <c r="U135" s="783"/>
      <c r="V135" s="783"/>
      <c r="W135" s="783"/>
      <c r="X135" s="783"/>
      <c r="Y135" s="783"/>
      <c r="Z135" s="783"/>
      <c r="AA135" s="783"/>
      <c r="AB135" s="783"/>
      <c r="AC135" s="784"/>
      <c r="AD135" s="783"/>
      <c r="AE135" s="784"/>
      <c r="AF135" s="785"/>
      <c r="AG135" s="785"/>
      <c r="AH135" s="785"/>
      <c r="AI135" s="785"/>
      <c r="AJ135" s="786"/>
      <c r="AK135" s="787"/>
      <c r="AL135" s="786"/>
      <c r="AM135" s="788"/>
      <c r="AN135" s="789"/>
      <c r="AO135" s="790"/>
      <c r="AP135" s="791"/>
      <c r="AQ135" s="790"/>
      <c r="AR135" s="792"/>
      <c r="AS135" s="792"/>
      <c r="AT135" s="792"/>
      <c r="AU135" s="792"/>
      <c r="AV135" s="792"/>
      <c r="AW135" s="792"/>
      <c r="AX135" s="792"/>
      <c r="AY135" s="792"/>
    </row>
    <row r="136">
      <c r="B136" s="783"/>
      <c r="D136" s="783"/>
      <c r="E136" s="783"/>
      <c r="F136" s="783"/>
      <c r="G136" s="783"/>
      <c r="H136" s="783"/>
      <c r="I136" s="783"/>
      <c r="J136" s="783"/>
      <c r="K136" s="783"/>
      <c r="L136" s="783"/>
      <c r="M136" s="783"/>
      <c r="N136" s="783"/>
      <c r="O136" s="783"/>
      <c r="P136" s="783"/>
      <c r="Q136" s="783"/>
      <c r="R136" s="783"/>
      <c r="S136" s="783"/>
      <c r="T136" s="783"/>
      <c r="U136" s="783"/>
      <c r="V136" s="783"/>
      <c r="W136" s="783"/>
      <c r="X136" s="783"/>
      <c r="Y136" s="783"/>
      <c r="Z136" s="783"/>
      <c r="AA136" s="783"/>
      <c r="AB136" s="783"/>
      <c r="AC136" s="784"/>
      <c r="AD136" s="783"/>
      <c r="AE136" s="784"/>
      <c r="AF136" s="785"/>
      <c r="AG136" s="785"/>
      <c r="AH136" s="785"/>
      <c r="AI136" s="785"/>
      <c r="AJ136" s="786"/>
      <c r="AK136" s="787"/>
      <c r="AL136" s="786"/>
      <c r="AM136" s="788"/>
      <c r="AN136" s="789"/>
      <c r="AO136" s="790"/>
      <c r="AP136" s="791"/>
      <c r="AQ136" s="790"/>
      <c r="AR136" s="792"/>
      <c r="AS136" s="792"/>
      <c r="AT136" s="792"/>
      <c r="AU136" s="792"/>
      <c r="AV136" s="792"/>
      <c r="AW136" s="792"/>
      <c r="AX136" s="792"/>
      <c r="AY136" s="792"/>
    </row>
    <row r="137">
      <c r="B137" s="783"/>
      <c r="D137" s="783"/>
      <c r="E137" s="783"/>
      <c r="F137" s="783"/>
      <c r="G137" s="783"/>
      <c r="H137" s="783"/>
      <c r="I137" s="783"/>
      <c r="J137" s="783"/>
      <c r="K137" s="783"/>
      <c r="L137" s="783"/>
      <c r="M137" s="783"/>
      <c r="N137" s="783"/>
      <c r="O137" s="783"/>
      <c r="P137" s="783"/>
      <c r="Q137" s="783"/>
      <c r="R137" s="783"/>
      <c r="S137" s="783"/>
      <c r="T137" s="783"/>
      <c r="U137" s="783"/>
      <c r="V137" s="783"/>
      <c r="W137" s="783"/>
      <c r="X137" s="783"/>
      <c r="Y137" s="783"/>
      <c r="Z137" s="783"/>
      <c r="AA137" s="783"/>
      <c r="AB137" s="783"/>
      <c r="AC137" s="784"/>
      <c r="AD137" s="783"/>
      <c r="AE137" s="784"/>
      <c r="AF137" s="785"/>
      <c r="AG137" s="785"/>
      <c r="AH137" s="785"/>
      <c r="AI137" s="785"/>
      <c r="AJ137" s="786"/>
      <c r="AK137" s="787"/>
      <c r="AL137" s="786"/>
      <c r="AM137" s="788"/>
      <c r="AN137" s="789"/>
      <c r="AO137" s="790"/>
      <c r="AP137" s="791"/>
      <c r="AQ137" s="790"/>
      <c r="AR137" s="792"/>
      <c r="AS137" s="792"/>
      <c r="AT137" s="792"/>
      <c r="AU137" s="792"/>
      <c r="AV137" s="792"/>
      <c r="AW137" s="792"/>
      <c r="AX137" s="792"/>
      <c r="AY137" s="792"/>
    </row>
    <row r="138">
      <c r="B138" s="783"/>
      <c r="D138" s="783"/>
      <c r="E138" s="783"/>
      <c r="F138" s="783"/>
      <c r="G138" s="783"/>
      <c r="H138" s="783"/>
      <c r="I138" s="783"/>
      <c r="J138" s="783"/>
      <c r="K138" s="783"/>
      <c r="L138" s="783"/>
      <c r="M138" s="783"/>
      <c r="N138" s="783"/>
      <c r="O138" s="783"/>
      <c r="P138" s="783"/>
      <c r="Q138" s="783"/>
      <c r="R138" s="783"/>
      <c r="S138" s="783"/>
      <c r="T138" s="783"/>
      <c r="U138" s="783"/>
      <c r="V138" s="783"/>
      <c r="W138" s="783"/>
      <c r="X138" s="783"/>
      <c r="Y138" s="783"/>
      <c r="Z138" s="783"/>
      <c r="AA138" s="783"/>
      <c r="AB138" s="783"/>
      <c r="AC138" s="784"/>
      <c r="AD138" s="783"/>
      <c r="AE138" s="784"/>
      <c r="AF138" s="785"/>
      <c r="AG138" s="785"/>
      <c r="AH138" s="785"/>
      <c r="AI138" s="785"/>
      <c r="AJ138" s="786"/>
      <c r="AK138" s="787"/>
      <c r="AL138" s="786"/>
      <c r="AM138" s="788"/>
      <c r="AN138" s="789"/>
      <c r="AO138" s="790"/>
      <c r="AP138" s="791"/>
      <c r="AQ138" s="790"/>
      <c r="AR138" s="792"/>
      <c r="AS138" s="792"/>
      <c r="AT138" s="792"/>
      <c r="AU138" s="792"/>
      <c r="AV138" s="792"/>
      <c r="AW138" s="792"/>
      <c r="AX138" s="792"/>
      <c r="AY138" s="792"/>
    </row>
    <row r="139">
      <c r="B139" s="783"/>
      <c r="D139" s="783"/>
      <c r="E139" s="783"/>
      <c r="F139" s="783"/>
      <c r="G139" s="783"/>
      <c r="H139" s="783"/>
      <c r="I139" s="783"/>
      <c r="J139" s="783"/>
      <c r="K139" s="783"/>
      <c r="L139" s="783"/>
      <c r="M139" s="783"/>
      <c r="N139" s="783"/>
      <c r="O139" s="783"/>
      <c r="P139" s="783"/>
      <c r="Q139" s="783"/>
      <c r="R139" s="783"/>
      <c r="S139" s="783"/>
      <c r="T139" s="783"/>
      <c r="U139" s="783"/>
      <c r="V139" s="783"/>
      <c r="W139" s="783"/>
      <c r="X139" s="783"/>
      <c r="Y139" s="783"/>
      <c r="Z139" s="783"/>
      <c r="AA139" s="783"/>
      <c r="AB139" s="783"/>
      <c r="AC139" s="784"/>
      <c r="AD139" s="783"/>
      <c r="AE139" s="784"/>
      <c r="AF139" s="785"/>
      <c r="AG139" s="785"/>
      <c r="AH139" s="785"/>
      <c r="AI139" s="785"/>
      <c r="AJ139" s="786"/>
      <c r="AK139" s="787"/>
      <c r="AL139" s="786"/>
      <c r="AM139" s="788"/>
      <c r="AN139" s="789"/>
      <c r="AO139" s="790"/>
      <c r="AP139" s="791"/>
      <c r="AQ139" s="790"/>
      <c r="AR139" s="792"/>
      <c r="AS139" s="792"/>
      <c r="AT139" s="792"/>
      <c r="AU139" s="792"/>
      <c r="AV139" s="792"/>
      <c r="AW139" s="792"/>
      <c r="AX139" s="792"/>
      <c r="AY139" s="792"/>
    </row>
    <row r="140">
      <c r="B140" s="783"/>
      <c r="D140" s="783"/>
      <c r="E140" s="783"/>
      <c r="F140" s="783"/>
      <c r="G140" s="783"/>
      <c r="H140" s="783"/>
      <c r="I140" s="783"/>
      <c r="J140" s="783"/>
      <c r="K140" s="783"/>
      <c r="L140" s="783"/>
      <c r="M140" s="783"/>
      <c r="N140" s="783"/>
      <c r="O140" s="783"/>
      <c r="P140" s="783"/>
      <c r="Q140" s="783"/>
      <c r="R140" s="783"/>
      <c r="S140" s="783"/>
      <c r="T140" s="783"/>
      <c r="U140" s="783"/>
      <c r="V140" s="783"/>
      <c r="W140" s="783"/>
      <c r="X140" s="783"/>
      <c r="Y140" s="783"/>
      <c r="Z140" s="783"/>
      <c r="AA140" s="783"/>
      <c r="AB140" s="783"/>
      <c r="AC140" s="784"/>
      <c r="AD140" s="783"/>
      <c r="AE140" s="784"/>
      <c r="AF140" s="785"/>
      <c r="AG140" s="785"/>
      <c r="AH140" s="785"/>
      <c r="AI140" s="785"/>
      <c r="AJ140" s="786"/>
      <c r="AK140" s="787"/>
      <c r="AL140" s="786"/>
      <c r="AM140" s="788"/>
      <c r="AN140" s="789"/>
      <c r="AO140" s="790"/>
      <c r="AP140" s="791"/>
      <c r="AQ140" s="790"/>
      <c r="AR140" s="792"/>
      <c r="AS140" s="792"/>
      <c r="AT140" s="792"/>
      <c r="AU140" s="792"/>
      <c r="AV140" s="792"/>
      <c r="AW140" s="792"/>
      <c r="AX140" s="792"/>
      <c r="AY140" s="792"/>
    </row>
    <row r="141">
      <c r="B141" s="783"/>
      <c r="D141" s="783"/>
      <c r="E141" s="783"/>
      <c r="F141" s="783"/>
      <c r="G141" s="783"/>
      <c r="H141" s="783"/>
      <c r="I141" s="783"/>
      <c r="J141" s="783"/>
      <c r="K141" s="783"/>
      <c r="L141" s="783"/>
      <c r="M141" s="783"/>
      <c r="N141" s="783"/>
      <c r="O141" s="783"/>
      <c r="P141" s="783"/>
      <c r="Q141" s="783"/>
      <c r="R141" s="783"/>
      <c r="S141" s="783"/>
      <c r="T141" s="783"/>
      <c r="U141" s="783"/>
      <c r="V141" s="783"/>
      <c r="W141" s="783"/>
      <c r="X141" s="783"/>
      <c r="Y141" s="783"/>
      <c r="Z141" s="783"/>
      <c r="AA141" s="783"/>
      <c r="AB141" s="783"/>
      <c r="AC141" s="784"/>
      <c r="AD141" s="783"/>
      <c r="AE141" s="784"/>
      <c r="AF141" s="785"/>
      <c r="AG141" s="785"/>
      <c r="AH141" s="785"/>
      <c r="AI141" s="785"/>
      <c r="AJ141" s="786"/>
      <c r="AK141" s="787"/>
      <c r="AL141" s="786"/>
      <c r="AM141" s="788"/>
      <c r="AN141" s="789"/>
      <c r="AO141" s="790"/>
      <c r="AP141" s="791"/>
      <c r="AQ141" s="790"/>
      <c r="AR141" s="792"/>
      <c r="AS141" s="792"/>
      <c r="AT141" s="792"/>
      <c r="AU141" s="792"/>
      <c r="AV141" s="792"/>
      <c r="AW141" s="792"/>
      <c r="AX141" s="792"/>
      <c r="AY141" s="792"/>
    </row>
    <row r="142">
      <c r="B142" s="783"/>
      <c r="D142" s="783"/>
      <c r="E142" s="783"/>
      <c r="F142" s="783"/>
      <c r="G142" s="783"/>
      <c r="H142" s="783"/>
      <c r="I142" s="783"/>
      <c r="J142" s="783"/>
      <c r="K142" s="783"/>
      <c r="L142" s="783"/>
      <c r="M142" s="783"/>
      <c r="N142" s="783"/>
      <c r="O142" s="783"/>
      <c r="P142" s="783"/>
      <c r="Q142" s="783"/>
      <c r="R142" s="783"/>
      <c r="S142" s="783"/>
      <c r="T142" s="783"/>
      <c r="U142" s="783"/>
      <c r="V142" s="783"/>
      <c r="W142" s="783"/>
      <c r="X142" s="783"/>
      <c r="Y142" s="783"/>
      <c r="Z142" s="783"/>
      <c r="AA142" s="783"/>
      <c r="AB142" s="783"/>
      <c r="AC142" s="784"/>
      <c r="AD142" s="783"/>
      <c r="AE142" s="784"/>
      <c r="AF142" s="785"/>
      <c r="AG142" s="785"/>
      <c r="AH142" s="785"/>
      <c r="AI142" s="785"/>
      <c r="AJ142" s="786"/>
      <c r="AK142" s="787"/>
      <c r="AL142" s="786"/>
      <c r="AM142" s="788"/>
      <c r="AN142" s="789"/>
      <c r="AO142" s="790"/>
      <c r="AP142" s="791"/>
      <c r="AQ142" s="790"/>
      <c r="AR142" s="792"/>
      <c r="AS142" s="792"/>
      <c r="AT142" s="792"/>
      <c r="AU142" s="792"/>
      <c r="AV142" s="792"/>
      <c r="AW142" s="792"/>
      <c r="AX142" s="792"/>
      <c r="AY142" s="792"/>
    </row>
    <row r="143">
      <c r="B143" s="783"/>
      <c r="D143" s="783"/>
      <c r="E143" s="783"/>
      <c r="F143" s="783"/>
      <c r="G143" s="783"/>
      <c r="H143" s="783"/>
      <c r="I143" s="783"/>
      <c r="J143" s="783"/>
      <c r="K143" s="783"/>
      <c r="L143" s="783"/>
      <c r="M143" s="783"/>
      <c r="N143" s="783"/>
      <c r="O143" s="783"/>
      <c r="P143" s="783"/>
      <c r="Q143" s="783"/>
      <c r="R143" s="783"/>
      <c r="S143" s="783"/>
      <c r="T143" s="783"/>
      <c r="U143" s="783"/>
      <c r="V143" s="783"/>
      <c r="W143" s="783"/>
      <c r="X143" s="783"/>
      <c r="Y143" s="783"/>
      <c r="Z143" s="783"/>
      <c r="AA143" s="783"/>
      <c r="AB143" s="783"/>
      <c r="AC143" s="784"/>
      <c r="AD143" s="783"/>
      <c r="AE143" s="784"/>
      <c r="AF143" s="785"/>
      <c r="AG143" s="785"/>
      <c r="AH143" s="785"/>
      <c r="AI143" s="785"/>
      <c r="AJ143" s="786"/>
      <c r="AK143" s="787"/>
      <c r="AL143" s="786"/>
      <c r="AM143" s="788"/>
      <c r="AN143" s="789"/>
      <c r="AO143" s="790"/>
      <c r="AP143" s="791"/>
      <c r="AQ143" s="790"/>
      <c r="AR143" s="792"/>
      <c r="AS143" s="792"/>
      <c r="AT143" s="792"/>
      <c r="AU143" s="792"/>
      <c r="AV143" s="792"/>
      <c r="AW143" s="792"/>
      <c r="AX143" s="792"/>
      <c r="AY143" s="792"/>
    </row>
    <row r="144">
      <c r="B144" s="783"/>
      <c r="D144" s="783"/>
      <c r="E144" s="783"/>
      <c r="F144" s="783"/>
      <c r="G144" s="783"/>
      <c r="H144" s="783"/>
      <c r="I144" s="783"/>
      <c r="J144" s="783"/>
      <c r="K144" s="783"/>
      <c r="L144" s="783"/>
      <c r="M144" s="783"/>
      <c r="N144" s="783"/>
      <c r="O144" s="783"/>
      <c r="P144" s="783"/>
      <c r="Q144" s="783"/>
      <c r="R144" s="783"/>
      <c r="S144" s="783"/>
      <c r="T144" s="783"/>
      <c r="U144" s="783"/>
      <c r="V144" s="783"/>
      <c r="W144" s="783"/>
      <c r="X144" s="783"/>
      <c r="Y144" s="783"/>
      <c r="Z144" s="783"/>
      <c r="AA144" s="783"/>
      <c r="AB144" s="783"/>
      <c r="AC144" s="784"/>
      <c r="AD144" s="783"/>
      <c r="AE144" s="784"/>
      <c r="AF144" s="785"/>
      <c r="AG144" s="785"/>
      <c r="AH144" s="785"/>
      <c r="AI144" s="785"/>
      <c r="AJ144" s="786"/>
      <c r="AK144" s="787"/>
      <c r="AL144" s="786"/>
      <c r="AM144" s="788"/>
      <c r="AN144" s="789"/>
      <c r="AO144" s="790"/>
      <c r="AP144" s="791"/>
      <c r="AQ144" s="790"/>
      <c r="AR144" s="792"/>
      <c r="AS144" s="792"/>
      <c r="AT144" s="792"/>
      <c r="AU144" s="792"/>
      <c r="AV144" s="792"/>
      <c r="AW144" s="792"/>
      <c r="AX144" s="792"/>
      <c r="AY144" s="792"/>
    </row>
    <row r="145">
      <c r="B145" s="783"/>
      <c r="D145" s="783"/>
      <c r="E145" s="783"/>
      <c r="F145" s="783"/>
      <c r="G145" s="783"/>
      <c r="H145" s="783"/>
      <c r="I145" s="783"/>
      <c r="J145" s="783"/>
      <c r="K145" s="783"/>
      <c r="L145" s="783"/>
      <c r="M145" s="783"/>
      <c r="N145" s="783"/>
      <c r="O145" s="783"/>
      <c r="P145" s="783"/>
      <c r="Q145" s="783"/>
      <c r="R145" s="783"/>
      <c r="S145" s="783"/>
      <c r="T145" s="783"/>
      <c r="U145" s="783"/>
      <c r="V145" s="783"/>
      <c r="W145" s="783"/>
      <c r="X145" s="783"/>
      <c r="Y145" s="783"/>
      <c r="Z145" s="783"/>
      <c r="AA145" s="783"/>
      <c r="AB145" s="783"/>
      <c r="AC145" s="784"/>
      <c r="AD145" s="783"/>
      <c r="AE145" s="784"/>
      <c r="AF145" s="785"/>
      <c r="AG145" s="785"/>
      <c r="AH145" s="785"/>
      <c r="AI145" s="785"/>
      <c r="AJ145" s="786"/>
      <c r="AK145" s="787"/>
      <c r="AL145" s="786"/>
      <c r="AM145" s="788"/>
      <c r="AN145" s="789"/>
      <c r="AO145" s="790"/>
      <c r="AP145" s="791"/>
      <c r="AQ145" s="790"/>
      <c r="AR145" s="792"/>
      <c r="AS145" s="792"/>
      <c r="AT145" s="792"/>
      <c r="AU145" s="792"/>
      <c r="AV145" s="792"/>
      <c r="AW145" s="792"/>
      <c r="AX145" s="792"/>
      <c r="AY145" s="792"/>
    </row>
    <row r="146">
      <c r="B146" s="783"/>
      <c r="D146" s="783"/>
      <c r="E146" s="783"/>
      <c r="F146" s="783"/>
      <c r="G146" s="783"/>
      <c r="H146" s="783"/>
      <c r="I146" s="783"/>
      <c r="J146" s="783"/>
      <c r="K146" s="783"/>
      <c r="L146" s="783"/>
      <c r="M146" s="783"/>
      <c r="N146" s="783"/>
      <c r="O146" s="783"/>
      <c r="P146" s="783"/>
      <c r="Q146" s="783"/>
      <c r="R146" s="783"/>
      <c r="S146" s="783"/>
      <c r="T146" s="783"/>
      <c r="U146" s="783"/>
      <c r="V146" s="783"/>
      <c r="W146" s="783"/>
      <c r="X146" s="783"/>
      <c r="Y146" s="783"/>
      <c r="Z146" s="783"/>
      <c r="AA146" s="783"/>
      <c r="AB146" s="783"/>
      <c r="AC146" s="784"/>
      <c r="AD146" s="783"/>
      <c r="AE146" s="784"/>
      <c r="AF146" s="785"/>
      <c r="AG146" s="785"/>
      <c r="AH146" s="785"/>
      <c r="AI146" s="785"/>
      <c r="AJ146" s="786"/>
      <c r="AK146" s="787"/>
      <c r="AL146" s="786"/>
      <c r="AM146" s="788"/>
      <c r="AN146" s="789"/>
      <c r="AO146" s="790"/>
      <c r="AP146" s="791"/>
      <c r="AQ146" s="790"/>
      <c r="AR146" s="792"/>
      <c r="AS146" s="792"/>
      <c r="AT146" s="792"/>
      <c r="AU146" s="792"/>
      <c r="AV146" s="792"/>
      <c r="AW146" s="792"/>
      <c r="AX146" s="792"/>
      <c r="AY146" s="792"/>
    </row>
    <row r="147">
      <c r="B147" s="783"/>
      <c r="D147" s="783"/>
      <c r="E147" s="783"/>
      <c r="F147" s="783"/>
      <c r="G147" s="783"/>
      <c r="H147" s="783"/>
      <c r="I147" s="783"/>
      <c r="J147" s="783"/>
      <c r="K147" s="783"/>
      <c r="L147" s="783"/>
      <c r="M147" s="783"/>
      <c r="N147" s="783"/>
      <c r="O147" s="783"/>
      <c r="P147" s="783"/>
      <c r="Q147" s="783"/>
      <c r="R147" s="783"/>
      <c r="S147" s="783"/>
      <c r="T147" s="783"/>
      <c r="U147" s="783"/>
      <c r="V147" s="783"/>
      <c r="W147" s="783"/>
      <c r="X147" s="783"/>
      <c r="Y147" s="783"/>
      <c r="Z147" s="783"/>
      <c r="AA147" s="783"/>
      <c r="AB147" s="783"/>
      <c r="AC147" s="784"/>
      <c r="AD147" s="783"/>
      <c r="AE147" s="784"/>
      <c r="AF147" s="785"/>
      <c r="AG147" s="785"/>
      <c r="AH147" s="785"/>
      <c r="AI147" s="785"/>
      <c r="AJ147" s="786"/>
      <c r="AK147" s="787"/>
      <c r="AL147" s="786"/>
      <c r="AM147" s="788"/>
      <c r="AN147" s="789"/>
      <c r="AO147" s="790"/>
      <c r="AP147" s="791"/>
      <c r="AQ147" s="790"/>
      <c r="AR147" s="792"/>
      <c r="AS147" s="792"/>
      <c r="AT147" s="792"/>
      <c r="AU147" s="792"/>
      <c r="AV147" s="792"/>
      <c r="AW147" s="792"/>
      <c r="AX147" s="792"/>
      <c r="AY147" s="792"/>
    </row>
    <row r="148">
      <c r="B148" s="783"/>
      <c r="D148" s="783"/>
      <c r="E148" s="783"/>
      <c r="F148" s="783"/>
      <c r="G148" s="783"/>
      <c r="H148" s="783"/>
      <c r="I148" s="783"/>
      <c r="J148" s="783"/>
      <c r="K148" s="783"/>
      <c r="L148" s="783"/>
      <c r="M148" s="783"/>
      <c r="N148" s="783"/>
      <c r="O148" s="783"/>
      <c r="P148" s="783"/>
      <c r="Q148" s="783"/>
      <c r="R148" s="783"/>
      <c r="S148" s="783"/>
      <c r="T148" s="783"/>
      <c r="U148" s="783"/>
      <c r="V148" s="783"/>
      <c r="W148" s="783"/>
      <c r="X148" s="783"/>
      <c r="Y148" s="783"/>
      <c r="Z148" s="783"/>
      <c r="AA148" s="783"/>
      <c r="AB148" s="783"/>
      <c r="AC148" s="784"/>
      <c r="AD148" s="783"/>
      <c r="AE148" s="784"/>
      <c r="AF148" s="785"/>
      <c r="AG148" s="785"/>
      <c r="AH148" s="785"/>
      <c r="AI148" s="785"/>
      <c r="AJ148" s="786"/>
      <c r="AK148" s="787"/>
      <c r="AL148" s="786"/>
      <c r="AM148" s="788"/>
      <c r="AN148" s="789"/>
      <c r="AO148" s="790"/>
      <c r="AP148" s="791"/>
      <c r="AQ148" s="790"/>
      <c r="AR148" s="792"/>
      <c r="AS148" s="792"/>
      <c r="AT148" s="792"/>
      <c r="AU148" s="792"/>
      <c r="AV148" s="792"/>
      <c r="AW148" s="792"/>
      <c r="AX148" s="792"/>
      <c r="AY148" s="792"/>
    </row>
    <row r="149">
      <c r="B149" s="783"/>
      <c r="D149" s="783"/>
      <c r="E149" s="783"/>
      <c r="F149" s="783"/>
      <c r="G149" s="783"/>
      <c r="H149" s="783"/>
      <c r="I149" s="783"/>
      <c r="J149" s="783"/>
      <c r="K149" s="783"/>
      <c r="L149" s="783"/>
      <c r="M149" s="783"/>
      <c r="N149" s="783"/>
      <c r="O149" s="783"/>
      <c r="P149" s="783"/>
      <c r="Q149" s="783"/>
      <c r="R149" s="783"/>
      <c r="S149" s="783"/>
      <c r="T149" s="783"/>
      <c r="U149" s="783"/>
      <c r="V149" s="783"/>
      <c r="W149" s="783"/>
      <c r="X149" s="783"/>
      <c r="Y149" s="783"/>
      <c r="Z149" s="783"/>
      <c r="AA149" s="783"/>
      <c r="AB149" s="783"/>
      <c r="AC149" s="784"/>
      <c r="AD149" s="783"/>
      <c r="AE149" s="784"/>
      <c r="AF149" s="785"/>
      <c r="AG149" s="785"/>
      <c r="AH149" s="785"/>
      <c r="AI149" s="785"/>
      <c r="AJ149" s="786"/>
      <c r="AK149" s="787"/>
      <c r="AL149" s="786"/>
      <c r="AM149" s="788"/>
      <c r="AN149" s="789"/>
      <c r="AO149" s="790"/>
      <c r="AP149" s="791"/>
      <c r="AQ149" s="790"/>
      <c r="AR149" s="792"/>
      <c r="AS149" s="792"/>
      <c r="AT149" s="792"/>
      <c r="AU149" s="792"/>
      <c r="AV149" s="792"/>
      <c r="AW149" s="792"/>
      <c r="AX149" s="792"/>
      <c r="AY149" s="792"/>
    </row>
    <row r="150">
      <c r="B150" s="783"/>
      <c r="D150" s="783"/>
      <c r="E150" s="783"/>
      <c r="F150" s="783"/>
      <c r="G150" s="783"/>
      <c r="H150" s="783"/>
      <c r="I150" s="783"/>
      <c r="J150" s="783"/>
      <c r="K150" s="783"/>
      <c r="L150" s="783"/>
      <c r="M150" s="783"/>
      <c r="N150" s="783"/>
      <c r="O150" s="783"/>
      <c r="P150" s="783"/>
      <c r="Q150" s="783"/>
      <c r="R150" s="783"/>
      <c r="S150" s="783"/>
      <c r="T150" s="783"/>
      <c r="U150" s="783"/>
      <c r="V150" s="783"/>
      <c r="W150" s="783"/>
      <c r="X150" s="783"/>
      <c r="Y150" s="783"/>
      <c r="Z150" s="783"/>
      <c r="AA150" s="783"/>
      <c r="AB150" s="783"/>
      <c r="AC150" s="784"/>
      <c r="AD150" s="783"/>
      <c r="AE150" s="784"/>
      <c r="AF150" s="785"/>
      <c r="AG150" s="785"/>
      <c r="AH150" s="785"/>
      <c r="AI150" s="785"/>
      <c r="AJ150" s="786"/>
      <c r="AK150" s="787"/>
      <c r="AL150" s="786"/>
      <c r="AM150" s="788"/>
      <c r="AN150" s="789"/>
      <c r="AO150" s="790"/>
      <c r="AP150" s="791"/>
      <c r="AQ150" s="790"/>
      <c r="AR150" s="792"/>
      <c r="AS150" s="792"/>
      <c r="AT150" s="792"/>
      <c r="AU150" s="792"/>
      <c r="AV150" s="792"/>
      <c r="AW150" s="792"/>
      <c r="AX150" s="792"/>
      <c r="AY150" s="792"/>
    </row>
    <row r="151">
      <c r="B151" s="783"/>
      <c r="D151" s="783"/>
      <c r="E151" s="783"/>
      <c r="F151" s="783"/>
      <c r="G151" s="783"/>
      <c r="H151" s="783"/>
      <c r="I151" s="783"/>
      <c r="J151" s="783"/>
      <c r="K151" s="783"/>
      <c r="L151" s="783"/>
      <c r="M151" s="783"/>
      <c r="N151" s="783"/>
      <c r="O151" s="783"/>
      <c r="P151" s="783"/>
      <c r="Q151" s="783"/>
      <c r="R151" s="783"/>
      <c r="S151" s="783"/>
      <c r="T151" s="783"/>
      <c r="U151" s="783"/>
      <c r="V151" s="783"/>
      <c r="W151" s="783"/>
      <c r="X151" s="783"/>
      <c r="Y151" s="783"/>
      <c r="Z151" s="783"/>
      <c r="AA151" s="783"/>
      <c r="AB151" s="783"/>
      <c r="AC151" s="784"/>
      <c r="AD151" s="783"/>
      <c r="AE151" s="784"/>
      <c r="AF151" s="785"/>
      <c r="AG151" s="785"/>
      <c r="AH151" s="785"/>
      <c r="AI151" s="785"/>
      <c r="AJ151" s="786"/>
      <c r="AK151" s="787"/>
      <c r="AL151" s="786"/>
      <c r="AM151" s="788"/>
      <c r="AN151" s="789"/>
      <c r="AO151" s="790"/>
      <c r="AP151" s="791"/>
      <c r="AQ151" s="790"/>
      <c r="AR151" s="792"/>
      <c r="AS151" s="792"/>
      <c r="AT151" s="792"/>
      <c r="AU151" s="792"/>
      <c r="AV151" s="792"/>
      <c r="AW151" s="792"/>
      <c r="AX151" s="792"/>
      <c r="AY151" s="792"/>
    </row>
    <row r="152">
      <c r="B152" s="783"/>
      <c r="D152" s="783"/>
      <c r="E152" s="783"/>
      <c r="F152" s="783"/>
      <c r="G152" s="783"/>
      <c r="H152" s="783"/>
      <c r="I152" s="783"/>
      <c r="J152" s="783"/>
      <c r="K152" s="783"/>
      <c r="L152" s="783"/>
      <c r="M152" s="783"/>
      <c r="N152" s="783"/>
      <c r="O152" s="783"/>
      <c r="P152" s="783"/>
      <c r="Q152" s="783"/>
      <c r="R152" s="783"/>
      <c r="S152" s="783"/>
      <c r="T152" s="783"/>
      <c r="U152" s="783"/>
      <c r="V152" s="783"/>
      <c r="W152" s="783"/>
      <c r="X152" s="783"/>
      <c r="Y152" s="783"/>
      <c r="Z152" s="783"/>
      <c r="AA152" s="783"/>
      <c r="AB152" s="783"/>
      <c r="AC152" s="784"/>
      <c r="AD152" s="783"/>
      <c r="AE152" s="784"/>
      <c r="AF152" s="785"/>
      <c r="AG152" s="785"/>
      <c r="AH152" s="785"/>
      <c r="AI152" s="785"/>
      <c r="AJ152" s="786"/>
      <c r="AK152" s="787"/>
      <c r="AL152" s="786"/>
      <c r="AM152" s="788"/>
      <c r="AN152" s="789"/>
      <c r="AO152" s="790"/>
      <c r="AP152" s="791"/>
      <c r="AQ152" s="790"/>
      <c r="AR152" s="792"/>
      <c r="AS152" s="792"/>
      <c r="AT152" s="792"/>
      <c r="AU152" s="792"/>
      <c r="AV152" s="792"/>
      <c r="AW152" s="792"/>
      <c r="AX152" s="792"/>
      <c r="AY152" s="792"/>
    </row>
    <row r="153">
      <c r="B153" s="783"/>
      <c r="D153" s="783"/>
      <c r="E153" s="783"/>
      <c r="F153" s="783"/>
      <c r="G153" s="783"/>
      <c r="H153" s="783"/>
      <c r="I153" s="783"/>
      <c r="J153" s="783"/>
      <c r="K153" s="783"/>
      <c r="L153" s="783"/>
      <c r="M153" s="783"/>
      <c r="N153" s="783"/>
      <c r="O153" s="783"/>
      <c r="P153" s="783"/>
      <c r="Q153" s="783"/>
      <c r="R153" s="783"/>
      <c r="S153" s="783"/>
      <c r="T153" s="783"/>
      <c r="U153" s="783"/>
      <c r="V153" s="783"/>
      <c r="W153" s="783"/>
      <c r="X153" s="783"/>
      <c r="Y153" s="783"/>
      <c r="Z153" s="783"/>
      <c r="AA153" s="783"/>
      <c r="AB153" s="783"/>
      <c r="AC153" s="784"/>
      <c r="AD153" s="783"/>
      <c r="AE153" s="784"/>
      <c r="AF153" s="785"/>
      <c r="AG153" s="785"/>
      <c r="AH153" s="785"/>
      <c r="AI153" s="785"/>
      <c r="AJ153" s="786"/>
      <c r="AK153" s="787"/>
      <c r="AL153" s="786"/>
      <c r="AM153" s="788"/>
      <c r="AN153" s="789"/>
      <c r="AO153" s="790"/>
      <c r="AP153" s="791"/>
      <c r="AQ153" s="790"/>
      <c r="AR153" s="792"/>
      <c r="AS153" s="792"/>
      <c r="AT153" s="792"/>
      <c r="AU153" s="792"/>
      <c r="AV153" s="792"/>
      <c r="AW153" s="792"/>
      <c r="AX153" s="792"/>
      <c r="AY153" s="792"/>
    </row>
    <row r="154">
      <c r="B154" s="783"/>
      <c r="D154" s="783"/>
      <c r="E154" s="783"/>
      <c r="F154" s="783"/>
      <c r="G154" s="783"/>
      <c r="H154" s="783"/>
      <c r="I154" s="783"/>
      <c r="J154" s="783"/>
      <c r="K154" s="783"/>
      <c r="L154" s="783"/>
      <c r="M154" s="783"/>
      <c r="N154" s="783"/>
      <c r="O154" s="783"/>
      <c r="P154" s="783"/>
      <c r="Q154" s="783"/>
      <c r="R154" s="783"/>
      <c r="S154" s="783"/>
      <c r="T154" s="783"/>
      <c r="U154" s="783"/>
      <c r="V154" s="783"/>
      <c r="W154" s="783"/>
      <c r="X154" s="783"/>
      <c r="Y154" s="783"/>
      <c r="Z154" s="783"/>
      <c r="AA154" s="783"/>
      <c r="AB154" s="783"/>
      <c r="AC154" s="784"/>
      <c r="AD154" s="783"/>
      <c r="AE154" s="784"/>
      <c r="AF154" s="785"/>
      <c r="AG154" s="785"/>
      <c r="AH154" s="785"/>
      <c r="AI154" s="785"/>
      <c r="AJ154" s="786"/>
      <c r="AK154" s="787"/>
      <c r="AL154" s="786"/>
      <c r="AM154" s="788"/>
      <c r="AN154" s="789"/>
      <c r="AO154" s="790"/>
      <c r="AP154" s="791"/>
      <c r="AQ154" s="790"/>
      <c r="AR154" s="792"/>
      <c r="AS154" s="792"/>
      <c r="AT154" s="792"/>
      <c r="AU154" s="792"/>
      <c r="AV154" s="792"/>
      <c r="AW154" s="792"/>
      <c r="AX154" s="792"/>
      <c r="AY154" s="792"/>
    </row>
    <row r="155">
      <c r="B155" s="783"/>
      <c r="D155" s="783"/>
      <c r="E155" s="783"/>
      <c r="F155" s="783"/>
      <c r="G155" s="783"/>
      <c r="H155" s="783"/>
      <c r="I155" s="783"/>
      <c r="J155" s="783"/>
      <c r="K155" s="783"/>
      <c r="L155" s="783"/>
      <c r="M155" s="783"/>
      <c r="N155" s="783"/>
      <c r="O155" s="783"/>
      <c r="P155" s="783"/>
      <c r="Q155" s="783"/>
      <c r="R155" s="783"/>
      <c r="S155" s="783"/>
      <c r="T155" s="783"/>
      <c r="U155" s="783"/>
      <c r="V155" s="783"/>
      <c r="W155" s="783"/>
      <c r="X155" s="783"/>
      <c r="Y155" s="783"/>
      <c r="Z155" s="783"/>
      <c r="AA155" s="783"/>
      <c r="AB155" s="783"/>
      <c r="AC155" s="784"/>
      <c r="AD155" s="783"/>
      <c r="AE155" s="784"/>
      <c r="AF155" s="785"/>
      <c r="AG155" s="785"/>
      <c r="AH155" s="785"/>
      <c r="AI155" s="785"/>
      <c r="AJ155" s="786"/>
      <c r="AK155" s="787"/>
      <c r="AL155" s="786"/>
      <c r="AM155" s="788"/>
      <c r="AN155" s="789"/>
      <c r="AO155" s="790"/>
      <c r="AP155" s="791"/>
      <c r="AQ155" s="790"/>
      <c r="AR155" s="792"/>
      <c r="AS155" s="792"/>
      <c r="AT155" s="792"/>
      <c r="AU155" s="792"/>
      <c r="AV155" s="792"/>
      <c r="AW155" s="792"/>
      <c r="AX155" s="792"/>
      <c r="AY155" s="792"/>
    </row>
    <row r="156">
      <c r="B156" s="783"/>
      <c r="D156" s="783"/>
      <c r="E156" s="783"/>
      <c r="F156" s="783"/>
      <c r="G156" s="783"/>
      <c r="H156" s="783"/>
      <c r="I156" s="783"/>
      <c r="J156" s="783"/>
      <c r="K156" s="783"/>
      <c r="L156" s="783"/>
      <c r="M156" s="783"/>
      <c r="N156" s="783"/>
      <c r="O156" s="783"/>
      <c r="P156" s="783"/>
      <c r="Q156" s="783"/>
      <c r="R156" s="783"/>
      <c r="S156" s="783"/>
      <c r="T156" s="783"/>
      <c r="U156" s="783"/>
      <c r="V156" s="783"/>
      <c r="W156" s="783"/>
      <c r="X156" s="783"/>
      <c r="Y156" s="783"/>
      <c r="Z156" s="783"/>
      <c r="AA156" s="783"/>
      <c r="AB156" s="783"/>
      <c r="AC156" s="784"/>
      <c r="AD156" s="783"/>
      <c r="AE156" s="784"/>
      <c r="AF156" s="785"/>
      <c r="AG156" s="785"/>
      <c r="AH156" s="785"/>
      <c r="AI156" s="785"/>
      <c r="AJ156" s="786"/>
      <c r="AK156" s="787"/>
      <c r="AL156" s="786"/>
      <c r="AM156" s="788"/>
      <c r="AN156" s="789"/>
      <c r="AO156" s="790"/>
      <c r="AP156" s="791"/>
      <c r="AQ156" s="790"/>
      <c r="AR156" s="792"/>
      <c r="AS156" s="792"/>
      <c r="AT156" s="792"/>
      <c r="AU156" s="792"/>
      <c r="AV156" s="792"/>
      <c r="AW156" s="792"/>
      <c r="AX156" s="792"/>
      <c r="AY156" s="792"/>
    </row>
    <row r="157">
      <c r="B157" s="783"/>
      <c r="D157" s="783"/>
      <c r="E157" s="783"/>
      <c r="F157" s="783"/>
      <c r="G157" s="783"/>
      <c r="H157" s="783"/>
      <c r="I157" s="783"/>
      <c r="J157" s="783"/>
      <c r="K157" s="783"/>
      <c r="L157" s="783"/>
      <c r="M157" s="783"/>
      <c r="N157" s="783"/>
      <c r="O157" s="783"/>
      <c r="P157" s="783"/>
      <c r="Q157" s="783"/>
      <c r="R157" s="783"/>
      <c r="S157" s="783"/>
      <c r="T157" s="783"/>
      <c r="U157" s="783"/>
      <c r="V157" s="783"/>
      <c r="W157" s="783"/>
      <c r="X157" s="783"/>
      <c r="Y157" s="783"/>
      <c r="Z157" s="783"/>
      <c r="AA157" s="783"/>
      <c r="AB157" s="783"/>
      <c r="AC157" s="784"/>
      <c r="AD157" s="783"/>
      <c r="AE157" s="784"/>
      <c r="AF157" s="785"/>
      <c r="AG157" s="785"/>
      <c r="AH157" s="785"/>
      <c r="AI157" s="785"/>
      <c r="AJ157" s="786"/>
      <c r="AK157" s="787"/>
      <c r="AL157" s="786"/>
      <c r="AM157" s="788"/>
      <c r="AN157" s="789"/>
      <c r="AO157" s="790"/>
      <c r="AP157" s="791"/>
      <c r="AQ157" s="790"/>
      <c r="AR157" s="792"/>
      <c r="AS157" s="792"/>
      <c r="AT157" s="792"/>
      <c r="AU157" s="792"/>
      <c r="AV157" s="792"/>
      <c r="AW157" s="792"/>
      <c r="AX157" s="792"/>
      <c r="AY157" s="792"/>
    </row>
    <row r="158">
      <c r="B158" s="783"/>
      <c r="D158" s="783"/>
      <c r="E158" s="783"/>
      <c r="F158" s="783"/>
      <c r="G158" s="783"/>
      <c r="H158" s="783"/>
      <c r="I158" s="783"/>
      <c r="J158" s="783"/>
      <c r="K158" s="783"/>
      <c r="L158" s="783"/>
      <c r="M158" s="783"/>
      <c r="N158" s="783"/>
      <c r="O158" s="783"/>
      <c r="P158" s="783"/>
      <c r="Q158" s="783"/>
      <c r="R158" s="783"/>
      <c r="S158" s="783"/>
      <c r="T158" s="783"/>
      <c r="U158" s="783"/>
      <c r="V158" s="783"/>
      <c r="W158" s="783"/>
      <c r="X158" s="783"/>
      <c r="Y158" s="783"/>
      <c r="Z158" s="783"/>
      <c r="AA158" s="783"/>
      <c r="AB158" s="783"/>
      <c r="AC158" s="784"/>
      <c r="AD158" s="783"/>
      <c r="AE158" s="784"/>
      <c r="AF158" s="785"/>
      <c r="AG158" s="785"/>
      <c r="AH158" s="785"/>
      <c r="AI158" s="785"/>
      <c r="AJ158" s="786"/>
      <c r="AK158" s="787"/>
      <c r="AL158" s="786"/>
      <c r="AM158" s="788"/>
      <c r="AN158" s="789"/>
      <c r="AO158" s="790"/>
      <c r="AP158" s="791"/>
      <c r="AQ158" s="790"/>
      <c r="AR158" s="792"/>
      <c r="AS158" s="792"/>
      <c r="AT158" s="792"/>
      <c r="AU158" s="792"/>
      <c r="AV158" s="792"/>
      <c r="AW158" s="792"/>
      <c r="AX158" s="792"/>
      <c r="AY158" s="792"/>
    </row>
    <row r="159">
      <c r="B159" s="783"/>
      <c r="D159" s="783"/>
      <c r="E159" s="783"/>
      <c r="F159" s="783"/>
      <c r="G159" s="783"/>
      <c r="H159" s="783"/>
      <c r="I159" s="783"/>
      <c r="J159" s="783"/>
      <c r="K159" s="783"/>
      <c r="L159" s="783"/>
      <c r="M159" s="783"/>
      <c r="N159" s="783"/>
      <c r="O159" s="783"/>
      <c r="P159" s="783"/>
      <c r="Q159" s="783"/>
      <c r="R159" s="783"/>
      <c r="S159" s="783"/>
      <c r="T159" s="783"/>
      <c r="U159" s="783"/>
      <c r="V159" s="783"/>
      <c r="W159" s="783"/>
      <c r="X159" s="783"/>
      <c r="Y159" s="783"/>
      <c r="Z159" s="783"/>
      <c r="AA159" s="783"/>
      <c r="AB159" s="783"/>
      <c r="AC159" s="784"/>
      <c r="AD159" s="783"/>
      <c r="AE159" s="784"/>
      <c r="AF159" s="785"/>
      <c r="AG159" s="785"/>
      <c r="AH159" s="785"/>
      <c r="AI159" s="785"/>
      <c r="AJ159" s="786"/>
      <c r="AK159" s="787"/>
      <c r="AL159" s="786"/>
      <c r="AM159" s="788"/>
      <c r="AN159" s="789"/>
      <c r="AO159" s="790"/>
      <c r="AP159" s="791"/>
      <c r="AQ159" s="790"/>
      <c r="AR159" s="792"/>
      <c r="AS159" s="792"/>
      <c r="AT159" s="792"/>
      <c r="AU159" s="792"/>
      <c r="AV159" s="792"/>
      <c r="AW159" s="792"/>
      <c r="AX159" s="792"/>
      <c r="AY159" s="792"/>
    </row>
    <row r="160">
      <c r="B160" s="783"/>
      <c r="D160" s="783"/>
      <c r="E160" s="783"/>
      <c r="F160" s="783"/>
      <c r="G160" s="783"/>
      <c r="H160" s="783"/>
      <c r="I160" s="783"/>
      <c r="J160" s="783"/>
      <c r="K160" s="783"/>
      <c r="L160" s="783"/>
      <c r="M160" s="783"/>
      <c r="N160" s="783"/>
      <c r="O160" s="783"/>
      <c r="P160" s="783"/>
      <c r="Q160" s="783"/>
      <c r="R160" s="783"/>
      <c r="S160" s="783"/>
      <c r="T160" s="783"/>
      <c r="U160" s="783"/>
      <c r="V160" s="783"/>
      <c r="W160" s="783"/>
      <c r="X160" s="783"/>
      <c r="Y160" s="783"/>
      <c r="Z160" s="783"/>
      <c r="AA160" s="783"/>
      <c r="AB160" s="783"/>
      <c r="AC160" s="784"/>
      <c r="AD160" s="783"/>
      <c r="AE160" s="784"/>
      <c r="AF160" s="785"/>
      <c r="AG160" s="785"/>
      <c r="AH160" s="785"/>
      <c r="AI160" s="785"/>
      <c r="AJ160" s="786"/>
      <c r="AK160" s="787"/>
      <c r="AL160" s="786"/>
      <c r="AM160" s="788"/>
      <c r="AN160" s="789"/>
      <c r="AO160" s="790"/>
      <c r="AP160" s="791"/>
      <c r="AQ160" s="790"/>
      <c r="AR160" s="792"/>
      <c r="AS160" s="792"/>
      <c r="AT160" s="792"/>
      <c r="AU160" s="792"/>
      <c r="AV160" s="792"/>
      <c r="AW160" s="792"/>
      <c r="AX160" s="792"/>
      <c r="AY160" s="792"/>
    </row>
    <row r="161">
      <c r="B161" s="783"/>
      <c r="D161" s="783"/>
      <c r="E161" s="783"/>
      <c r="F161" s="783"/>
      <c r="G161" s="783"/>
      <c r="H161" s="783"/>
      <c r="I161" s="783"/>
      <c r="J161" s="783"/>
      <c r="K161" s="783"/>
      <c r="L161" s="783"/>
      <c r="M161" s="783"/>
      <c r="N161" s="783"/>
      <c r="O161" s="783"/>
      <c r="P161" s="783"/>
      <c r="Q161" s="783"/>
      <c r="R161" s="783"/>
      <c r="S161" s="783"/>
      <c r="T161" s="783"/>
      <c r="U161" s="783"/>
      <c r="V161" s="783"/>
      <c r="W161" s="783"/>
      <c r="X161" s="783"/>
      <c r="Y161" s="783"/>
      <c r="Z161" s="783"/>
      <c r="AA161" s="783"/>
      <c r="AB161" s="783"/>
      <c r="AC161" s="784"/>
      <c r="AD161" s="783"/>
      <c r="AE161" s="784"/>
      <c r="AF161" s="785"/>
      <c r="AG161" s="785"/>
      <c r="AH161" s="785"/>
      <c r="AI161" s="785"/>
      <c r="AJ161" s="786"/>
      <c r="AK161" s="787"/>
      <c r="AL161" s="786"/>
      <c r="AM161" s="788"/>
      <c r="AN161" s="789"/>
      <c r="AO161" s="790"/>
      <c r="AP161" s="791"/>
      <c r="AQ161" s="790"/>
      <c r="AR161" s="792"/>
      <c r="AS161" s="792"/>
      <c r="AT161" s="792"/>
      <c r="AU161" s="792"/>
      <c r="AV161" s="792"/>
      <c r="AW161" s="792"/>
      <c r="AX161" s="792"/>
      <c r="AY161" s="792"/>
    </row>
    <row r="162">
      <c r="B162" s="783"/>
      <c r="D162" s="783"/>
      <c r="E162" s="783"/>
      <c r="F162" s="783"/>
      <c r="G162" s="783"/>
      <c r="H162" s="783"/>
      <c r="I162" s="783"/>
      <c r="J162" s="783"/>
      <c r="K162" s="783"/>
      <c r="L162" s="783"/>
      <c r="M162" s="783"/>
      <c r="N162" s="783"/>
      <c r="O162" s="783"/>
      <c r="P162" s="783"/>
      <c r="Q162" s="783"/>
      <c r="R162" s="783"/>
      <c r="S162" s="783"/>
      <c r="T162" s="783"/>
      <c r="U162" s="783"/>
      <c r="V162" s="783"/>
      <c r="W162" s="783"/>
      <c r="X162" s="783"/>
      <c r="Y162" s="783"/>
      <c r="Z162" s="783"/>
      <c r="AA162" s="783"/>
      <c r="AB162" s="783"/>
      <c r="AC162" s="784"/>
      <c r="AD162" s="783"/>
      <c r="AE162" s="784"/>
      <c r="AF162" s="785"/>
      <c r="AG162" s="785"/>
      <c r="AH162" s="785"/>
      <c r="AI162" s="785"/>
      <c r="AJ162" s="786"/>
      <c r="AK162" s="787"/>
      <c r="AL162" s="786"/>
      <c r="AM162" s="788"/>
      <c r="AN162" s="789"/>
      <c r="AO162" s="790"/>
      <c r="AP162" s="791"/>
      <c r="AQ162" s="790"/>
      <c r="AR162" s="792"/>
      <c r="AS162" s="792"/>
      <c r="AT162" s="792"/>
      <c r="AU162" s="792"/>
      <c r="AV162" s="792"/>
      <c r="AW162" s="792"/>
      <c r="AX162" s="792"/>
      <c r="AY162" s="792"/>
    </row>
    <row r="163">
      <c r="B163" s="783"/>
      <c r="D163" s="783"/>
      <c r="E163" s="783"/>
      <c r="F163" s="783"/>
      <c r="G163" s="783"/>
      <c r="H163" s="783"/>
      <c r="I163" s="783"/>
      <c r="J163" s="783"/>
      <c r="K163" s="783"/>
      <c r="L163" s="783"/>
      <c r="M163" s="783"/>
      <c r="N163" s="783"/>
      <c r="O163" s="783"/>
      <c r="P163" s="783"/>
      <c r="Q163" s="783"/>
      <c r="R163" s="783"/>
      <c r="S163" s="783"/>
      <c r="T163" s="783"/>
      <c r="U163" s="783"/>
      <c r="V163" s="783"/>
      <c r="W163" s="783"/>
      <c r="X163" s="783"/>
      <c r="Y163" s="783"/>
      <c r="Z163" s="783"/>
      <c r="AA163" s="783"/>
      <c r="AB163" s="783"/>
      <c r="AC163" s="784"/>
      <c r="AD163" s="783"/>
      <c r="AE163" s="784"/>
      <c r="AF163" s="785"/>
      <c r="AG163" s="785"/>
      <c r="AH163" s="785"/>
      <c r="AI163" s="785"/>
      <c r="AJ163" s="786"/>
      <c r="AK163" s="787"/>
      <c r="AL163" s="786"/>
      <c r="AM163" s="788"/>
      <c r="AN163" s="789"/>
      <c r="AO163" s="790"/>
      <c r="AP163" s="791"/>
      <c r="AQ163" s="790"/>
      <c r="AR163" s="792"/>
      <c r="AS163" s="792"/>
      <c r="AT163" s="792"/>
      <c r="AU163" s="792"/>
      <c r="AV163" s="792"/>
      <c r="AW163" s="792"/>
      <c r="AX163" s="792"/>
      <c r="AY163" s="792"/>
    </row>
    <row r="164">
      <c r="B164" s="783"/>
      <c r="D164" s="783"/>
      <c r="E164" s="783"/>
      <c r="F164" s="783"/>
      <c r="G164" s="783"/>
      <c r="H164" s="783"/>
      <c r="I164" s="783"/>
      <c r="J164" s="783"/>
      <c r="K164" s="783"/>
      <c r="L164" s="783"/>
      <c r="M164" s="783"/>
      <c r="N164" s="783"/>
      <c r="O164" s="783"/>
      <c r="P164" s="783"/>
      <c r="Q164" s="783"/>
      <c r="R164" s="783"/>
      <c r="S164" s="783"/>
      <c r="T164" s="783"/>
      <c r="U164" s="783"/>
      <c r="V164" s="783"/>
      <c r="W164" s="783"/>
      <c r="X164" s="783"/>
      <c r="Y164" s="783"/>
      <c r="Z164" s="783"/>
      <c r="AA164" s="783"/>
      <c r="AB164" s="783"/>
      <c r="AC164" s="784"/>
      <c r="AD164" s="783"/>
      <c r="AE164" s="784"/>
      <c r="AF164" s="785"/>
      <c r="AG164" s="785"/>
      <c r="AH164" s="785"/>
      <c r="AI164" s="785"/>
      <c r="AJ164" s="786"/>
      <c r="AK164" s="787"/>
      <c r="AL164" s="786"/>
      <c r="AM164" s="788"/>
      <c r="AN164" s="789"/>
      <c r="AO164" s="790"/>
      <c r="AP164" s="791"/>
      <c r="AQ164" s="790"/>
      <c r="AR164" s="792"/>
      <c r="AS164" s="792"/>
      <c r="AT164" s="792"/>
      <c r="AU164" s="792"/>
      <c r="AV164" s="792"/>
      <c r="AW164" s="792"/>
      <c r="AX164" s="792"/>
      <c r="AY164" s="792"/>
    </row>
    <row r="165">
      <c r="B165" s="783"/>
      <c r="D165" s="783"/>
      <c r="E165" s="783"/>
      <c r="F165" s="783"/>
      <c r="G165" s="783"/>
      <c r="H165" s="783"/>
      <c r="I165" s="783"/>
      <c r="J165" s="783"/>
      <c r="K165" s="783"/>
      <c r="L165" s="783"/>
      <c r="M165" s="783"/>
      <c r="N165" s="783"/>
      <c r="O165" s="783"/>
      <c r="P165" s="783"/>
      <c r="Q165" s="783"/>
      <c r="R165" s="783"/>
      <c r="S165" s="783"/>
      <c r="T165" s="783"/>
      <c r="U165" s="783"/>
      <c r="V165" s="783"/>
      <c r="W165" s="783"/>
      <c r="X165" s="783"/>
      <c r="Y165" s="783"/>
      <c r="Z165" s="783"/>
      <c r="AA165" s="783"/>
      <c r="AB165" s="783"/>
      <c r="AC165" s="784"/>
      <c r="AD165" s="783"/>
      <c r="AE165" s="784"/>
      <c r="AF165" s="785"/>
      <c r="AG165" s="785"/>
      <c r="AH165" s="785"/>
      <c r="AI165" s="785"/>
      <c r="AJ165" s="786"/>
      <c r="AK165" s="787"/>
      <c r="AL165" s="786"/>
      <c r="AM165" s="788"/>
      <c r="AN165" s="789"/>
      <c r="AO165" s="790"/>
      <c r="AP165" s="791"/>
      <c r="AQ165" s="790"/>
      <c r="AR165" s="792"/>
      <c r="AS165" s="792"/>
      <c r="AT165" s="792"/>
      <c r="AU165" s="792"/>
      <c r="AV165" s="792"/>
      <c r="AW165" s="792"/>
      <c r="AX165" s="792"/>
      <c r="AY165" s="792"/>
    </row>
    <row r="166">
      <c r="B166" s="783"/>
      <c r="D166" s="783"/>
      <c r="E166" s="783"/>
      <c r="F166" s="783"/>
      <c r="G166" s="783"/>
      <c r="H166" s="783"/>
      <c r="I166" s="783"/>
      <c r="J166" s="783"/>
      <c r="K166" s="783"/>
      <c r="L166" s="783"/>
      <c r="M166" s="783"/>
      <c r="N166" s="783"/>
      <c r="O166" s="783"/>
      <c r="P166" s="783"/>
      <c r="Q166" s="783"/>
      <c r="R166" s="783"/>
      <c r="S166" s="783"/>
      <c r="T166" s="783"/>
      <c r="U166" s="783"/>
      <c r="V166" s="783"/>
      <c r="W166" s="783"/>
      <c r="X166" s="783"/>
      <c r="Y166" s="783"/>
      <c r="Z166" s="783"/>
      <c r="AA166" s="783"/>
      <c r="AB166" s="783"/>
      <c r="AC166" s="784"/>
      <c r="AD166" s="783"/>
      <c r="AE166" s="784"/>
      <c r="AF166" s="785"/>
      <c r="AG166" s="785"/>
      <c r="AH166" s="785"/>
      <c r="AI166" s="785"/>
      <c r="AJ166" s="786"/>
      <c r="AK166" s="787"/>
      <c r="AL166" s="786"/>
      <c r="AM166" s="788"/>
      <c r="AN166" s="789"/>
      <c r="AO166" s="790"/>
      <c r="AP166" s="791"/>
      <c r="AQ166" s="790"/>
      <c r="AR166" s="792"/>
      <c r="AS166" s="792"/>
      <c r="AT166" s="792"/>
      <c r="AU166" s="792"/>
      <c r="AV166" s="792"/>
      <c r="AW166" s="792"/>
      <c r="AX166" s="792"/>
      <c r="AY166" s="792"/>
    </row>
    <row r="167">
      <c r="B167" s="783"/>
      <c r="D167" s="783"/>
      <c r="E167" s="783"/>
      <c r="F167" s="783"/>
      <c r="G167" s="783"/>
      <c r="H167" s="783"/>
      <c r="I167" s="783"/>
      <c r="J167" s="783"/>
      <c r="K167" s="783"/>
      <c r="L167" s="783"/>
      <c r="M167" s="783"/>
      <c r="N167" s="783"/>
      <c r="O167" s="783"/>
      <c r="P167" s="783"/>
      <c r="Q167" s="783"/>
      <c r="R167" s="783"/>
      <c r="S167" s="783"/>
      <c r="T167" s="783"/>
      <c r="U167" s="783"/>
      <c r="V167" s="783"/>
      <c r="W167" s="783"/>
      <c r="X167" s="783"/>
      <c r="Y167" s="783"/>
      <c r="Z167" s="783"/>
      <c r="AA167" s="783"/>
      <c r="AB167" s="783"/>
      <c r="AC167" s="784"/>
      <c r="AD167" s="783"/>
      <c r="AE167" s="784"/>
      <c r="AF167" s="785"/>
      <c r="AG167" s="785"/>
      <c r="AH167" s="785"/>
      <c r="AI167" s="785"/>
      <c r="AJ167" s="786"/>
      <c r="AK167" s="787"/>
      <c r="AL167" s="786"/>
      <c r="AM167" s="788"/>
      <c r="AN167" s="789"/>
      <c r="AO167" s="790"/>
      <c r="AP167" s="791"/>
      <c r="AQ167" s="790"/>
      <c r="AR167" s="792"/>
      <c r="AS167" s="792"/>
      <c r="AT167" s="792"/>
      <c r="AU167" s="792"/>
      <c r="AV167" s="792"/>
      <c r="AW167" s="792"/>
      <c r="AX167" s="792"/>
      <c r="AY167" s="792"/>
    </row>
    <row r="168">
      <c r="B168" s="783"/>
      <c r="D168" s="783"/>
      <c r="E168" s="783"/>
      <c r="F168" s="783"/>
      <c r="G168" s="783"/>
      <c r="H168" s="783"/>
      <c r="I168" s="783"/>
      <c r="J168" s="783"/>
      <c r="K168" s="783"/>
      <c r="L168" s="783"/>
      <c r="M168" s="783"/>
      <c r="N168" s="783"/>
      <c r="O168" s="783"/>
      <c r="P168" s="783"/>
      <c r="Q168" s="783"/>
      <c r="R168" s="783"/>
      <c r="S168" s="783"/>
      <c r="T168" s="783"/>
      <c r="U168" s="783"/>
      <c r="V168" s="783"/>
      <c r="W168" s="783"/>
      <c r="X168" s="783"/>
      <c r="Y168" s="783"/>
      <c r="Z168" s="783"/>
      <c r="AA168" s="783"/>
      <c r="AB168" s="783"/>
      <c r="AC168" s="784"/>
      <c r="AD168" s="783"/>
      <c r="AE168" s="784"/>
      <c r="AF168" s="785"/>
      <c r="AG168" s="785"/>
      <c r="AH168" s="785"/>
      <c r="AI168" s="785"/>
      <c r="AJ168" s="786"/>
      <c r="AK168" s="787"/>
      <c r="AL168" s="786"/>
      <c r="AM168" s="788"/>
      <c r="AN168" s="789"/>
      <c r="AO168" s="790"/>
      <c r="AP168" s="791"/>
      <c r="AQ168" s="790"/>
      <c r="AR168" s="792"/>
      <c r="AS168" s="792"/>
      <c r="AT168" s="792"/>
      <c r="AU168" s="792"/>
      <c r="AV168" s="792"/>
      <c r="AW168" s="792"/>
      <c r="AX168" s="792"/>
      <c r="AY168" s="792"/>
    </row>
    <row r="169">
      <c r="B169" s="783"/>
      <c r="D169" s="783"/>
      <c r="E169" s="783"/>
      <c r="F169" s="783"/>
      <c r="G169" s="783"/>
      <c r="H169" s="783"/>
      <c r="I169" s="783"/>
      <c r="J169" s="783"/>
      <c r="K169" s="783"/>
      <c r="L169" s="783"/>
      <c r="M169" s="783"/>
      <c r="N169" s="783"/>
      <c r="O169" s="783"/>
      <c r="P169" s="783"/>
      <c r="Q169" s="783"/>
      <c r="R169" s="783"/>
      <c r="S169" s="783"/>
      <c r="T169" s="783"/>
      <c r="U169" s="783"/>
      <c r="V169" s="783"/>
      <c r="W169" s="783"/>
      <c r="X169" s="783"/>
      <c r="Y169" s="783"/>
      <c r="Z169" s="783"/>
      <c r="AA169" s="783"/>
      <c r="AB169" s="783"/>
      <c r="AC169" s="784"/>
      <c r="AD169" s="783"/>
      <c r="AE169" s="784"/>
      <c r="AF169" s="785"/>
      <c r="AG169" s="785"/>
      <c r="AH169" s="785"/>
      <c r="AI169" s="785"/>
      <c r="AJ169" s="786"/>
      <c r="AK169" s="787"/>
      <c r="AL169" s="786"/>
      <c r="AM169" s="788"/>
      <c r="AN169" s="789"/>
      <c r="AO169" s="790"/>
      <c r="AP169" s="791"/>
      <c r="AQ169" s="790"/>
      <c r="AR169" s="792"/>
      <c r="AS169" s="792"/>
      <c r="AT169" s="792"/>
      <c r="AU169" s="792"/>
      <c r="AV169" s="792"/>
      <c r="AW169" s="792"/>
      <c r="AX169" s="792"/>
      <c r="AY169" s="792"/>
    </row>
    <row r="170">
      <c r="B170" s="783"/>
      <c r="D170" s="783"/>
      <c r="E170" s="783"/>
      <c r="F170" s="783"/>
      <c r="G170" s="783"/>
      <c r="H170" s="783"/>
      <c r="I170" s="783"/>
      <c r="J170" s="783"/>
      <c r="K170" s="783"/>
      <c r="L170" s="783"/>
      <c r="M170" s="783"/>
      <c r="N170" s="783"/>
      <c r="O170" s="783"/>
      <c r="P170" s="783"/>
      <c r="Q170" s="783"/>
      <c r="R170" s="783"/>
      <c r="S170" s="783"/>
      <c r="T170" s="783"/>
      <c r="U170" s="783"/>
      <c r="V170" s="783"/>
      <c r="W170" s="783"/>
      <c r="X170" s="783"/>
      <c r="Y170" s="783"/>
      <c r="Z170" s="783"/>
      <c r="AA170" s="783"/>
      <c r="AB170" s="783"/>
      <c r="AC170" s="784"/>
      <c r="AD170" s="783"/>
      <c r="AE170" s="784"/>
      <c r="AF170" s="785"/>
      <c r="AG170" s="785"/>
      <c r="AH170" s="785"/>
      <c r="AI170" s="785"/>
      <c r="AJ170" s="786"/>
      <c r="AK170" s="787"/>
      <c r="AL170" s="786"/>
      <c r="AM170" s="788"/>
      <c r="AN170" s="789"/>
      <c r="AO170" s="790"/>
      <c r="AP170" s="791"/>
      <c r="AQ170" s="790"/>
      <c r="AR170" s="792"/>
      <c r="AS170" s="792"/>
      <c r="AT170" s="792"/>
      <c r="AU170" s="792"/>
      <c r="AV170" s="792"/>
      <c r="AW170" s="792"/>
      <c r="AX170" s="792"/>
      <c r="AY170" s="792"/>
    </row>
    <row r="171">
      <c r="B171" s="783"/>
      <c r="D171" s="783"/>
      <c r="E171" s="783"/>
      <c r="F171" s="783"/>
      <c r="G171" s="783"/>
      <c r="H171" s="783"/>
      <c r="I171" s="783"/>
      <c r="J171" s="783"/>
      <c r="K171" s="783"/>
      <c r="L171" s="783"/>
      <c r="M171" s="783"/>
      <c r="N171" s="783"/>
      <c r="O171" s="783"/>
      <c r="P171" s="783"/>
      <c r="Q171" s="783"/>
      <c r="R171" s="783"/>
      <c r="S171" s="783"/>
      <c r="T171" s="783"/>
      <c r="U171" s="783"/>
      <c r="V171" s="783"/>
      <c r="W171" s="783"/>
      <c r="X171" s="783"/>
      <c r="Y171" s="783"/>
      <c r="Z171" s="783"/>
      <c r="AA171" s="783"/>
      <c r="AB171" s="783"/>
      <c r="AC171" s="784"/>
      <c r="AD171" s="783"/>
      <c r="AE171" s="784"/>
      <c r="AF171" s="785"/>
      <c r="AG171" s="785"/>
      <c r="AH171" s="785"/>
      <c r="AI171" s="785"/>
      <c r="AJ171" s="786"/>
      <c r="AK171" s="787"/>
      <c r="AL171" s="786"/>
      <c r="AM171" s="788"/>
      <c r="AN171" s="789"/>
      <c r="AO171" s="790"/>
      <c r="AP171" s="791"/>
      <c r="AQ171" s="790"/>
      <c r="AR171" s="792"/>
      <c r="AS171" s="792"/>
      <c r="AT171" s="792"/>
      <c r="AU171" s="792"/>
      <c r="AV171" s="792"/>
      <c r="AW171" s="792"/>
      <c r="AX171" s="792"/>
      <c r="AY171" s="792"/>
    </row>
    <row r="172">
      <c r="B172" s="783"/>
      <c r="D172" s="783"/>
      <c r="E172" s="783"/>
      <c r="F172" s="783"/>
      <c r="G172" s="783"/>
      <c r="H172" s="783"/>
      <c r="I172" s="783"/>
      <c r="J172" s="783"/>
      <c r="K172" s="783"/>
      <c r="L172" s="783"/>
      <c r="M172" s="783"/>
      <c r="N172" s="783"/>
      <c r="O172" s="783"/>
      <c r="P172" s="783"/>
      <c r="Q172" s="783"/>
      <c r="R172" s="783"/>
      <c r="S172" s="783"/>
      <c r="T172" s="783"/>
      <c r="U172" s="783"/>
      <c r="V172" s="783"/>
      <c r="W172" s="783"/>
      <c r="X172" s="783"/>
      <c r="Y172" s="783"/>
      <c r="Z172" s="783"/>
      <c r="AA172" s="783"/>
      <c r="AB172" s="783"/>
      <c r="AC172" s="784"/>
      <c r="AD172" s="783"/>
      <c r="AE172" s="784"/>
      <c r="AF172" s="785"/>
      <c r="AG172" s="785"/>
      <c r="AH172" s="785"/>
      <c r="AI172" s="785"/>
      <c r="AJ172" s="786"/>
      <c r="AK172" s="787"/>
      <c r="AL172" s="786"/>
      <c r="AM172" s="788"/>
      <c r="AN172" s="789"/>
      <c r="AO172" s="790"/>
      <c r="AP172" s="791"/>
      <c r="AQ172" s="790"/>
      <c r="AR172" s="792"/>
      <c r="AS172" s="792"/>
      <c r="AT172" s="792"/>
      <c r="AU172" s="792"/>
      <c r="AV172" s="792"/>
      <c r="AW172" s="792"/>
      <c r="AX172" s="792"/>
      <c r="AY172" s="792"/>
    </row>
    <row r="173">
      <c r="B173" s="783"/>
      <c r="D173" s="783"/>
      <c r="E173" s="783"/>
      <c r="F173" s="783"/>
      <c r="G173" s="783"/>
      <c r="H173" s="783"/>
      <c r="I173" s="783"/>
      <c r="J173" s="783"/>
      <c r="K173" s="783"/>
      <c r="L173" s="783"/>
      <c r="M173" s="783"/>
      <c r="N173" s="783"/>
      <c r="O173" s="783"/>
      <c r="P173" s="783"/>
      <c r="Q173" s="783"/>
      <c r="R173" s="783"/>
      <c r="S173" s="783"/>
      <c r="T173" s="783"/>
      <c r="U173" s="783"/>
      <c r="V173" s="783"/>
      <c r="W173" s="783"/>
      <c r="X173" s="783"/>
      <c r="Y173" s="783"/>
      <c r="Z173" s="783"/>
      <c r="AA173" s="783"/>
      <c r="AB173" s="783"/>
      <c r="AC173" s="784"/>
      <c r="AD173" s="783"/>
      <c r="AE173" s="784"/>
      <c r="AF173" s="785"/>
      <c r="AG173" s="785"/>
      <c r="AH173" s="785"/>
      <c r="AI173" s="785"/>
      <c r="AJ173" s="786"/>
      <c r="AK173" s="787"/>
      <c r="AL173" s="786"/>
      <c r="AM173" s="788"/>
      <c r="AN173" s="789"/>
      <c r="AO173" s="790"/>
      <c r="AP173" s="791"/>
      <c r="AQ173" s="790"/>
      <c r="AR173" s="792"/>
      <c r="AS173" s="792"/>
      <c r="AT173" s="792"/>
      <c r="AU173" s="792"/>
      <c r="AV173" s="792"/>
      <c r="AW173" s="792"/>
      <c r="AX173" s="792"/>
      <c r="AY173" s="792"/>
    </row>
    <row r="174">
      <c r="B174" s="783"/>
      <c r="D174" s="783"/>
      <c r="E174" s="783"/>
      <c r="F174" s="783"/>
      <c r="G174" s="783"/>
      <c r="H174" s="783"/>
      <c r="I174" s="783"/>
      <c r="J174" s="783"/>
      <c r="K174" s="783"/>
      <c r="L174" s="783"/>
      <c r="M174" s="783"/>
      <c r="N174" s="783"/>
      <c r="O174" s="783"/>
      <c r="P174" s="783"/>
      <c r="Q174" s="783"/>
      <c r="R174" s="783"/>
      <c r="S174" s="783"/>
      <c r="T174" s="783"/>
      <c r="U174" s="783"/>
      <c r="V174" s="783"/>
      <c r="W174" s="783"/>
      <c r="X174" s="783"/>
      <c r="Y174" s="783"/>
      <c r="Z174" s="783"/>
      <c r="AA174" s="783"/>
      <c r="AB174" s="783"/>
      <c r="AC174" s="784"/>
      <c r="AD174" s="783"/>
      <c r="AE174" s="784"/>
      <c r="AF174" s="785"/>
      <c r="AG174" s="785"/>
      <c r="AH174" s="785"/>
      <c r="AI174" s="785"/>
      <c r="AJ174" s="786"/>
      <c r="AK174" s="787"/>
      <c r="AL174" s="786"/>
      <c r="AM174" s="788"/>
      <c r="AN174" s="789"/>
      <c r="AO174" s="790"/>
      <c r="AP174" s="791"/>
      <c r="AQ174" s="790"/>
      <c r="AR174" s="792"/>
      <c r="AS174" s="792"/>
      <c r="AT174" s="792"/>
      <c r="AU174" s="792"/>
      <c r="AV174" s="792"/>
      <c r="AW174" s="792"/>
      <c r="AX174" s="792"/>
      <c r="AY174" s="792"/>
    </row>
    <row r="175">
      <c r="B175" s="783"/>
      <c r="D175" s="783"/>
      <c r="E175" s="783"/>
      <c r="F175" s="783"/>
      <c r="G175" s="783"/>
      <c r="H175" s="783"/>
      <c r="I175" s="783"/>
      <c r="J175" s="783"/>
      <c r="K175" s="783"/>
      <c r="L175" s="783"/>
      <c r="M175" s="783"/>
      <c r="N175" s="783"/>
      <c r="O175" s="783"/>
      <c r="P175" s="783"/>
      <c r="Q175" s="783"/>
      <c r="R175" s="783"/>
      <c r="S175" s="783"/>
      <c r="T175" s="783"/>
      <c r="U175" s="783"/>
      <c r="V175" s="783"/>
      <c r="W175" s="783"/>
      <c r="X175" s="783"/>
      <c r="Y175" s="783"/>
      <c r="Z175" s="783"/>
      <c r="AA175" s="783"/>
      <c r="AB175" s="783"/>
      <c r="AC175" s="784"/>
      <c r="AD175" s="783"/>
      <c r="AE175" s="784"/>
      <c r="AF175" s="785"/>
      <c r="AG175" s="785"/>
      <c r="AH175" s="785"/>
      <c r="AI175" s="785"/>
      <c r="AJ175" s="786"/>
      <c r="AK175" s="787"/>
      <c r="AL175" s="786"/>
      <c r="AM175" s="788"/>
      <c r="AN175" s="789"/>
      <c r="AO175" s="790"/>
      <c r="AP175" s="791"/>
      <c r="AQ175" s="790"/>
      <c r="AR175" s="792"/>
      <c r="AS175" s="792"/>
      <c r="AT175" s="792"/>
      <c r="AU175" s="792"/>
      <c r="AV175" s="792"/>
      <c r="AW175" s="792"/>
      <c r="AX175" s="792"/>
      <c r="AY175" s="792"/>
    </row>
    <row r="176">
      <c r="B176" s="783"/>
      <c r="D176" s="783"/>
      <c r="E176" s="783"/>
      <c r="F176" s="783"/>
      <c r="G176" s="783"/>
      <c r="H176" s="783"/>
      <c r="I176" s="783"/>
      <c r="J176" s="783"/>
      <c r="K176" s="783"/>
      <c r="L176" s="783"/>
      <c r="M176" s="783"/>
      <c r="N176" s="783"/>
      <c r="O176" s="783"/>
      <c r="P176" s="783"/>
      <c r="Q176" s="783"/>
      <c r="R176" s="783"/>
      <c r="S176" s="783"/>
      <c r="T176" s="783"/>
      <c r="U176" s="783"/>
      <c r="V176" s="783"/>
      <c r="W176" s="783"/>
      <c r="X176" s="783"/>
      <c r="Y176" s="783"/>
      <c r="Z176" s="783"/>
      <c r="AA176" s="783"/>
      <c r="AB176" s="783"/>
      <c r="AC176" s="784"/>
      <c r="AD176" s="783"/>
      <c r="AE176" s="784"/>
      <c r="AF176" s="785"/>
      <c r="AG176" s="785"/>
      <c r="AH176" s="785"/>
      <c r="AI176" s="785"/>
      <c r="AJ176" s="786"/>
      <c r="AK176" s="787"/>
      <c r="AL176" s="786"/>
      <c r="AM176" s="788"/>
      <c r="AN176" s="789"/>
      <c r="AO176" s="790"/>
      <c r="AP176" s="791"/>
      <c r="AQ176" s="790"/>
      <c r="AR176" s="792"/>
      <c r="AS176" s="792"/>
      <c r="AT176" s="792"/>
      <c r="AU176" s="792"/>
      <c r="AV176" s="792"/>
      <c r="AW176" s="792"/>
      <c r="AX176" s="792"/>
      <c r="AY176" s="792"/>
    </row>
    <row r="177">
      <c r="B177" s="783"/>
      <c r="D177" s="783"/>
      <c r="E177" s="783"/>
      <c r="F177" s="783"/>
      <c r="G177" s="783"/>
      <c r="H177" s="783"/>
      <c r="I177" s="783"/>
      <c r="J177" s="783"/>
      <c r="K177" s="783"/>
      <c r="L177" s="783"/>
      <c r="M177" s="783"/>
      <c r="N177" s="783"/>
      <c r="O177" s="783"/>
      <c r="P177" s="783"/>
      <c r="Q177" s="783"/>
      <c r="R177" s="783"/>
      <c r="S177" s="783"/>
      <c r="T177" s="783"/>
      <c r="U177" s="783"/>
      <c r="V177" s="783"/>
      <c r="W177" s="783"/>
      <c r="X177" s="783"/>
      <c r="Y177" s="783"/>
      <c r="Z177" s="783"/>
      <c r="AA177" s="783"/>
      <c r="AB177" s="783"/>
      <c r="AC177" s="784"/>
      <c r="AD177" s="783"/>
      <c r="AE177" s="784"/>
      <c r="AF177" s="785"/>
      <c r="AG177" s="785"/>
      <c r="AH177" s="785"/>
      <c r="AI177" s="785"/>
      <c r="AJ177" s="786"/>
      <c r="AK177" s="787"/>
      <c r="AL177" s="786"/>
      <c r="AM177" s="788"/>
      <c r="AN177" s="789"/>
      <c r="AO177" s="790"/>
      <c r="AP177" s="791"/>
      <c r="AQ177" s="790"/>
      <c r="AR177" s="792"/>
      <c r="AS177" s="792"/>
      <c r="AT177" s="792"/>
      <c r="AU177" s="792"/>
      <c r="AV177" s="792"/>
      <c r="AW177" s="792"/>
      <c r="AX177" s="792"/>
      <c r="AY177" s="792"/>
    </row>
    <row r="178">
      <c r="B178" s="783"/>
      <c r="D178" s="783"/>
      <c r="E178" s="783"/>
      <c r="F178" s="783"/>
      <c r="G178" s="783"/>
      <c r="H178" s="783"/>
      <c r="I178" s="783"/>
      <c r="J178" s="783"/>
      <c r="K178" s="783"/>
      <c r="L178" s="783"/>
      <c r="M178" s="783"/>
      <c r="N178" s="783"/>
      <c r="O178" s="783"/>
      <c r="P178" s="783"/>
      <c r="Q178" s="783"/>
      <c r="R178" s="783"/>
      <c r="S178" s="783"/>
      <c r="T178" s="783"/>
      <c r="U178" s="783"/>
      <c r="V178" s="783"/>
      <c r="W178" s="783"/>
      <c r="X178" s="783"/>
      <c r="Y178" s="783"/>
      <c r="Z178" s="783"/>
      <c r="AA178" s="783"/>
      <c r="AB178" s="783"/>
      <c r="AC178" s="784"/>
      <c r="AD178" s="783"/>
      <c r="AE178" s="784"/>
      <c r="AF178" s="785"/>
      <c r="AG178" s="785"/>
      <c r="AH178" s="785"/>
      <c r="AI178" s="785"/>
      <c r="AJ178" s="786"/>
      <c r="AK178" s="787"/>
      <c r="AL178" s="786"/>
      <c r="AM178" s="788"/>
      <c r="AN178" s="789"/>
      <c r="AO178" s="790"/>
      <c r="AP178" s="791"/>
      <c r="AQ178" s="790"/>
      <c r="AR178" s="792"/>
      <c r="AS178" s="792"/>
      <c r="AT178" s="792"/>
      <c r="AU178" s="792"/>
      <c r="AV178" s="792"/>
      <c r="AW178" s="792"/>
      <c r="AX178" s="792"/>
      <c r="AY178" s="792"/>
    </row>
    <row r="179">
      <c r="B179" s="783"/>
      <c r="D179" s="783"/>
      <c r="E179" s="783"/>
      <c r="F179" s="783"/>
      <c r="G179" s="783"/>
      <c r="H179" s="783"/>
      <c r="I179" s="783"/>
      <c r="J179" s="783"/>
      <c r="K179" s="783"/>
      <c r="L179" s="783"/>
      <c r="M179" s="783"/>
      <c r="N179" s="783"/>
      <c r="O179" s="783"/>
      <c r="P179" s="783"/>
      <c r="Q179" s="783"/>
      <c r="R179" s="783"/>
      <c r="S179" s="783"/>
      <c r="T179" s="783"/>
      <c r="U179" s="783"/>
      <c r="V179" s="783"/>
      <c r="W179" s="783"/>
      <c r="X179" s="783"/>
      <c r="Y179" s="783"/>
      <c r="Z179" s="783"/>
      <c r="AA179" s="783"/>
      <c r="AB179" s="783"/>
      <c r="AC179" s="784"/>
      <c r="AD179" s="783"/>
      <c r="AE179" s="784"/>
      <c r="AF179" s="785"/>
      <c r="AG179" s="785"/>
      <c r="AH179" s="785"/>
      <c r="AI179" s="785"/>
      <c r="AJ179" s="786"/>
      <c r="AK179" s="787"/>
      <c r="AL179" s="786"/>
      <c r="AM179" s="788"/>
      <c r="AN179" s="789"/>
      <c r="AO179" s="790"/>
      <c r="AP179" s="791"/>
      <c r="AQ179" s="790"/>
      <c r="AR179" s="792"/>
      <c r="AS179" s="792"/>
      <c r="AT179" s="792"/>
      <c r="AU179" s="792"/>
      <c r="AV179" s="792"/>
      <c r="AW179" s="792"/>
      <c r="AX179" s="792"/>
      <c r="AY179" s="792"/>
    </row>
    <row r="180">
      <c r="B180" s="783"/>
      <c r="D180" s="783"/>
      <c r="E180" s="783"/>
      <c r="F180" s="783"/>
      <c r="G180" s="783"/>
      <c r="H180" s="783"/>
      <c r="I180" s="783"/>
      <c r="J180" s="783"/>
      <c r="K180" s="783"/>
      <c r="L180" s="783"/>
      <c r="M180" s="783"/>
      <c r="N180" s="783"/>
      <c r="O180" s="783"/>
      <c r="P180" s="783"/>
      <c r="Q180" s="783"/>
      <c r="R180" s="783"/>
      <c r="S180" s="783"/>
      <c r="T180" s="783"/>
      <c r="U180" s="783"/>
      <c r="V180" s="783"/>
      <c r="W180" s="783"/>
      <c r="X180" s="783"/>
      <c r="Y180" s="783"/>
      <c r="Z180" s="783"/>
      <c r="AA180" s="783"/>
      <c r="AB180" s="783"/>
      <c r="AC180" s="784"/>
      <c r="AD180" s="783"/>
      <c r="AE180" s="784"/>
      <c r="AF180" s="785"/>
      <c r="AG180" s="785"/>
      <c r="AH180" s="785"/>
      <c r="AI180" s="785"/>
      <c r="AJ180" s="786"/>
      <c r="AK180" s="787"/>
      <c r="AL180" s="786"/>
      <c r="AM180" s="788"/>
      <c r="AN180" s="789"/>
      <c r="AO180" s="790"/>
      <c r="AP180" s="791"/>
      <c r="AQ180" s="790"/>
      <c r="AR180" s="792"/>
      <c r="AS180" s="792"/>
      <c r="AT180" s="792"/>
      <c r="AU180" s="792"/>
      <c r="AV180" s="792"/>
      <c r="AW180" s="792"/>
      <c r="AX180" s="792"/>
      <c r="AY180" s="792"/>
    </row>
    <row r="181">
      <c r="B181" s="783"/>
      <c r="D181" s="783"/>
      <c r="E181" s="783"/>
      <c r="F181" s="783"/>
      <c r="G181" s="783"/>
      <c r="H181" s="783"/>
      <c r="I181" s="783"/>
      <c r="J181" s="783"/>
      <c r="K181" s="783"/>
      <c r="L181" s="783"/>
      <c r="M181" s="783"/>
      <c r="N181" s="783"/>
      <c r="O181" s="783"/>
      <c r="P181" s="783"/>
      <c r="Q181" s="783"/>
      <c r="R181" s="783"/>
      <c r="S181" s="783"/>
      <c r="T181" s="783"/>
      <c r="U181" s="783"/>
      <c r="V181" s="783"/>
      <c r="W181" s="783"/>
      <c r="X181" s="783"/>
      <c r="Y181" s="783"/>
      <c r="Z181" s="783"/>
      <c r="AA181" s="783"/>
      <c r="AB181" s="783"/>
      <c r="AC181" s="784"/>
      <c r="AD181" s="783"/>
      <c r="AE181" s="784"/>
      <c r="AF181" s="785"/>
      <c r="AG181" s="785"/>
      <c r="AH181" s="785"/>
      <c r="AI181" s="785"/>
      <c r="AJ181" s="786"/>
      <c r="AK181" s="787"/>
      <c r="AL181" s="786"/>
      <c r="AM181" s="788"/>
      <c r="AN181" s="789"/>
      <c r="AO181" s="790"/>
      <c r="AP181" s="791"/>
      <c r="AQ181" s="790"/>
      <c r="AR181" s="792"/>
      <c r="AS181" s="792"/>
      <c r="AT181" s="792"/>
      <c r="AU181" s="792"/>
      <c r="AV181" s="792"/>
      <c r="AW181" s="792"/>
      <c r="AX181" s="792"/>
      <c r="AY181" s="792"/>
    </row>
    <row r="182">
      <c r="B182" s="783"/>
      <c r="D182" s="783"/>
      <c r="E182" s="783"/>
      <c r="F182" s="783"/>
      <c r="G182" s="783"/>
      <c r="H182" s="783"/>
      <c r="I182" s="783"/>
      <c r="J182" s="783"/>
      <c r="K182" s="783"/>
      <c r="L182" s="783"/>
      <c r="M182" s="783"/>
      <c r="N182" s="783"/>
      <c r="O182" s="783"/>
      <c r="P182" s="783"/>
      <c r="Q182" s="783"/>
      <c r="R182" s="783"/>
      <c r="S182" s="783"/>
      <c r="T182" s="783"/>
      <c r="U182" s="783"/>
      <c r="V182" s="783"/>
      <c r="W182" s="783"/>
      <c r="X182" s="783"/>
      <c r="Y182" s="783"/>
      <c r="Z182" s="783"/>
      <c r="AA182" s="783"/>
      <c r="AB182" s="783"/>
      <c r="AC182" s="784"/>
      <c r="AD182" s="783"/>
      <c r="AE182" s="784"/>
      <c r="AF182" s="785"/>
      <c r="AG182" s="785"/>
      <c r="AH182" s="785"/>
      <c r="AI182" s="785"/>
      <c r="AJ182" s="786"/>
      <c r="AK182" s="787"/>
      <c r="AL182" s="786"/>
      <c r="AM182" s="788"/>
      <c r="AN182" s="789"/>
      <c r="AO182" s="790"/>
      <c r="AP182" s="791"/>
      <c r="AQ182" s="790"/>
      <c r="AR182" s="792"/>
      <c r="AS182" s="792"/>
      <c r="AT182" s="792"/>
      <c r="AU182" s="792"/>
      <c r="AV182" s="792"/>
      <c r="AW182" s="792"/>
      <c r="AX182" s="792"/>
      <c r="AY182" s="792"/>
    </row>
    <row r="183">
      <c r="B183" s="783"/>
      <c r="D183" s="783"/>
      <c r="E183" s="783"/>
      <c r="F183" s="783"/>
      <c r="G183" s="783"/>
      <c r="H183" s="783"/>
      <c r="I183" s="783"/>
      <c r="J183" s="783"/>
      <c r="K183" s="783"/>
      <c r="L183" s="783"/>
      <c r="M183" s="783"/>
      <c r="N183" s="783"/>
      <c r="O183" s="783"/>
      <c r="P183" s="783"/>
      <c r="Q183" s="783"/>
      <c r="R183" s="783"/>
      <c r="S183" s="783"/>
      <c r="T183" s="783"/>
      <c r="U183" s="783"/>
      <c r="V183" s="783"/>
      <c r="W183" s="783"/>
      <c r="X183" s="783"/>
      <c r="Y183" s="783"/>
      <c r="Z183" s="783"/>
      <c r="AA183" s="783"/>
      <c r="AB183" s="783"/>
      <c r="AC183" s="784"/>
      <c r="AD183" s="783"/>
      <c r="AE183" s="784"/>
      <c r="AF183" s="785"/>
      <c r="AG183" s="785"/>
      <c r="AH183" s="785"/>
      <c r="AI183" s="785"/>
      <c r="AJ183" s="786"/>
      <c r="AK183" s="787"/>
      <c r="AL183" s="786"/>
      <c r="AM183" s="788"/>
      <c r="AN183" s="789"/>
      <c r="AO183" s="790"/>
      <c r="AP183" s="791"/>
      <c r="AQ183" s="790"/>
      <c r="AR183" s="792"/>
      <c r="AS183" s="792"/>
      <c r="AT183" s="792"/>
      <c r="AU183" s="792"/>
      <c r="AV183" s="792"/>
      <c r="AW183" s="792"/>
      <c r="AX183" s="792"/>
      <c r="AY183" s="792"/>
    </row>
    <row r="184">
      <c r="B184" s="783"/>
      <c r="D184" s="783"/>
      <c r="E184" s="783"/>
      <c r="F184" s="783"/>
      <c r="G184" s="783"/>
      <c r="H184" s="783"/>
      <c r="I184" s="783"/>
      <c r="J184" s="783"/>
      <c r="K184" s="783"/>
      <c r="L184" s="783"/>
      <c r="M184" s="783"/>
      <c r="N184" s="783"/>
      <c r="O184" s="783"/>
      <c r="P184" s="783"/>
      <c r="Q184" s="783"/>
      <c r="R184" s="783"/>
      <c r="S184" s="783"/>
      <c r="T184" s="783"/>
      <c r="U184" s="783"/>
      <c r="V184" s="783"/>
      <c r="W184" s="783"/>
      <c r="X184" s="783"/>
      <c r="Y184" s="783"/>
      <c r="Z184" s="783"/>
      <c r="AA184" s="783"/>
      <c r="AB184" s="783"/>
      <c r="AC184" s="784"/>
      <c r="AD184" s="783"/>
      <c r="AE184" s="784"/>
      <c r="AF184" s="785"/>
      <c r="AG184" s="785"/>
      <c r="AH184" s="785"/>
      <c r="AI184" s="785"/>
      <c r="AJ184" s="786"/>
      <c r="AK184" s="787"/>
      <c r="AL184" s="786"/>
      <c r="AM184" s="788"/>
      <c r="AN184" s="789"/>
      <c r="AO184" s="790"/>
      <c r="AP184" s="791"/>
      <c r="AQ184" s="790"/>
      <c r="AR184" s="792"/>
      <c r="AS184" s="792"/>
      <c r="AT184" s="792"/>
      <c r="AU184" s="792"/>
      <c r="AV184" s="792"/>
      <c r="AW184" s="792"/>
      <c r="AX184" s="792"/>
      <c r="AY184" s="792"/>
    </row>
    <row r="185">
      <c r="B185" s="783"/>
      <c r="D185" s="783"/>
      <c r="E185" s="783"/>
      <c r="F185" s="783"/>
      <c r="G185" s="783"/>
      <c r="H185" s="783"/>
      <c r="I185" s="783"/>
      <c r="J185" s="783"/>
      <c r="K185" s="783"/>
      <c r="L185" s="783"/>
      <c r="M185" s="783"/>
      <c r="N185" s="783"/>
      <c r="O185" s="783"/>
      <c r="P185" s="783"/>
      <c r="Q185" s="783"/>
      <c r="R185" s="783"/>
      <c r="S185" s="783"/>
      <c r="T185" s="783"/>
      <c r="U185" s="783"/>
      <c r="V185" s="783"/>
      <c r="W185" s="783"/>
      <c r="X185" s="783"/>
      <c r="Y185" s="783"/>
      <c r="Z185" s="783"/>
      <c r="AA185" s="783"/>
      <c r="AB185" s="783"/>
      <c r="AC185" s="784"/>
      <c r="AD185" s="783"/>
      <c r="AE185" s="784"/>
      <c r="AF185" s="785"/>
      <c r="AG185" s="785"/>
      <c r="AH185" s="785"/>
      <c r="AI185" s="785"/>
      <c r="AJ185" s="786"/>
      <c r="AK185" s="787"/>
      <c r="AL185" s="786"/>
      <c r="AM185" s="788"/>
      <c r="AN185" s="789"/>
      <c r="AO185" s="790"/>
      <c r="AP185" s="791"/>
      <c r="AQ185" s="790"/>
      <c r="AR185" s="792"/>
      <c r="AS185" s="792"/>
      <c r="AT185" s="792"/>
      <c r="AU185" s="792"/>
      <c r="AV185" s="792"/>
      <c r="AW185" s="792"/>
      <c r="AX185" s="792"/>
      <c r="AY185" s="792"/>
    </row>
    <row r="186">
      <c r="B186" s="783"/>
      <c r="D186" s="783"/>
      <c r="E186" s="783"/>
      <c r="F186" s="783"/>
      <c r="G186" s="783"/>
      <c r="H186" s="783"/>
      <c r="I186" s="783"/>
      <c r="J186" s="783"/>
      <c r="K186" s="783"/>
      <c r="L186" s="783"/>
      <c r="M186" s="783"/>
      <c r="N186" s="783"/>
      <c r="O186" s="783"/>
      <c r="P186" s="783"/>
      <c r="Q186" s="783"/>
      <c r="R186" s="783"/>
      <c r="S186" s="783"/>
      <c r="T186" s="783"/>
      <c r="U186" s="783"/>
      <c r="V186" s="783"/>
      <c r="W186" s="783"/>
      <c r="X186" s="783"/>
      <c r="Y186" s="783"/>
      <c r="Z186" s="783"/>
      <c r="AA186" s="783"/>
      <c r="AB186" s="783"/>
      <c r="AC186" s="784"/>
      <c r="AD186" s="783"/>
      <c r="AE186" s="784"/>
      <c r="AF186" s="785"/>
      <c r="AG186" s="785"/>
      <c r="AH186" s="785"/>
      <c r="AI186" s="785"/>
      <c r="AJ186" s="786"/>
      <c r="AK186" s="787"/>
      <c r="AL186" s="786"/>
      <c r="AM186" s="788"/>
      <c r="AN186" s="789"/>
      <c r="AO186" s="790"/>
      <c r="AP186" s="791"/>
      <c r="AQ186" s="790"/>
      <c r="AR186" s="792"/>
      <c r="AS186" s="792"/>
      <c r="AT186" s="792"/>
      <c r="AU186" s="792"/>
      <c r="AV186" s="792"/>
      <c r="AW186" s="792"/>
      <c r="AX186" s="792"/>
      <c r="AY186" s="792"/>
    </row>
    <row r="187">
      <c r="B187" s="783"/>
      <c r="D187" s="783"/>
      <c r="E187" s="783"/>
      <c r="F187" s="783"/>
      <c r="G187" s="783"/>
      <c r="H187" s="783"/>
      <c r="I187" s="783"/>
      <c r="J187" s="783"/>
      <c r="K187" s="783"/>
      <c r="L187" s="783"/>
      <c r="M187" s="783"/>
      <c r="N187" s="783"/>
      <c r="O187" s="783"/>
      <c r="P187" s="783"/>
      <c r="Q187" s="783"/>
      <c r="R187" s="783"/>
      <c r="S187" s="783"/>
      <c r="T187" s="783"/>
      <c r="U187" s="783"/>
      <c r="V187" s="783"/>
      <c r="W187" s="783"/>
      <c r="X187" s="783"/>
      <c r="Y187" s="783"/>
      <c r="Z187" s="783"/>
      <c r="AA187" s="783"/>
      <c r="AB187" s="783"/>
      <c r="AC187" s="784"/>
      <c r="AD187" s="783"/>
      <c r="AE187" s="784"/>
      <c r="AF187" s="785"/>
      <c r="AG187" s="785"/>
      <c r="AH187" s="785"/>
      <c r="AI187" s="785"/>
      <c r="AJ187" s="786"/>
      <c r="AK187" s="787"/>
      <c r="AL187" s="786"/>
      <c r="AM187" s="788"/>
      <c r="AN187" s="789"/>
      <c r="AO187" s="790"/>
      <c r="AP187" s="791"/>
      <c r="AQ187" s="790"/>
      <c r="AR187" s="792"/>
      <c r="AS187" s="792"/>
      <c r="AT187" s="792"/>
      <c r="AU187" s="792"/>
      <c r="AV187" s="792"/>
      <c r="AW187" s="792"/>
      <c r="AX187" s="792"/>
      <c r="AY187" s="792"/>
    </row>
    <row r="188">
      <c r="B188" s="783"/>
      <c r="D188" s="783"/>
      <c r="E188" s="783"/>
      <c r="F188" s="783"/>
      <c r="G188" s="783"/>
      <c r="H188" s="783"/>
      <c r="I188" s="783"/>
      <c r="J188" s="783"/>
      <c r="K188" s="783"/>
      <c r="L188" s="783"/>
      <c r="M188" s="783"/>
      <c r="N188" s="783"/>
      <c r="O188" s="783"/>
      <c r="P188" s="783"/>
      <c r="Q188" s="783"/>
      <c r="R188" s="783"/>
      <c r="S188" s="783"/>
      <c r="T188" s="783"/>
      <c r="U188" s="783"/>
      <c r="V188" s="783"/>
      <c r="W188" s="783"/>
      <c r="X188" s="783"/>
      <c r="Y188" s="783"/>
      <c r="Z188" s="783"/>
      <c r="AA188" s="783"/>
      <c r="AB188" s="783"/>
      <c r="AC188" s="784"/>
      <c r="AD188" s="783"/>
      <c r="AE188" s="784"/>
      <c r="AF188" s="785"/>
      <c r="AG188" s="785"/>
      <c r="AH188" s="785"/>
      <c r="AI188" s="785"/>
      <c r="AJ188" s="786"/>
      <c r="AK188" s="787"/>
      <c r="AL188" s="786"/>
      <c r="AM188" s="788"/>
      <c r="AN188" s="789"/>
      <c r="AO188" s="790"/>
      <c r="AP188" s="791"/>
      <c r="AQ188" s="790"/>
      <c r="AR188" s="792"/>
      <c r="AS188" s="792"/>
      <c r="AT188" s="792"/>
      <c r="AU188" s="792"/>
      <c r="AV188" s="792"/>
      <c r="AW188" s="792"/>
      <c r="AX188" s="792"/>
      <c r="AY188" s="792"/>
    </row>
    <row r="189">
      <c r="B189" s="783"/>
      <c r="D189" s="783"/>
      <c r="E189" s="783"/>
      <c r="F189" s="783"/>
      <c r="G189" s="783"/>
      <c r="H189" s="783"/>
      <c r="I189" s="783"/>
      <c r="J189" s="783"/>
      <c r="K189" s="783"/>
      <c r="L189" s="783"/>
      <c r="M189" s="783"/>
      <c r="N189" s="783"/>
      <c r="O189" s="783"/>
      <c r="P189" s="783"/>
      <c r="Q189" s="783"/>
      <c r="R189" s="783"/>
      <c r="S189" s="783"/>
      <c r="T189" s="783"/>
      <c r="U189" s="783"/>
      <c r="V189" s="783"/>
      <c r="W189" s="783"/>
      <c r="X189" s="783"/>
      <c r="Y189" s="783"/>
      <c r="Z189" s="783"/>
      <c r="AA189" s="783"/>
      <c r="AB189" s="783"/>
      <c r="AC189" s="784"/>
      <c r="AD189" s="783"/>
      <c r="AE189" s="784"/>
      <c r="AF189" s="785"/>
      <c r="AG189" s="785"/>
      <c r="AH189" s="785"/>
      <c r="AI189" s="785"/>
      <c r="AJ189" s="786"/>
      <c r="AK189" s="787"/>
      <c r="AL189" s="786"/>
      <c r="AM189" s="788"/>
      <c r="AN189" s="789"/>
      <c r="AO189" s="790"/>
      <c r="AP189" s="791"/>
      <c r="AQ189" s="790"/>
      <c r="AR189" s="792"/>
      <c r="AS189" s="792"/>
      <c r="AT189" s="792"/>
      <c r="AU189" s="792"/>
      <c r="AV189" s="792"/>
      <c r="AW189" s="792"/>
      <c r="AX189" s="792"/>
      <c r="AY189" s="792"/>
    </row>
    <row r="190">
      <c r="B190" s="783"/>
      <c r="D190" s="783"/>
      <c r="E190" s="783"/>
      <c r="F190" s="783"/>
      <c r="G190" s="783"/>
      <c r="H190" s="783"/>
      <c r="I190" s="783"/>
      <c r="J190" s="783"/>
      <c r="K190" s="783"/>
      <c r="L190" s="783"/>
      <c r="M190" s="783"/>
      <c r="N190" s="783"/>
      <c r="O190" s="783"/>
      <c r="P190" s="783"/>
      <c r="Q190" s="783"/>
      <c r="R190" s="783"/>
      <c r="S190" s="783"/>
      <c r="T190" s="783"/>
      <c r="U190" s="783"/>
      <c r="V190" s="783"/>
      <c r="W190" s="783"/>
      <c r="X190" s="783"/>
      <c r="Y190" s="783"/>
      <c r="Z190" s="783"/>
      <c r="AA190" s="783"/>
      <c r="AB190" s="783"/>
      <c r="AC190" s="784"/>
      <c r="AD190" s="783"/>
      <c r="AE190" s="784"/>
      <c r="AF190" s="785"/>
      <c r="AG190" s="785"/>
      <c r="AH190" s="785"/>
      <c r="AI190" s="785"/>
      <c r="AJ190" s="786"/>
      <c r="AK190" s="787"/>
      <c r="AL190" s="786"/>
      <c r="AM190" s="788"/>
      <c r="AN190" s="789"/>
      <c r="AO190" s="790"/>
      <c r="AP190" s="791"/>
      <c r="AQ190" s="790"/>
      <c r="AR190" s="792"/>
      <c r="AS190" s="792"/>
      <c r="AT190" s="792"/>
      <c r="AU190" s="792"/>
      <c r="AV190" s="792"/>
      <c r="AW190" s="792"/>
      <c r="AX190" s="792"/>
      <c r="AY190" s="792"/>
    </row>
    <row r="191">
      <c r="B191" s="783"/>
      <c r="D191" s="783"/>
      <c r="E191" s="783"/>
      <c r="F191" s="783"/>
      <c r="G191" s="783"/>
      <c r="H191" s="783"/>
      <c r="I191" s="783"/>
      <c r="J191" s="783"/>
      <c r="K191" s="783"/>
      <c r="L191" s="783"/>
      <c r="M191" s="783"/>
      <c r="N191" s="783"/>
      <c r="O191" s="783"/>
      <c r="P191" s="783"/>
      <c r="Q191" s="783"/>
      <c r="R191" s="783"/>
      <c r="S191" s="783"/>
      <c r="T191" s="783"/>
      <c r="U191" s="783"/>
      <c r="V191" s="783"/>
      <c r="W191" s="783"/>
      <c r="X191" s="783"/>
      <c r="Y191" s="783"/>
      <c r="Z191" s="783"/>
      <c r="AA191" s="783"/>
      <c r="AB191" s="783"/>
      <c r="AC191" s="784"/>
      <c r="AD191" s="783"/>
      <c r="AE191" s="784"/>
      <c r="AF191" s="785"/>
      <c r="AG191" s="785"/>
      <c r="AH191" s="785"/>
      <c r="AI191" s="785"/>
      <c r="AJ191" s="786"/>
      <c r="AK191" s="787"/>
      <c r="AL191" s="786"/>
      <c r="AM191" s="788"/>
      <c r="AN191" s="789"/>
      <c r="AO191" s="790"/>
      <c r="AP191" s="791"/>
      <c r="AQ191" s="790"/>
      <c r="AR191" s="792"/>
      <c r="AS191" s="792"/>
      <c r="AT191" s="792"/>
      <c r="AU191" s="792"/>
      <c r="AV191" s="792"/>
      <c r="AW191" s="792"/>
      <c r="AX191" s="792"/>
      <c r="AY191" s="792"/>
    </row>
    <row r="192">
      <c r="B192" s="783"/>
      <c r="D192" s="783"/>
      <c r="E192" s="783"/>
      <c r="F192" s="783"/>
      <c r="G192" s="783"/>
      <c r="H192" s="783"/>
      <c r="I192" s="783"/>
      <c r="J192" s="783"/>
      <c r="K192" s="783"/>
      <c r="L192" s="783"/>
      <c r="M192" s="783"/>
      <c r="N192" s="783"/>
      <c r="O192" s="783"/>
      <c r="P192" s="783"/>
      <c r="Q192" s="783"/>
      <c r="R192" s="783"/>
      <c r="S192" s="783"/>
      <c r="T192" s="783"/>
      <c r="U192" s="783"/>
      <c r="V192" s="783"/>
      <c r="W192" s="783"/>
      <c r="X192" s="783"/>
      <c r="Y192" s="783"/>
      <c r="Z192" s="783"/>
      <c r="AA192" s="783"/>
      <c r="AB192" s="783"/>
      <c r="AC192" s="784"/>
      <c r="AD192" s="783"/>
      <c r="AE192" s="784"/>
      <c r="AF192" s="785"/>
      <c r="AG192" s="785"/>
      <c r="AH192" s="785"/>
      <c r="AI192" s="785"/>
      <c r="AJ192" s="786"/>
      <c r="AK192" s="787"/>
      <c r="AL192" s="786"/>
      <c r="AM192" s="788"/>
      <c r="AN192" s="789"/>
      <c r="AO192" s="790"/>
      <c r="AP192" s="791"/>
      <c r="AQ192" s="790"/>
      <c r="AR192" s="792"/>
      <c r="AS192" s="792"/>
      <c r="AT192" s="792"/>
      <c r="AU192" s="792"/>
      <c r="AV192" s="792"/>
      <c r="AW192" s="792"/>
      <c r="AX192" s="792"/>
      <c r="AY192" s="792"/>
    </row>
    <row r="193">
      <c r="B193" s="783"/>
      <c r="D193" s="783"/>
      <c r="E193" s="783"/>
      <c r="F193" s="783"/>
      <c r="G193" s="783"/>
      <c r="H193" s="783"/>
      <c r="I193" s="783"/>
      <c r="J193" s="783"/>
      <c r="K193" s="783"/>
      <c r="L193" s="783"/>
      <c r="M193" s="783"/>
      <c r="N193" s="783"/>
      <c r="O193" s="783"/>
      <c r="P193" s="783"/>
      <c r="Q193" s="783"/>
      <c r="R193" s="783"/>
      <c r="S193" s="783"/>
      <c r="T193" s="783"/>
      <c r="U193" s="783"/>
      <c r="V193" s="783"/>
      <c r="W193" s="783"/>
      <c r="X193" s="783"/>
      <c r="Y193" s="783"/>
      <c r="Z193" s="783"/>
      <c r="AA193" s="783"/>
      <c r="AB193" s="783"/>
      <c r="AC193" s="784"/>
      <c r="AD193" s="783"/>
      <c r="AE193" s="784"/>
      <c r="AF193" s="785"/>
      <c r="AG193" s="785"/>
      <c r="AH193" s="785"/>
      <c r="AI193" s="785"/>
      <c r="AJ193" s="786"/>
      <c r="AK193" s="787"/>
      <c r="AL193" s="786"/>
      <c r="AM193" s="788"/>
      <c r="AN193" s="789"/>
      <c r="AO193" s="790"/>
      <c r="AP193" s="791"/>
      <c r="AQ193" s="790"/>
      <c r="AR193" s="792"/>
      <c r="AS193" s="792"/>
      <c r="AT193" s="792"/>
      <c r="AU193" s="792"/>
      <c r="AV193" s="792"/>
      <c r="AW193" s="792"/>
      <c r="AX193" s="792"/>
      <c r="AY193" s="792"/>
    </row>
    <row r="194">
      <c r="B194" s="783"/>
      <c r="D194" s="783"/>
      <c r="E194" s="783"/>
      <c r="F194" s="783"/>
      <c r="G194" s="783"/>
      <c r="H194" s="783"/>
      <c r="I194" s="783"/>
      <c r="J194" s="783"/>
      <c r="K194" s="783"/>
      <c r="L194" s="783"/>
      <c r="M194" s="783"/>
      <c r="N194" s="783"/>
      <c r="O194" s="783"/>
      <c r="P194" s="783"/>
      <c r="Q194" s="783"/>
      <c r="R194" s="783"/>
      <c r="S194" s="783"/>
      <c r="T194" s="783"/>
      <c r="U194" s="783"/>
      <c r="V194" s="783"/>
      <c r="W194" s="783"/>
      <c r="X194" s="783"/>
      <c r="Y194" s="783"/>
      <c r="Z194" s="783"/>
      <c r="AA194" s="783"/>
      <c r="AB194" s="783"/>
      <c r="AC194" s="784"/>
      <c r="AD194" s="783"/>
      <c r="AE194" s="784"/>
      <c r="AF194" s="785"/>
      <c r="AG194" s="785"/>
      <c r="AH194" s="785"/>
      <c r="AI194" s="785"/>
      <c r="AJ194" s="786"/>
      <c r="AK194" s="787"/>
      <c r="AL194" s="786"/>
      <c r="AM194" s="788"/>
      <c r="AN194" s="789"/>
      <c r="AO194" s="790"/>
      <c r="AP194" s="791"/>
      <c r="AQ194" s="790"/>
      <c r="AR194" s="792"/>
      <c r="AS194" s="792"/>
      <c r="AT194" s="792"/>
      <c r="AU194" s="792"/>
      <c r="AV194" s="792"/>
      <c r="AW194" s="792"/>
      <c r="AX194" s="792"/>
      <c r="AY194" s="792"/>
    </row>
    <row r="195">
      <c r="B195" s="783"/>
      <c r="D195" s="783"/>
      <c r="E195" s="783"/>
      <c r="F195" s="783"/>
      <c r="G195" s="783"/>
      <c r="H195" s="783"/>
      <c r="I195" s="783"/>
      <c r="J195" s="783"/>
      <c r="K195" s="783"/>
      <c r="L195" s="783"/>
      <c r="M195" s="783"/>
      <c r="N195" s="783"/>
      <c r="O195" s="783"/>
      <c r="P195" s="783"/>
      <c r="Q195" s="783"/>
      <c r="R195" s="783"/>
      <c r="S195" s="783"/>
      <c r="T195" s="783"/>
      <c r="U195" s="783"/>
      <c r="V195" s="783"/>
      <c r="W195" s="783"/>
      <c r="X195" s="783"/>
      <c r="Y195" s="783"/>
      <c r="Z195" s="783"/>
      <c r="AA195" s="783"/>
      <c r="AB195" s="783"/>
      <c r="AC195" s="784"/>
      <c r="AD195" s="783"/>
      <c r="AE195" s="784"/>
      <c r="AF195" s="785"/>
      <c r="AG195" s="785"/>
      <c r="AH195" s="785"/>
      <c r="AI195" s="785"/>
      <c r="AJ195" s="786"/>
      <c r="AK195" s="787"/>
      <c r="AL195" s="786"/>
      <c r="AM195" s="788"/>
      <c r="AN195" s="789"/>
      <c r="AO195" s="790"/>
      <c r="AP195" s="791"/>
      <c r="AQ195" s="790"/>
      <c r="AR195" s="792"/>
      <c r="AS195" s="792"/>
      <c r="AT195" s="792"/>
      <c r="AU195" s="792"/>
      <c r="AV195" s="792"/>
      <c r="AW195" s="792"/>
      <c r="AX195" s="792"/>
      <c r="AY195" s="792"/>
    </row>
    <row r="196">
      <c r="B196" s="783"/>
      <c r="D196" s="783"/>
      <c r="E196" s="783"/>
      <c r="F196" s="783"/>
      <c r="G196" s="783"/>
      <c r="H196" s="783"/>
      <c r="I196" s="783"/>
      <c r="J196" s="783"/>
      <c r="K196" s="783"/>
      <c r="L196" s="783"/>
      <c r="M196" s="783"/>
      <c r="N196" s="783"/>
      <c r="O196" s="783"/>
      <c r="P196" s="783"/>
      <c r="Q196" s="783"/>
      <c r="R196" s="783"/>
      <c r="S196" s="783"/>
      <c r="T196" s="783"/>
      <c r="U196" s="783"/>
      <c r="V196" s="783"/>
      <c r="W196" s="783"/>
      <c r="X196" s="783"/>
      <c r="Y196" s="783"/>
      <c r="Z196" s="783"/>
      <c r="AA196" s="783"/>
      <c r="AB196" s="783"/>
      <c r="AC196" s="784"/>
      <c r="AD196" s="783"/>
      <c r="AE196" s="784"/>
      <c r="AF196" s="785"/>
      <c r="AG196" s="785"/>
      <c r="AH196" s="785"/>
      <c r="AI196" s="785"/>
      <c r="AJ196" s="786"/>
      <c r="AK196" s="787"/>
      <c r="AL196" s="786"/>
      <c r="AM196" s="788"/>
      <c r="AN196" s="789"/>
      <c r="AO196" s="790"/>
      <c r="AP196" s="791"/>
      <c r="AQ196" s="790"/>
      <c r="AR196" s="792"/>
      <c r="AS196" s="792"/>
      <c r="AT196" s="792"/>
      <c r="AU196" s="792"/>
      <c r="AV196" s="792"/>
      <c r="AW196" s="792"/>
      <c r="AX196" s="792"/>
      <c r="AY196" s="792"/>
    </row>
    <row r="197">
      <c r="B197" s="783"/>
      <c r="D197" s="783"/>
      <c r="E197" s="783"/>
      <c r="F197" s="783"/>
      <c r="G197" s="783"/>
      <c r="H197" s="783"/>
      <c r="I197" s="783"/>
      <c r="J197" s="783"/>
      <c r="K197" s="783"/>
      <c r="L197" s="783"/>
      <c r="M197" s="783"/>
      <c r="N197" s="783"/>
      <c r="O197" s="783"/>
      <c r="P197" s="783"/>
      <c r="Q197" s="783"/>
      <c r="R197" s="783"/>
      <c r="S197" s="783"/>
      <c r="T197" s="783"/>
      <c r="U197" s="783"/>
      <c r="V197" s="783"/>
      <c r="W197" s="783"/>
      <c r="X197" s="783"/>
      <c r="Y197" s="783"/>
      <c r="Z197" s="783"/>
      <c r="AA197" s="783"/>
      <c r="AB197" s="783"/>
      <c r="AC197" s="784"/>
      <c r="AD197" s="783"/>
      <c r="AE197" s="784"/>
      <c r="AF197" s="785"/>
      <c r="AG197" s="785"/>
      <c r="AH197" s="785"/>
      <c r="AI197" s="785"/>
      <c r="AJ197" s="786"/>
      <c r="AK197" s="787"/>
      <c r="AL197" s="786"/>
      <c r="AM197" s="788"/>
      <c r="AN197" s="789"/>
      <c r="AO197" s="790"/>
      <c r="AP197" s="791"/>
      <c r="AQ197" s="790"/>
      <c r="AR197" s="792"/>
      <c r="AS197" s="792"/>
      <c r="AT197" s="792"/>
      <c r="AU197" s="792"/>
      <c r="AV197" s="792"/>
      <c r="AW197" s="792"/>
      <c r="AX197" s="792"/>
      <c r="AY197" s="792"/>
    </row>
    <row r="198">
      <c r="B198" s="783"/>
      <c r="D198" s="783"/>
      <c r="E198" s="783"/>
      <c r="F198" s="783"/>
      <c r="G198" s="783"/>
      <c r="H198" s="783"/>
      <c r="I198" s="783"/>
      <c r="J198" s="783"/>
      <c r="K198" s="783"/>
      <c r="L198" s="783"/>
      <c r="M198" s="783"/>
      <c r="N198" s="783"/>
      <c r="O198" s="783"/>
      <c r="P198" s="783"/>
      <c r="Q198" s="783"/>
      <c r="R198" s="783"/>
      <c r="S198" s="783"/>
      <c r="T198" s="783"/>
      <c r="U198" s="783"/>
      <c r="V198" s="783"/>
      <c r="W198" s="783"/>
      <c r="X198" s="783"/>
      <c r="Y198" s="783"/>
      <c r="Z198" s="783"/>
      <c r="AA198" s="783"/>
      <c r="AB198" s="783"/>
      <c r="AC198" s="784"/>
      <c r="AD198" s="783"/>
      <c r="AE198" s="784"/>
      <c r="AF198" s="785"/>
      <c r="AG198" s="785"/>
      <c r="AH198" s="785"/>
      <c r="AI198" s="785"/>
      <c r="AJ198" s="786"/>
      <c r="AK198" s="787"/>
      <c r="AL198" s="786"/>
      <c r="AM198" s="788"/>
      <c r="AN198" s="789"/>
      <c r="AO198" s="790"/>
      <c r="AP198" s="791"/>
      <c r="AQ198" s="790"/>
      <c r="AR198" s="792"/>
      <c r="AS198" s="792"/>
      <c r="AT198" s="792"/>
      <c r="AU198" s="792"/>
      <c r="AV198" s="792"/>
      <c r="AW198" s="792"/>
      <c r="AX198" s="792"/>
      <c r="AY198" s="792"/>
    </row>
    <row r="199">
      <c r="B199" s="783"/>
      <c r="D199" s="783"/>
      <c r="E199" s="783"/>
      <c r="F199" s="783"/>
      <c r="G199" s="783"/>
      <c r="H199" s="783"/>
      <c r="I199" s="783"/>
      <c r="J199" s="783"/>
      <c r="K199" s="783"/>
      <c r="L199" s="783"/>
      <c r="M199" s="783"/>
      <c r="N199" s="783"/>
      <c r="O199" s="783"/>
      <c r="P199" s="783"/>
      <c r="Q199" s="783"/>
      <c r="R199" s="783"/>
      <c r="S199" s="783"/>
      <c r="T199" s="783"/>
      <c r="U199" s="783"/>
      <c r="V199" s="783"/>
      <c r="W199" s="783"/>
      <c r="X199" s="783"/>
      <c r="Y199" s="783"/>
      <c r="Z199" s="783"/>
      <c r="AA199" s="783"/>
      <c r="AB199" s="783"/>
      <c r="AC199" s="784"/>
      <c r="AD199" s="783"/>
      <c r="AE199" s="784"/>
      <c r="AF199" s="785"/>
      <c r="AG199" s="785"/>
      <c r="AH199" s="785"/>
      <c r="AI199" s="785"/>
      <c r="AJ199" s="786"/>
      <c r="AK199" s="787"/>
      <c r="AL199" s="786"/>
      <c r="AM199" s="788"/>
      <c r="AN199" s="789"/>
      <c r="AO199" s="790"/>
      <c r="AP199" s="791"/>
      <c r="AQ199" s="790"/>
      <c r="AR199" s="792"/>
      <c r="AS199" s="792"/>
      <c r="AT199" s="792"/>
      <c r="AU199" s="792"/>
      <c r="AV199" s="792"/>
      <c r="AW199" s="792"/>
      <c r="AX199" s="792"/>
      <c r="AY199" s="792"/>
    </row>
    <row r="200">
      <c r="B200" s="783"/>
      <c r="AF200" s="793"/>
      <c r="AG200" s="793"/>
      <c r="AH200" s="793"/>
      <c r="AI200" s="793"/>
      <c r="AJ200" s="794"/>
      <c r="AK200" s="794"/>
      <c r="AL200" s="794"/>
      <c r="AM200" s="794"/>
      <c r="AN200" s="795"/>
      <c r="AO200" s="796"/>
      <c r="AP200" s="796"/>
      <c r="AQ200" s="797"/>
    </row>
    <row r="201">
      <c r="B201" s="783"/>
      <c r="AF201" s="793"/>
      <c r="AG201" s="793"/>
      <c r="AH201" s="793"/>
      <c r="AI201" s="793"/>
      <c r="AJ201" s="794"/>
      <c r="AK201" s="794"/>
      <c r="AL201" s="794"/>
      <c r="AM201" s="794"/>
      <c r="AN201" s="795"/>
      <c r="AO201" s="796"/>
      <c r="AP201" s="796"/>
      <c r="AQ201" s="797"/>
    </row>
    <row r="202">
      <c r="B202" s="783"/>
      <c r="AF202" s="793"/>
      <c r="AG202" s="793"/>
      <c r="AH202" s="793"/>
      <c r="AI202" s="793"/>
      <c r="AJ202" s="794"/>
      <c r="AK202" s="794"/>
      <c r="AL202" s="794"/>
      <c r="AM202" s="794"/>
      <c r="AN202" s="795"/>
      <c r="AO202" s="796"/>
      <c r="AP202" s="796"/>
      <c r="AQ202" s="797"/>
    </row>
    <row r="203">
      <c r="B203" s="783"/>
      <c r="AF203" s="793"/>
      <c r="AG203" s="793"/>
      <c r="AH203" s="793"/>
      <c r="AI203" s="793"/>
      <c r="AJ203" s="794"/>
      <c r="AK203" s="794"/>
      <c r="AL203" s="794"/>
      <c r="AM203" s="794"/>
      <c r="AN203" s="795"/>
      <c r="AO203" s="796"/>
      <c r="AP203" s="796"/>
      <c r="AQ203" s="797"/>
    </row>
    <row r="204">
      <c r="B204" s="783"/>
      <c r="AF204" s="793"/>
      <c r="AG204" s="793"/>
      <c r="AH204" s="793"/>
      <c r="AI204" s="793"/>
      <c r="AJ204" s="794"/>
      <c r="AK204" s="794"/>
      <c r="AL204" s="794"/>
      <c r="AM204" s="794"/>
      <c r="AN204" s="795"/>
      <c r="AO204" s="796"/>
      <c r="AP204" s="796"/>
      <c r="AQ204" s="797"/>
    </row>
    <row r="205">
      <c r="B205" s="783"/>
      <c r="AF205" s="793"/>
      <c r="AG205" s="793"/>
      <c r="AH205" s="793"/>
      <c r="AI205" s="793"/>
      <c r="AJ205" s="794"/>
      <c r="AK205" s="794"/>
      <c r="AL205" s="794"/>
      <c r="AM205" s="794"/>
      <c r="AN205" s="795"/>
      <c r="AO205" s="796"/>
      <c r="AP205" s="796"/>
      <c r="AQ205" s="797"/>
    </row>
    <row r="206">
      <c r="B206" s="783"/>
      <c r="AF206" s="793"/>
      <c r="AG206" s="793"/>
      <c r="AH206" s="793"/>
      <c r="AI206" s="793"/>
      <c r="AJ206" s="794"/>
      <c r="AK206" s="794"/>
      <c r="AL206" s="794"/>
      <c r="AM206" s="794"/>
      <c r="AN206" s="795"/>
      <c r="AO206" s="796"/>
      <c r="AP206" s="796"/>
      <c r="AQ206" s="797"/>
    </row>
    <row r="207">
      <c r="B207" s="783"/>
      <c r="AF207" s="793"/>
      <c r="AG207" s="793"/>
      <c r="AH207" s="793"/>
      <c r="AI207" s="793"/>
      <c r="AJ207" s="794"/>
      <c r="AK207" s="794"/>
      <c r="AL207" s="794"/>
      <c r="AM207" s="794"/>
      <c r="AN207" s="795"/>
      <c r="AO207" s="796"/>
      <c r="AP207" s="796"/>
      <c r="AQ207" s="797"/>
    </row>
    <row r="208">
      <c r="B208" s="783"/>
      <c r="AF208" s="793"/>
      <c r="AG208" s="793"/>
      <c r="AH208" s="793"/>
      <c r="AI208" s="793"/>
      <c r="AJ208" s="794"/>
      <c r="AK208" s="794"/>
      <c r="AL208" s="794"/>
      <c r="AM208" s="794"/>
      <c r="AN208" s="795"/>
      <c r="AO208" s="796"/>
      <c r="AP208" s="796"/>
      <c r="AQ208" s="797"/>
    </row>
    <row r="209">
      <c r="B209" s="783"/>
      <c r="AF209" s="793"/>
      <c r="AG209" s="793"/>
      <c r="AH209" s="793"/>
      <c r="AI209" s="793"/>
      <c r="AJ209" s="794"/>
      <c r="AK209" s="794"/>
      <c r="AL209" s="794"/>
      <c r="AM209" s="794"/>
      <c r="AN209" s="795"/>
      <c r="AO209" s="796"/>
      <c r="AP209" s="796"/>
      <c r="AQ209" s="797"/>
    </row>
    <row r="210">
      <c r="B210" s="783"/>
      <c r="AF210" s="793"/>
      <c r="AG210" s="793"/>
      <c r="AH210" s="793"/>
      <c r="AI210" s="793"/>
      <c r="AJ210" s="794"/>
      <c r="AK210" s="794"/>
      <c r="AL210" s="794"/>
      <c r="AM210" s="794"/>
      <c r="AN210" s="795"/>
      <c r="AO210" s="796"/>
      <c r="AP210" s="796"/>
      <c r="AQ210" s="797"/>
    </row>
    <row r="211">
      <c r="B211" s="783"/>
      <c r="AF211" s="793"/>
      <c r="AG211" s="793"/>
      <c r="AH211" s="793"/>
      <c r="AI211" s="793"/>
      <c r="AJ211" s="794"/>
      <c r="AK211" s="794"/>
      <c r="AL211" s="794"/>
      <c r="AM211" s="794"/>
      <c r="AN211" s="795"/>
      <c r="AO211" s="796"/>
      <c r="AP211" s="796"/>
      <c r="AQ211" s="797"/>
    </row>
    <row r="212">
      <c r="B212" s="783"/>
      <c r="AF212" s="793"/>
      <c r="AG212" s="793"/>
      <c r="AH212" s="793"/>
      <c r="AI212" s="793"/>
      <c r="AJ212" s="794"/>
      <c r="AK212" s="794"/>
      <c r="AL212" s="794"/>
      <c r="AM212" s="794"/>
      <c r="AN212" s="795"/>
      <c r="AO212" s="796"/>
      <c r="AP212" s="796"/>
      <c r="AQ212" s="797"/>
    </row>
  </sheetData>
  <mergeCells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