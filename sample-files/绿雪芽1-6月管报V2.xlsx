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3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Sheet1!$A$1:$BE$1</definedName>
    <definedName name="家电家居事业部">'[1]附表 '!#REF!</definedName>
    <definedName name="母婴快消事业部">'[1]附表 '!#REF!</definedName>
    <definedName name="时尚潮玩事业部">'[1]附表 '!#REF!</definedName>
    <definedName name="直播事业部">'[1]附表 '!#REF!</definedName>
    <definedName name="食品酒水事业部">'[1]附表 '!#REF!</definedName>
    <definedName name="本地生活业务部">'[1]附表 '!#REF!</definedName>
    <definedName name="创新战略事业部">'[1]附表 '!#REF!</definedName>
    <definedName name="乐高教育业务部">'[1]附表 '!#REF!</definedName>
    <definedName name="信息技术中心">'[1]附表 '!#REF!</definedName>
    <definedName name="供应链管理中心">'[1]附表 '!#REF!</definedName>
    <definedName name="其他">'[1]附表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<sst xmlns="http://schemas.openxmlformats.org/spreadsheetml/2006/main" count="642" uniqueCount="96">
  <si>
    <t>月份</t>
  </si>
  <si>
    <t>日期</t>
  </si>
  <si>
    <t>公司编码</t>
  </si>
  <si>
    <t>公司名称</t>
  </si>
  <si>
    <t>中后台属性</t>
  </si>
  <si>
    <t>利润中心编码</t>
  </si>
  <si>
    <t>利润中心名称</t>
  </si>
  <si>
    <t>项目</t>
  </si>
  <si>
    <t>业务模块编码</t>
  </si>
  <si>
    <t>业务模块</t>
  </si>
  <si>
    <t>GMV</t>
  </si>
  <si>
    <t>GSV</t>
  </si>
  <si>
    <t>退款率</t>
  </si>
  <si>
    <t>去退ROI</t>
  </si>
  <si>
    <t>销售出库</t>
  </si>
  <si>
    <t>销售成本</t>
  </si>
  <si>
    <t>进销差</t>
  </si>
  <si>
    <t>毛保返利</t>
  </si>
  <si>
    <t>品牌补贴收入</t>
  </si>
  <si>
    <t>固定服务收入</t>
  </si>
  <si>
    <t>提成服务收入</t>
  </si>
  <si>
    <t>其他收入</t>
  </si>
  <si>
    <t>销售毛利</t>
  </si>
  <si>
    <t>扣点佣金</t>
  </si>
  <si>
    <t>投放费用</t>
  </si>
  <si>
    <t>促销推广费</t>
  </si>
  <si>
    <t>直播推广费</t>
  </si>
  <si>
    <t>营销设计费</t>
  </si>
  <si>
    <t>促销赠品费</t>
  </si>
  <si>
    <t>内部领用费</t>
  </si>
  <si>
    <t>其他费用</t>
  </si>
  <si>
    <t>运营费用小计</t>
  </si>
  <si>
    <t>物料费</t>
  </si>
  <si>
    <t>物流费</t>
  </si>
  <si>
    <t>仓储费</t>
  </si>
  <si>
    <t>仓储物流小计</t>
  </si>
  <si>
    <t>外包客服费</t>
  </si>
  <si>
    <t>客服服务费</t>
  </si>
  <si>
    <t>推广服务费</t>
  </si>
  <si>
    <t>设计服务费</t>
  </si>
  <si>
    <t>直播服务费</t>
  </si>
  <si>
    <t>仓储服务费</t>
  </si>
  <si>
    <t>商品服务费</t>
  </si>
  <si>
    <t>中台人员小计</t>
  </si>
  <si>
    <t>运营人员工资</t>
  </si>
  <si>
    <t>业务招待费</t>
  </si>
  <si>
    <t>团建费</t>
  </si>
  <si>
    <t>差旅费</t>
  </si>
  <si>
    <t>运营人员小计</t>
  </si>
  <si>
    <t>销售费用合计</t>
  </si>
  <si>
    <t>业务利润</t>
  </si>
  <si>
    <t>资金占用费</t>
  </si>
  <si>
    <t>行政费分摊</t>
  </si>
  <si>
    <t>财税商费用</t>
  </si>
  <si>
    <t>1%税费</t>
  </si>
  <si>
    <t>管理费用合计</t>
  </si>
  <si>
    <t>项目利润</t>
  </si>
  <si>
    <t>1月</t>
  </si>
  <si>
    <t>2240</t>
  </si>
  <si>
    <t>上海佰茶跳动科技有限公司</t>
  </si>
  <si>
    <t>前台</t>
  </si>
  <si>
    <t>35I2140001</t>
  </si>
  <si>
    <t>佰茶绿雪芽天猫旗舰店</t>
  </si>
  <si>
    <t>绿雪芽经销项目</t>
  </si>
  <si>
    <t>46</t>
  </si>
  <si>
    <t>成长型业务</t>
  </si>
  <si>
    <t>35I2060001</t>
  </si>
  <si>
    <t>佰茶绿雪芽京东POP旗舰店</t>
  </si>
  <si>
    <t>35I2030001</t>
  </si>
  <si>
    <t>佰茶绿雪芽抖音旗舰店</t>
  </si>
  <si>
    <t>46I2ZZ0001</t>
  </si>
  <si>
    <t>佰茶绿雪芽本地生活分销</t>
  </si>
  <si>
    <t>46I2210001</t>
  </si>
  <si>
    <t>佰茶绿雪芽新零售视频号店</t>
  </si>
  <si>
    <t>35I2200001</t>
  </si>
  <si>
    <t>佰茶绿雪芽小红书旗舰店</t>
  </si>
  <si>
    <t>35I2190001</t>
  </si>
  <si>
    <t>佰茶绿雪芽线下分销</t>
  </si>
  <si>
    <t>46I2160001</t>
  </si>
  <si>
    <t>佰茶绿雪芽微信小店</t>
  </si>
  <si>
    <t>46I2070001</t>
  </si>
  <si>
    <t>佰茶绿雪芽京东自营店</t>
  </si>
  <si>
    <t>2100</t>
  </si>
  <si>
    <t>上海璞睿供应链管理服务有限公司</t>
  </si>
  <si>
    <t>46I2070002</t>
  </si>
  <si>
    <t>璞睿绿雪芽京东自营店</t>
  </si>
  <si>
    <t>绿雪芽京东自营项目</t>
  </si>
  <si>
    <t>2月</t>
  </si>
  <si>
    <t>3月</t>
  </si>
  <si>
    <t>4月</t>
  </si>
  <si>
    <t>46I2250001</t>
  </si>
  <si>
    <t>佰茶绿雪芽唯品会JIT店</t>
  </si>
  <si>
    <t>5月</t>
  </si>
  <si>
    <t>46I2250002</t>
  </si>
  <si>
    <t>佰茶绿雪芽唯品会JITX店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</si>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</sst>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b/>
      <sz val="9.75"/>
      <color rgb="FF000000"/>
      <name val="宋体"/>
      <charset val="134"/>
      <scheme val="minor"/>
    </font>
    <font>
      <sz val="9"/>
      <name val="微软雅黑 Light"/>
      <charset val="134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F2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3" fontId="3" fillId="3" borderId="0" xfId="0" applyNumberFormat="1" applyFont="1" applyFill="1" applyAlignment="1">
      <alignment horizontal="center" vertical="center"/>
    </xf>
    <xf numFmtId="43" fontId="2" fillId="4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0" fontId="1" fillId="0" borderId="0" xfId="3" applyNumberFormat="1" applyFont="1" applyFill="1" applyBorder="1" applyAlignment="1" applyProtection="1">
      <alignment vertical="center"/>
    </xf>
    <xf numFmtId="43" fontId="4" fillId="3" borderId="0" xfId="0" applyNumberFormat="1" applyFont="1" applyFill="1" applyAlignment="1">
      <alignment vertical="center"/>
    </xf>
    <xf numFmtId="43" fontId="5" fillId="0" borderId="0" xfId="0" applyNumberFormat="1" applyFont="1" applyFill="1" applyBorder="1" applyAlignment="1" applyProtection="1">
      <alignment horizontal="center" vertical="center"/>
    </xf>
    <xf numFmtId="43" fontId="6" fillId="5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&#24180;&#31649;&#252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年执行"/>
      <sheetName val="【项目看板】 (5)"/>
      <sheetName val="【项目看板】 (3)"/>
      <sheetName val="【项目看板】-绿雪芽合并"/>
      <sheetName val="【店铺1】"/>
      <sheetName val="26年预算"/>
      <sheetName val="【项目看板】-林内自营"/>
      <sheetName val="【项目看板】-东芝"/>
      <sheetName val="【项目看板】-外交官天猫"/>
      <sheetName val="【项目看板】-外交官天猫 (2)"/>
      <sheetName val="【项目看板】-林内POP1"/>
      <sheetName val="主数据"/>
      <sheetName val="25年执行"/>
      <sheetName val="【项目看板】 (4)"/>
      <sheetName val="【项目看板】 (2)"/>
      <sheetName val="【项目看板】"/>
      <sheetName val="Sheet1"/>
      <sheetName val="【店铺N】"/>
      <sheetName val="财税商"/>
      <sheetName val="附表 "/>
      <sheetName val="Sheet2"/>
      <sheetName val="Sheet3"/>
      <sheetName val="简表"/>
      <sheetName val="事业部"/>
      <sheetName val="项目"/>
      <sheetName val="人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48498"/>
  <sheetViews>
    <sheetView tabSelected="1" topLeftCell="AT1" workbookViewId="0">
      <selection activeCell="BE12" sqref="BE12"/>
    </sheetView>
  </sheetViews>
  <sheetFormatPr defaultColWidth="8" defaultRowHeight="14"/>
  <cols>
    <col min="1" max="1" width="8" style="2"/>
    <col min="2" max="2" width="11.6363636363636" style="2" customWidth="1"/>
    <col min="3" max="3" width="7.18181818181818" style="2" customWidth="1"/>
    <col min="4" max="5" width="8" style="2"/>
    <col min="6" max="6" width="10.6363636363636" style="2" customWidth="1"/>
    <col min="7" max="7" width="27.5454545454545" style="2" customWidth="1"/>
    <col min="8" max="8" width="20.8181818181818" style="2" customWidth="1"/>
    <col min="9" max="10" width="8" style="2"/>
    <col min="11" max="11" width="9.54545454545454" style="3"/>
    <col min="12" max="12" width="12.8181818181818" style="3"/>
    <col min="13" max="13" width="14" style="3"/>
    <col min="14" max="14" width="12.8181818181818" style="3"/>
    <col min="15" max="15" width="9.54545454545454" style="3"/>
    <col min="16" max="16" width="8.54545454545454" style="3"/>
    <col min="17" max="17" width="12.9090909090909" style="3"/>
    <col min="18" max="22" width="8" style="3"/>
    <col min="23" max="23" width="12.9090909090909" style="3"/>
    <col min="24" max="24" width="10.5454545454545" style="3"/>
    <col min="25" max="25" width="8.54545454545454" style="3"/>
    <col min="26" max="26" width="10.5454545454545" style="3"/>
    <col min="27" max="28" width="8" style="3"/>
    <col min="29" max="29" width="12.8181818181818" style="3"/>
    <col min="30" max="31" width="8" style="3"/>
    <col min="32" max="32" width="12.9090909090909" style="3"/>
    <col min="33" max="33" width="8" style="3"/>
    <col min="34" max="34" width="10.5454545454545" style="3"/>
    <col min="35" max="35" width="11.7272727272727" style="3"/>
    <col min="36" max="36" width="11.8181818181818" style="3"/>
    <col min="37" max="37" width="10.0909090909091" style="4" customWidth="1"/>
    <col min="38" max="41" width="8" style="4"/>
    <col min="42" max="42" width="12.8181818181818" style="4"/>
    <col min="43" max="43" width="8" style="4"/>
    <col min="44" max="44" width="14" style="4" customWidth="1"/>
    <col min="45" max="46" width="8" style="4"/>
    <col min="47" max="47" width="8" style="3"/>
    <col min="48" max="48" width="8" style="5"/>
    <col min="49" max="49" width="15.7272727272727" style="6" customWidth="1"/>
    <col min="50" max="50" width="12.9090909090909" style="6"/>
    <col min="51" max="51" width="12.9090909090909" style="3"/>
    <col min="52" max="52" width="8" style="4"/>
    <col min="53" max="53" width="12.8181818181818" style="4"/>
    <col min="54" max="54" width="8" style="4"/>
    <col min="55" max="55" width="8.81818181818182" style="4"/>
    <col min="56" max="56" width="14.4545454545455" style="6" customWidth="1"/>
    <col min="57" max="57" width="16.4545454545455" style="6" customWidth="1"/>
    <col min="58" max="16384" width="8" style="1"/>
  </cols>
  <sheetData>
    <row r="1" s="1" customFormat="1" ht="13" customHeight="1" spans="1:57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9" t="s">
        <v>49</v>
      </c>
      <c r="AY1" s="9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9" t="s">
        <v>55</v>
      </c>
      <c r="BE1" s="9" t="s">
        <v>56</v>
      </c>
    </row>
    <row r="2" s="1" customFormat="1" customHeight="1" spans="1:57">
      <c r="A2" s="2" t="s">
        <v>57</v>
      </c>
      <c r="B2" s="2"/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>
        <v>962230.37</v>
      </c>
      <c r="L2" s="2">
        <f>O2*1.13</f>
        <v>727587.112</v>
      </c>
      <c r="M2" s="12">
        <f>IFERROR(1-L2/K2,0)</f>
        <v>0.243853515037153</v>
      </c>
      <c r="N2" s="2">
        <f>IFERROR(L2/(Y2*1.06),0)</f>
        <v>4.82266581302467</v>
      </c>
      <c r="O2" s="2">
        <v>643882.4</v>
      </c>
      <c r="P2" s="2">
        <v>255559.47</v>
      </c>
      <c r="Q2" s="13">
        <v>388322.93</v>
      </c>
      <c r="R2" s="2">
        <v>0</v>
      </c>
      <c r="S2" s="2">
        <v>0</v>
      </c>
      <c r="T2" s="2">
        <v>0</v>
      </c>
      <c r="U2" s="2">
        <v>0</v>
      </c>
      <c r="V2" s="2">
        <v>2637.79</v>
      </c>
      <c r="W2" s="13">
        <v>390960.72</v>
      </c>
      <c r="X2" s="2">
        <v>10662.44</v>
      </c>
      <c r="Y2" s="2">
        <v>142328.53</v>
      </c>
      <c r="Z2" s="2">
        <v>34936.01</v>
      </c>
      <c r="AA2" s="2">
        <v>0</v>
      </c>
      <c r="AB2" s="2">
        <v>31132.07547</v>
      </c>
      <c r="AC2" s="2">
        <v>3728.74</v>
      </c>
      <c r="AD2" s="2">
        <v>0</v>
      </c>
      <c r="AE2" s="2">
        <v>30191.52</v>
      </c>
      <c r="AF2" s="13">
        <v>252979.31547</v>
      </c>
      <c r="AG2" s="2">
        <v>0</v>
      </c>
      <c r="AH2" s="2">
        <v>30000</v>
      </c>
      <c r="AI2" s="2">
        <v>14174.9183962264</v>
      </c>
      <c r="AJ2" s="13">
        <v>44174.9183962264</v>
      </c>
      <c r="AK2" s="2">
        <v>9150</v>
      </c>
      <c r="AL2" s="2">
        <v>6758</v>
      </c>
      <c r="AM2" s="2">
        <v>0</v>
      </c>
      <c r="AN2" s="2">
        <v>15943</v>
      </c>
      <c r="AO2" s="2">
        <v>0</v>
      </c>
      <c r="AP2" s="2">
        <v>0</v>
      </c>
      <c r="AQ2" s="2">
        <v>7308</v>
      </c>
      <c r="AR2" s="13">
        <v>39159</v>
      </c>
      <c r="AS2" s="2">
        <v>57294.63</v>
      </c>
      <c r="AT2" s="14">
        <v>0</v>
      </c>
      <c r="AU2" s="14">
        <v>0</v>
      </c>
      <c r="AV2" s="14">
        <v>-491.9</v>
      </c>
      <c r="AW2" s="13">
        <v>56802.73</v>
      </c>
      <c r="AX2" s="13">
        <v>373870.678396226</v>
      </c>
      <c r="AY2" s="13">
        <v>17090.0416037735</v>
      </c>
      <c r="AZ2" s="2">
        <v>0</v>
      </c>
      <c r="BA2" s="2">
        <v>4716.98</v>
      </c>
      <c r="BB2" s="2">
        <v>0</v>
      </c>
      <c r="BC2" s="15">
        <v>0</v>
      </c>
      <c r="BD2" s="13">
        <v>4716.98</v>
      </c>
      <c r="BE2" s="13">
        <v>12373.0616037735</v>
      </c>
    </row>
    <row r="3" s="1" customFormat="1" customHeight="1" spans="1:57">
      <c r="A3" s="2" t="s">
        <v>57</v>
      </c>
      <c r="B3" s="2"/>
      <c r="C3" s="2" t="s">
        <v>58</v>
      </c>
      <c r="D3" s="2" t="s">
        <v>59</v>
      </c>
      <c r="E3" s="2" t="s">
        <v>60</v>
      </c>
      <c r="F3" s="2" t="s">
        <v>66</v>
      </c>
      <c r="G3" s="2" t="s">
        <v>67</v>
      </c>
      <c r="H3" s="2" t="s">
        <v>63</v>
      </c>
      <c r="I3" s="2" t="s">
        <v>64</v>
      </c>
      <c r="J3" s="2" t="s">
        <v>65</v>
      </c>
      <c r="K3" s="2">
        <v>91289.16</v>
      </c>
      <c r="L3" s="2">
        <f t="shared" ref="L3:L34" si="0">O3*1.13</f>
        <v>87400.5958</v>
      </c>
      <c r="M3" s="12">
        <f t="shared" ref="M3:M34" si="1">IFERROR(1-L3/K3,0)</f>
        <v>0.0425961220368334</v>
      </c>
      <c r="N3" s="2">
        <f t="shared" ref="N3:N34" si="2">IFERROR(L3/(Y3*1.06),0)</f>
        <v>3.71667491246907</v>
      </c>
      <c r="O3" s="2">
        <v>77345.66</v>
      </c>
      <c r="P3" s="2">
        <v>29073.13</v>
      </c>
      <c r="Q3" s="13">
        <v>48272.53</v>
      </c>
      <c r="R3" s="2">
        <v>0</v>
      </c>
      <c r="S3" s="2">
        <v>0</v>
      </c>
      <c r="T3" s="2">
        <v>0</v>
      </c>
      <c r="U3" s="2">
        <v>0</v>
      </c>
      <c r="V3" s="2">
        <v>13.02</v>
      </c>
      <c r="W3" s="13">
        <v>48285.55</v>
      </c>
      <c r="X3" s="2">
        <v>3109.11</v>
      </c>
      <c r="Y3" s="2">
        <v>22184.72</v>
      </c>
      <c r="Z3" s="2">
        <v>1274.35</v>
      </c>
      <c r="AA3" s="2">
        <v>0</v>
      </c>
      <c r="AB3" s="2">
        <v>0</v>
      </c>
      <c r="AC3" s="2">
        <v>937.8</v>
      </c>
      <c r="AD3" s="2">
        <v>0</v>
      </c>
      <c r="AE3" s="2">
        <v>0</v>
      </c>
      <c r="AF3" s="13">
        <v>27505.98</v>
      </c>
      <c r="AG3" s="2">
        <v>0</v>
      </c>
      <c r="AH3" s="2">
        <v>0</v>
      </c>
      <c r="AI3" s="2">
        <v>0</v>
      </c>
      <c r="AJ3" s="13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13">
        <v>0</v>
      </c>
      <c r="AS3" s="2">
        <v>0</v>
      </c>
      <c r="AT3" s="14">
        <v>0</v>
      </c>
      <c r="AU3" s="14">
        <v>0</v>
      </c>
      <c r="AV3" s="14">
        <v>0</v>
      </c>
      <c r="AW3" s="13">
        <v>0</v>
      </c>
      <c r="AX3" s="13">
        <v>27505.98</v>
      </c>
      <c r="AY3" s="13">
        <v>20779.57</v>
      </c>
      <c r="AZ3" s="2">
        <v>0</v>
      </c>
      <c r="BA3" s="2">
        <v>0</v>
      </c>
      <c r="BB3" s="2">
        <v>0</v>
      </c>
      <c r="BC3" s="15">
        <v>0</v>
      </c>
      <c r="BD3" s="13">
        <v>0</v>
      </c>
      <c r="BE3" s="13">
        <v>20779.57</v>
      </c>
    </row>
    <row r="4" s="1" customFormat="1" customHeight="1" spans="1:57">
      <c r="A4" s="2" t="s">
        <v>57</v>
      </c>
      <c r="B4" s="2"/>
      <c r="C4" s="2" t="s">
        <v>58</v>
      </c>
      <c r="D4" s="2" t="s">
        <v>59</v>
      </c>
      <c r="E4" s="2" t="s">
        <v>60</v>
      </c>
      <c r="F4" s="2" t="s">
        <v>68</v>
      </c>
      <c r="G4" s="2" t="s">
        <v>69</v>
      </c>
      <c r="H4" s="2" t="s">
        <v>63</v>
      </c>
      <c r="I4" s="2" t="s">
        <v>64</v>
      </c>
      <c r="J4" s="2" t="s">
        <v>65</v>
      </c>
      <c r="K4" s="2">
        <v>1034564.72</v>
      </c>
      <c r="L4" s="2">
        <f t="shared" si="0"/>
        <v>560383.2268</v>
      </c>
      <c r="M4" s="12">
        <f t="shared" si="1"/>
        <v>0.458339129522994</v>
      </c>
      <c r="N4" s="2">
        <f t="shared" si="2"/>
        <v>3.48059996810448</v>
      </c>
      <c r="O4" s="2">
        <v>495914.36</v>
      </c>
      <c r="P4" s="2">
        <v>183228.82</v>
      </c>
      <c r="Q4" s="13">
        <v>312685.54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13">
        <v>312685.54</v>
      </c>
      <c r="X4" s="2">
        <v>11302.81</v>
      </c>
      <c r="Y4" s="2">
        <v>151888.59</v>
      </c>
      <c r="Z4" s="2">
        <v>5855.14</v>
      </c>
      <c r="AA4" s="2">
        <v>127634.75</v>
      </c>
      <c r="AB4" s="2">
        <v>0</v>
      </c>
      <c r="AC4" s="2">
        <v>11105.88</v>
      </c>
      <c r="AD4" s="2">
        <v>0</v>
      </c>
      <c r="AE4" s="2">
        <v>0</v>
      </c>
      <c r="AF4" s="13">
        <v>307787.17</v>
      </c>
      <c r="AG4" s="2">
        <v>0</v>
      </c>
      <c r="AH4" s="2">
        <v>13317.4318113208</v>
      </c>
      <c r="AI4" s="2">
        <v>5669.96735849056</v>
      </c>
      <c r="AJ4" s="13">
        <v>18987.3991698113</v>
      </c>
      <c r="AK4" s="2">
        <v>3660</v>
      </c>
      <c r="AL4" s="2">
        <v>2703.2</v>
      </c>
      <c r="AM4" s="2">
        <v>0</v>
      </c>
      <c r="AN4" s="2">
        <v>6377.2</v>
      </c>
      <c r="AO4" s="2">
        <v>0</v>
      </c>
      <c r="AP4" s="2">
        <v>0</v>
      </c>
      <c r="AQ4" s="2">
        <v>2923.2</v>
      </c>
      <c r="AR4" s="13">
        <v>15663.6</v>
      </c>
      <c r="AS4" s="2">
        <v>22917.852</v>
      </c>
      <c r="AT4" s="14">
        <v>0</v>
      </c>
      <c r="AU4" s="14">
        <v>0</v>
      </c>
      <c r="AV4" s="14">
        <v>0</v>
      </c>
      <c r="AW4" s="13">
        <v>22917.852</v>
      </c>
      <c r="AX4" s="13">
        <v>370110.737169811</v>
      </c>
      <c r="AY4" s="13">
        <v>-57425.1971698114</v>
      </c>
      <c r="AZ4" s="2">
        <v>0</v>
      </c>
      <c r="BA4" s="2">
        <v>1886.792</v>
      </c>
      <c r="BB4" s="2">
        <v>0</v>
      </c>
      <c r="BC4" s="15">
        <v>0</v>
      </c>
      <c r="BD4" s="13">
        <v>1886.792</v>
      </c>
      <c r="BE4" s="13">
        <v>-59311.9891698114</v>
      </c>
    </row>
    <row r="5" s="1" customFormat="1" customHeight="1" spans="1:57">
      <c r="A5" s="2" t="s">
        <v>57</v>
      </c>
      <c r="B5" s="2"/>
      <c r="C5" s="2" t="s">
        <v>58</v>
      </c>
      <c r="D5" s="2" t="s">
        <v>59</v>
      </c>
      <c r="E5" s="2" t="s">
        <v>60</v>
      </c>
      <c r="F5" s="2" t="s">
        <v>70</v>
      </c>
      <c r="G5" s="2" t="s">
        <v>71</v>
      </c>
      <c r="H5" s="2" t="s">
        <v>63</v>
      </c>
      <c r="I5" s="2" t="s">
        <v>64</v>
      </c>
      <c r="J5" s="2" t="s">
        <v>65</v>
      </c>
      <c r="K5" s="2">
        <v>0</v>
      </c>
      <c r="L5" s="2">
        <f t="shared" si="0"/>
        <v>0</v>
      </c>
      <c r="M5" s="12">
        <f t="shared" si="1"/>
        <v>0</v>
      </c>
      <c r="N5" s="2">
        <f t="shared" si="2"/>
        <v>0</v>
      </c>
      <c r="O5" s="2">
        <v>0</v>
      </c>
      <c r="P5" s="2">
        <v>0</v>
      </c>
      <c r="Q5" s="13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13">
        <v>0</v>
      </c>
      <c r="X5" s="2">
        <v>0</v>
      </c>
      <c r="Y5" s="2">
        <v>0</v>
      </c>
      <c r="Z5" s="2">
        <v>16981.13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13">
        <v>16981.13</v>
      </c>
      <c r="AG5" s="2">
        <v>0</v>
      </c>
      <c r="AH5" s="2">
        <v>0</v>
      </c>
      <c r="AI5" s="2">
        <v>0</v>
      </c>
      <c r="AJ5" s="13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13">
        <v>0</v>
      </c>
      <c r="AS5" s="2">
        <v>0</v>
      </c>
      <c r="AT5" s="14">
        <v>0</v>
      </c>
      <c r="AU5" s="14">
        <v>0</v>
      </c>
      <c r="AV5" s="14">
        <v>0</v>
      </c>
      <c r="AW5" s="13">
        <v>0</v>
      </c>
      <c r="AX5" s="13">
        <v>16981.13</v>
      </c>
      <c r="AY5" s="13">
        <v>-16981.13</v>
      </c>
      <c r="AZ5" s="2">
        <v>0</v>
      </c>
      <c r="BA5" s="2">
        <v>0</v>
      </c>
      <c r="BB5" s="2">
        <v>0</v>
      </c>
      <c r="BC5" s="15">
        <v>0</v>
      </c>
      <c r="BD5" s="13">
        <v>0</v>
      </c>
      <c r="BE5" s="13">
        <v>-16981.13</v>
      </c>
    </row>
    <row r="6" s="1" customFormat="1" customHeight="1" spans="1:57">
      <c r="A6" s="2" t="s">
        <v>57</v>
      </c>
      <c r="B6" s="2"/>
      <c r="C6" s="2" t="s">
        <v>58</v>
      </c>
      <c r="D6" s="2" t="s">
        <v>59</v>
      </c>
      <c r="E6" s="2" t="s">
        <v>60</v>
      </c>
      <c r="F6" s="2" t="s">
        <v>72</v>
      </c>
      <c r="G6" s="2" t="s">
        <v>73</v>
      </c>
      <c r="H6" s="2" t="s">
        <v>63</v>
      </c>
      <c r="I6" s="2" t="s">
        <v>64</v>
      </c>
      <c r="J6" s="2" t="s">
        <v>65</v>
      </c>
      <c r="K6" s="2">
        <v>0</v>
      </c>
      <c r="L6" s="2">
        <f t="shared" si="0"/>
        <v>0</v>
      </c>
      <c r="M6" s="12">
        <f t="shared" si="1"/>
        <v>0</v>
      </c>
      <c r="N6" s="2">
        <f t="shared" si="2"/>
        <v>0</v>
      </c>
      <c r="O6" s="2">
        <v>0</v>
      </c>
      <c r="P6" s="2">
        <v>0</v>
      </c>
      <c r="Q6" s="13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13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13">
        <v>0</v>
      </c>
      <c r="AG6" s="2">
        <v>0</v>
      </c>
      <c r="AH6" s="2">
        <v>0</v>
      </c>
      <c r="AI6" s="2">
        <v>0</v>
      </c>
      <c r="AJ6" s="13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13">
        <v>0</v>
      </c>
      <c r="AS6" s="2">
        <v>0</v>
      </c>
      <c r="AT6" s="14">
        <v>0</v>
      </c>
      <c r="AU6" s="14">
        <v>0</v>
      </c>
      <c r="AV6" s="14">
        <v>0</v>
      </c>
      <c r="AW6" s="13">
        <v>0</v>
      </c>
      <c r="AX6" s="13">
        <v>0</v>
      </c>
      <c r="AY6" s="13">
        <v>0</v>
      </c>
      <c r="AZ6" s="2">
        <v>0</v>
      </c>
      <c r="BA6" s="2">
        <v>0</v>
      </c>
      <c r="BB6" s="2">
        <v>0</v>
      </c>
      <c r="BC6" s="15">
        <v>0</v>
      </c>
      <c r="BD6" s="13">
        <v>0</v>
      </c>
      <c r="BE6" s="13">
        <v>0</v>
      </c>
    </row>
    <row r="7" s="1" customFormat="1" customHeight="1" spans="1:57">
      <c r="A7" s="2" t="s">
        <v>57</v>
      </c>
      <c r="B7" s="2"/>
      <c r="C7" s="2" t="s">
        <v>58</v>
      </c>
      <c r="D7" s="2" t="s">
        <v>59</v>
      </c>
      <c r="E7" s="2" t="s">
        <v>60</v>
      </c>
      <c r="F7" s="2" t="s">
        <v>74</v>
      </c>
      <c r="G7" s="2" t="s">
        <v>75</v>
      </c>
      <c r="H7" s="2" t="s">
        <v>63</v>
      </c>
      <c r="I7" s="2" t="s">
        <v>64</v>
      </c>
      <c r="J7" s="2" t="s">
        <v>65</v>
      </c>
      <c r="K7" s="2">
        <f>N7*1.13</f>
        <v>0</v>
      </c>
      <c r="L7" s="2">
        <f t="shared" si="0"/>
        <v>307.586</v>
      </c>
      <c r="M7" s="12">
        <f t="shared" si="1"/>
        <v>0</v>
      </c>
      <c r="N7" s="2">
        <f t="shared" si="2"/>
        <v>0</v>
      </c>
      <c r="O7" s="2">
        <v>272.2</v>
      </c>
      <c r="P7" s="2">
        <v>89.69</v>
      </c>
      <c r="Q7" s="13">
        <v>182.51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13">
        <v>182.51</v>
      </c>
      <c r="X7" s="2">
        <v>28.18</v>
      </c>
      <c r="Y7" s="2">
        <v>0</v>
      </c>
      <c r="Z7" s="2">
        <v>4002.7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13">
        <v>4030.88</v>
      </c>
      <c r="AG7" s="2">
        <v>0</v>
      </c>
      <c r="AH7" s="2">
        <v>0</v>
      </c>
      <c r="AI7" s="2">
        <v>0</v>
      </c>
      <c r="AJ7" s="13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13">
        <v>0</v>
      </c>
      <c r="AS7" s="2">
        <v>0</v>
      </c>
      <c r="AT7" s="14">
        <v>0</v>
      </c>
      <c r="AU7" s="14">
        <v>0</v>
      </c>
      <c r="AV7" s="14">
        <v>0</v>
      </c>
      <c r="AW7" s="13">
        <v>0</v>
      </c>
      <c r="AX7" s="13">
        <v>4030.88</v>
      </c>
      <c r="AY7" s="13">
        <v>-3848.37</v>
      </c>
      <c r="AZ7" s="2">
        <v>0</v>
      </c>
      <c r="BA7" s="2">
        <v>0</v>
      </c>
      <c r="BB7" s="2">
        <v>0</v>
      </c>
      <c r="BC7" s="15">
        <v>0</v>
      </c>
      <c r="BD7" s="13">
        <v>0</v>
      </c>
      <c r="BE7" s="13">
        <v>-3848.37</v>
      </c>
    </row>
    <row r="8" s="1" customFormat="1" customHeight="1" spans="1:57">
      <c r="A8" s="2" t="s">
        <v>57</v>
      </c>
      <c r="B8" s="2"/>
      <c r="C8" s="2" t="s">
        <v>58</v>
      </c>
      <c r="D8" s="2" t="s">
        <v>59</v>
      </c>
      <c r="E8" s="2" t="s">
        <v>60</v>
      </c>
      <c r="F8" s="2" t="s">
        <v>76</v>
      </c>
      <c r="G8" s="2" t="s">
        <v>77</v>
      </c>
      <c r="H8" s="2" t="s">
        <v>63</v>
      </c>
      <c r="I8" s="2" t="s">
        <v>64</v>
      </c>
      <c r="J8" s="2" t="s">
        <v>65</v>
      </c>
      <c r="K8" s="2">
        <f>N8*1.13</f>
        <v>0</v>
      </c>
      <c r="L8" s="2">
        <f t="shared" si="0"/>
        <v>35526.5898</v>
      </c>
      <c r="M8" s="12">
        <f t="shared" si="1"/>
        <v>0</v>
      </c>
      <c r="N8" s="2">
        <f t="shared" si="2"/>
        <v>0</v>
      </c>
      <c r="O8" s="2">
        <v>31439.46</v>
      </c>
      <c r="P8" s="2">
        <v>20752.67</v>
      </c>
      <c r="Q8" s="13">
        <v>10686.79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13">
        <v>10686.79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13">
        <v>0</v>
      </c>
      <c r="AG8" s="2">
        <v>0</v>
      </c>
      <c r="AH8" s="2">
        <v>0</v>
      </c>
      <c r="AI8" s="2">
        <v>0</v>
      </c>
      <c r="AJ8" s="13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13">
        <v>0</v>
      </c>
      <c r="AS8" s="2">
        <v>0</v>
      </c>
      <c r="AT8" s="14">
        <v>0</v>
      </c>
      <c r="AU8" s="14">
        <v>0</v>
      </c>
      <c r="AV8" s="14">
        <v>0</v>
      </c>
      <c r="AW8" s="13">
        <v>0</v>
      </c>
      <c r="AX8" s="13">
        <v>0</v>
      </c>
      <c r="AY8" s="13">
        <v>10686.79</v>
      </c>
      <c r="AZ8" s="2">
        <v>0</v>
      </c>
      <c r="BA8" s="2">
        <v>0</v>
      </c>
      <c r="BB8" s="2">
        <v>0</v>
      </c>
      <c r="BC8" s="15">
        <v>0</v>
      </c>
      <c r="BD8" s="13">
        <v>0</v>
      </c>
      <c r="BE8" s="13">
        <v>10686.79</v>
      </c>
    </row>
    <row r="9" s="1" customFormat="1" customHeight="1" spans="1:57">
      <c r="A9" s="2" t="s">
        <v>57</v>
      </c>
      <c r="B9" s="2"/>
      <c r="C9" s="2" t="s">
        <v>58</v>
      </c>
      <c r="D9" s="2" t="s">
        <v>59</v>
      </c>
      <c r="E9" s="2" t="s">
        <v>60</v>
      </c>
      <c r="F9" s="2" t="s">
        <v>78</v>
      </c>
      <c r="G9" s="2" t="s">
        <v>79</v>
      </c>
      <c r="H9" s="2" t="s">
        <v>63</v>
      </c>
      <c r="I9" s="2" t="s">
        <v>64</v>
      </c>
      <c r="J9" s="2" t="s">
        <v>65</v>
      </c>
      <c r="K9" s="2">
        <v>486.3</v>
      </c>
      <c r="L9" s="2">
        <f t="shared" si="0"/>
        <v>459.8987</v>
      </c>
      <c r="M9" s="12">
        <f t="shared" si="1"/>
        <v>0.054290150113099</v>
      </c>
      <c r="N9" s="2">
        <f t="shared" si="2"/>
        <v>0</v>
      </c>
      <c r="O9" s="2">
        <v>406.99</v>
      </c>
      <c r="P9" s="2">
        <v>137.98</v>
      </c>
      <c r="Q9" s="13">
        <v>269.01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13">
        <v>269.01</v>
      </c>
      <c r="X9" s="2">
        <v>0</v>
      </c>
      <c r="Y9" s="2">
        <v>0</v>
      </c>
      <c r="Z9" s="2">
        <v>7.42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13">
        <v>7.42</v>
      </c>
      <c r="AG9" s="2">
        <v>0</v>
      </c>
      <c r="AH9" s="2">
        <v>0</v>
      </c>
      <c r="AI9" s="2">
        <v>0</v>
      </c>
      <c r="AJ9" s="13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13">
        <v>0</v>
      </c>
      <c r="AS9" s="2">
        <v>0</v>
      </c>
      <c r="AT9" s="14">
        <v>0</v>
      </c>
      <c r="AU9" s="14">
        <v>0</v>
      </c>
      <c r="AV9" s="14">
        <v>0</v>
      </c>
      <c r="AW9" s="13">
        <v>0</v>
      </c>
      <c r="AX9" s="13">
        <v>7.42</v>
      </c>
      <c r="AY9" s="13">
        <v>261.59</v>
      </c>
      <c r="AZ9" s="2">
        <v>0</v>
      </c>
      <c r="BA9" s="2">
        <v>0</v>
      </c>
      <c r="BB9" s="2">
        <v>0</v>
      </c>
      <c r="BC9" s="15">
        <v>0</v>
      </c>
      <c r="BD9" s="13">
        <v>0</v>
      </c>
      <c r="BE9" s="13">
        <v>261.59</v>
      </c>
    </row>
    <row r="10" s="1" customFormat="1" customHeight="1" spans="1:57">
      <c r="A10" s="2" t="s">
        <v>57</v>
      </c>
      <c r="B10" s="2"/>
      <c r="C10" s="2" t="s">
        <v>58</v>
      </c>
      <c r="D10" s="2" t="s">
        <v>59</v>
      </c>
      <c r="E10" s="2" t="s">
        <v>60</v>
      </c>
      <c r="F10" s="2" t="s">
        <v>80</v>
      </c>
      <c r="G10" s="2" t="s">
        <v>81</v>
      </c>
      <c r="H10" s="2" t="s">
        <v>63</v>
      </c>
      <c r="I10" s="2" t="s">
        <v>64</v>
      </c>
      <c r="J10" s="2" t="s">
        <v>65</v>
      </c>
      <c r="K10" s="2">
        <v>0</v>
      </c>
      <c r="L10" s="2">
        <f t="shared" si="0"/>
        <v>0</v>
      </c>
      <c r="M10" s="12">
        <f t="shared" si="1"/>
        <v>0</v>
      </c>
      <c r="N10" s="2">
        <f t="shared" si="2"/>
        <v>0</v>
      </c>
      <c r="O10" s="2">
        <v>0</v>
      </c>
      <c r="P10" s="2">
        <v>0</v>
      </c>
      <c r="Q10" s="13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13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-124.31</v>
      </c>
      <c r="AF10" s="13">
        <v>-124.31</v>
      </c>
      <c r="AG10" s="2">
        <v>0</v>
      </c>
      <c r="AH10" s="2">
        <v>0</v>
      </c>
      <c r="AI10" s="2">
        <v>0</v>
      </c>
      <c r="AJ10" s="13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13">
        <v>0</v>
      </c>
      <c r="AS10" s="2">
        <v>20000</v>
      </c>
      <c r="AT10" s="14">
        <v>0</v>
      </c>
      <c r="AU10" s="14">
        <v>0</v>
      </c>
      <c r="AV10" s="14">
        <v>0</v>
      </c>
      <c r="AW10" s="13">
        <v>20000</v>
      </c>
      <c r="AX10" s="13">
        <v>19875.69</v>
      </c>
      <c r="AY10" s="13">
        <v>-19875.69</v>
      </c>
      <c r="AZ10" s="2">
        <v>0</v>
      </c>
      <c r="BA10" s="2">
        <v>0</v>
      </c>
      <c r="BB10" s="2">
        <v>0</v>
      </c>
      <c r="BC10" s="15">
        <v>0</v>
      </c>
      <c r="BD10" s="13">
        <v>0</v>
      </c>
      <c r="BE10" s="13">
        <v>-19875.69</v>
      </c>
    </row>
    <row r="11" s="1" customFormat="1" customHeight="1" spans="1:57">
      <c r="A11" s="2" t="s">
        <v>57</v>
      </c>
      <c r="B11" s="2"/>
      <c r="C11" s="2" t="s">
        <v>82</v>
      </c>
      <c r="D11" s="2" t="s">
        <v>83</v>
      </c>
      <c r="E11" s="2" t="s">
        <v>60</v>
      </c>
      <c r="F11" s="2" t="s">
        <v>84</v>
      </c>
      <c r="G11" s="2" t="s">
        <v>85</v>
      </c>
      <c r="H11" s="2" t="s">
        <v>86</v>
      </c>
      <c r="I11" s="2" t="s">
        <v>64</v>
      </c>
      <c r="J11" s="2" t="s">
        <v>65</v>
      </c>
      <c r="K11" s="2">
        <v>144457.04</v>
      </c>
      <c r="L11" s="2">
        <f t="shared" si="0"/>
        <v>99560.5936</v>
      </c>
      <c r="M11" s="12">
        <f t="shared" si="1"/>
        <v>0.310794450723897</v>
      </c>
      <c r="N11" s="2">
        <f t="shared" si="2"/>
        <v>2.13252275903995</v>
      </c>
      <c r="O11" s="2">
        <v>88106.72</v>
      </c>
      <c r="P11" s="2">
        <v>32677.86</v>
      </c>
      <c r="Q11" s="13">
        <v>55428.86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13">
        <v>55428.86</v>
      </c>
      <c r="X11" s="2">
        <v>0</v>
      </c>
      <c r="Y11" s="2">
        <v>44044.12</v>
      </c>
      <c r="Z11" s="2">
        <v>15756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13">
        <v>59800.12</v>
      </c>
      <c r="AG11" s="2">
        <v>0</v>
      </c>
      <c r="AH11" s="2">
        <v>10000</v>
      </c>
      <c r="AI11" s="2">
        <v>8504.95103773584</v>
      </c>
      <c r="AJ11" s="13">
        <v>18504.9510377358</v>
      </c>
      <c r="AK11" s="2">
        <v>5490</v>
      </c>
      <c r="AL11" s="2">
        <v>4054.8</v>
      </c>
      <c r="AM11" s="2">
        <v>0</v>
      </c>
      <c r="AN11" s="2">
        <v>9565.8</v>
      </c>
      <c r="AO11" s="2">
        <v>0</v>
      </c>
      <c r="AP11" s="2">
        <v>0</v>
      </c>
      <c r="AQ11" s="2">
        <v>4384.8</v>
      </c>
      <c r="AR11" s="13">
        <v>23495.4</v>
      </c>
      <c r="AS11" s="2">
        <v>34376.778</v>
      </c>
      <c r="AT11" s="14">
        <v>0</v>
      </c>
      <c r="AU11" s="14">
        <v>0</v>
      </c>
      <c r="AV11" s="14">
        <v>0</v>
      </c>
      <c r="AW11" s="13">
        <v>34376.778</v>
      </c>
      <c r="AX11" s="13">
        <v>143309.323037736</v>
      </c>
      <c r="AY11" s="13">
        <v>-87880.4630377358</v>
      </c>
      <c r="AZ11" s="2">
        <v>0</v>
      </c>
      <c r="BA11" s="2">
        <v>2830.188</v>
      </c>
      <c r="BB11" s="2">
        <v>0</v>
      </c>
      <c r="BC11" s="15">
        <v>0</v>
      </c>
      <c r="BD11" s="13">
        <v>2830.188</v>
      </c>
      <c r="BE11" s="13">
        <v>-90710.6510377358</v>
      </c>
    </row>
    <row r="12" s="1" customFormat="1" customHeight="1" spans="1:57">
      <c r="A12" s="2" t="s">
        <v>87</v>
      </c>
      <c r="B12" s="2"/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  <c r="J12" s="2" t="s">
        <v>65</v>
      </c>
      <c r="K12" s="2">
        <v>955376.27</v>
      </c>
      <c r="L12" s="2">
        <f t="shared" si="0"/>
        <v>764824.8495</v>
      </c>
      <c r="M12" s="12">
        <f t="shared" si="1"/>
        <v>0.199451699276558</v>
      </c>
      <c r="N12" s="2">
        <f t="shared" si="2"/>
        <v>4.94633642197431</v>
      </c>
      <c r="O12" s="2">
        <v>676836.15</v>
      </c>
      <c r="P12" s="2">
        <v>266689.6</v>
      </c>
      <c r="Q12" s="13">
        <v>410146.55</v>
      </c>
      <c r="R12" s="2">
        <v>0</v>
      </c>
      <c r="S12" s="2">
        <v>0</v>
      </c>
      <c r="T12" s="2">
        <v>0</v>
      </c>
      <c r="U12" s="2">
        <v>0</v>
      </c>
      <c r="V12" s="2">
        <v>1009.4</v>
      </c>
      <c r="W12" s="13">
        <v>411155.95</v>
      </c>
      <c r="X12" s="2">
        <v>15729.02</v>
      </c>
      <c r="Y12" s="2">
        <v>145872.18</v>
      </c>
      <c r="Z12" s="2">
        <v>32926.66</v>
      </c>
      <c r="AA12" s="2">
        <v>22061.72</v>
      </c>
      <c r="AB12" s="2">
        <v>18500</v>
      </c>
      <c r="AC12" s="2">
        <v>3424.08</v>
      </c>
      <c r="AD12" s="2">
        <v>0</v>
      </c>
      <c r="AE12" s="2">
        <v>0</v>
      </c>
      <c r="AF12" s="13">
        <v>238513.66</v>
      </c>
      <c r="AG12" s="2">
        <v>27000</v>
      </c>
      <c r="AH12" s="2">
        <v>30000</v>
      </c>
      <c r="AI12" s="2">
        <v>20000</v>
      </c>
      <c r="AJ12" s="13">
        <v>77000</v>
      </c>
      <c r="AK12" s="2">
        <v>9150.89</v>
      </c>
      <c r="AL12" s="2">
        <v>7808.08</v>
      </c>
      <c r="AM12" s="2">
        <v>0</v>
      </c>
      <c r="AN12" s="2">
        <v>17942.96</v>
      </c>
      <c r="AO12" s="2">
        <v>0</v>
      </c>
      <c r="AP12" s="2">
        <v>0</v>
      </c>
      <c r="AQ12" s="2">
        <v>8307.88</v>
      </c>
      <c r="AR12" s="13">
        <v>43209.81</v>
      </c>
      <c r="AS12" s="2">
        <v>59242.98</v>
      </c>
      <c r="AT12" s="14">
        <v>0</v>
      </c>
      <c r="AU12" s="14">
        <v>0</v>
      </c>
      <c r="AV12" s="14">
        <v>0</v>
      </c>
      <c r="AW12" s="13">
        <v>59242.98</v>
      </c>
      <c r="AX12" s="13">
        <v>391083.975</v>
      </c>
      <c r="AY12" s="13">
        <v>20071.975</v>
      </c>
      <c r="AZ12" s="2">
        <v>0</v>
      </c>
      <c r="BA12" s="2">
        <v>4716.98</v>
      </c>
      <c r="BB12" s="2">
        <v>0</v>
      </c>
      <c r="BC12" s="15">
        <v>0</v>
      </c>
      <c r="BD12" s="13">
        <v>4716.98</v>
      </c>
      <c r="BE12" s="13">
        <v>15354.995</v>
      </c>
    </row>
    <row r="13" s="1" customFormat="1" customHeight="1" spans="1:57">
      <c r="A13" s="2" t="s">
        <v>87</v>
      </c>
      <c r="B13" s="2"/>
      <c r="C13" s="2" t="s">
        <v>58</v>
      </c>
      <c r="D13" s="2" t="s">
        <v>59</v>
      </c>
      <c r="E13" s="2" t="s">
        <v>60</v>
      </c>
      <c r="F13" s="2" t="s">
        <v>66</v>
      </c>
      <c r="G13" s="2" t="s">
        <v>67</v>
      </c>
      <c r="H13" s="2" t="s">
        <v>63</v>
      </c>
      <c r="I13" s="2" t="s">
        <v>64</v>
      </c>
      <c r="J13" s="2" t="s">
        <v>65</v>
      </c>
      <c r="K13" s="2">
        <v>48624.67</v>
      </c>
      <c r="L13" s="2">
        <f t="shared" si="0"/>
        <v>42634.8548</v>
      </c>
      <c r="M13" s="12">
        <f t="shared" si="1"/>
        <v>0.123184696163491</v>
      </c>
      <c r="N13" s="2">
        <f t="shared" si="2"/>
        <v>5.37121810974052</v>
      </c>
      <c r="O13" s="2">
        <v>37729.96</v>
      </c>
      <c r="P13" s="2">
        <v>14442</v>
      </c>
      <c r="Q13" s="13">
        <v>23287.96</v>
      </c>
      <c r="R13" s="2">
        <v>0</v>
      </c>
      <c r="S13" s="2">
        <v>0</v>
      </c>
      <c r="T13" s="2">
        <v>0</v>
      </c>
      <c r="U13" s="2">
        <v>0</v>
      </c>
      <c r="V13" s="2">
        <v>31.08</v>
      </c>
      <c r="W13" s="13">
        <v>23319.04</v>
      </c>
      <c r="X13" s="2">
        <v>1572.3</v>
      </c>
      <c r="Y13" s="2">
        <v>7488.35</v>
      </c>
      <c r="Z13" s="2">
        <v>809.36</v>
      </c>
      <c r="AA13" s="2">
        <v>0</v>
      </c>
      <c r="AB13" s="2">
        <v>0</v>
      </c>
      <c r="AC13" s="2">
        <v>422.06</v>
      </c>
      <c r="AD13" s="2">
        <v>0</v>
      </c>
      <c r="AE13" s="2">
        <v>0</v>
      </c>
      <c r="AF13" s="13">
        <v>10292.07</v>
      </c>
      <c r="AG13" s="2">
        <v>0</v>
      </c>
      <c r="AH13" s="2">
        <v>0</v>
      </c>
      <c r="AI13" s="2">
        <v>0</v>
      </c>
      <c r="AJ13" s="13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13">
        <v>0</v>
      </c>
      <c r="AS13" s="2">
        <v>0</v>
      </c>
      <c r="AT13" s="14">
        <v>0</v>
      </c>
      <c r="AU13" s="14">
        <v>0</v>
      </c>
      <c r="AV13" s="14">
        <v>0</v>
      </c>
      <c r="AW13" s="13">
        <v>0</v>
      </c>
      <c r="AX13" s="13">
        <v>10292.07</v>
      </c>
      <c r="AY13" s="13">
        <v>13026.97</v>
      </c>
      <c r="AZ13" s="2">
        <v>0</v>
      </c>
      <c r="BA13" s="2">
        <v>0</v>
      </c>
      <c r="BB13" s="2">
        <v>0</v>
      </c>
      <c r="BC13" s="15">
        <v>0</v>
      </c>
      <c r="BD13" s="13">
        <v>0</v>
      </c>
      <c r="BE13" s="13">
        <v>13026.97</v>
      </c>
    </row>
    <row r="14" s="1" customFormat="1" customHeight="1" spans="1:57">
      <c r="A14" s="2" t="s">
        <v>87</v>
      </c>
      <c r="B14" s="2"/>
      <c r="C14" s="2" t="s">
        <v>58</v>
      </c>
      <c r="D14" s="2" t="s">
        <v>59</v>
      </c>
      <c r="E14" s="2" t="s">
        <v>60</v>
      </c>
      <c r="F14" s="2" t="s">
        <v>68</v>
      </c>
      <c r="G14" s="2" t="s">
        <v>69</v>
      </c>
      <c r="H14" s="2" t="s">
        <v>63</v>
      </c>
      <c r="I14" s="2" t="s">
        <v>64</v>
      </c>
      <c r="J14" s="2" t="s">
        <v>65</v>
      </c>
      <c r="K14" s="2">
        <v>689021.11</v>
      </c>
      <c r="L14" s="2">
        <f t="shared" si="0"/>
        <v>397317.0965</v>
      </c>
      <c r="M14" s="12">
        <f t="shared" si="1"/>
        <v>0.423360052785611</v>
      </c>
      <c r="N14" s="2">
        <f t="shared" si="2"/>
        <v>4.04663141556306</v>
      </c>
      <c r="O14" s="2">
        <v>351608.05</v>
      </c>
      <c r="P14" s="2">
        <v>131518.4</v>
      </c>
      <c r="Q14" s="13">
        <v>220089.65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13">
        <v>220089.65</v>
      </c>
      <c r="X14" s="2">
        <v>8509.64</v>
      </c>
      <c r="Y14" s="2">
        <v>92627.03</v>
      </c>
      <c r="Z14" s="2">
        <v>15208.27</v>
      </c>
      <c r="AA14" s="2">
        <v>122641.51</v>
      </c>
      <c r="AB14" s="2">
        <v>0</v>
      </c>
      <c r="AC14" s="2">
        <v>1648.14</v>
      </c>
      <c r="AD14" s="2">
        <v>0</v>
      </c>
      <c r="AE14" s="2">
        <v>0</v>
      </c>
      <c r="AF14" s="13">
        <v>240634.59</v>
      </c>
      <c r="AG14" s="2">
        <v>0</v>
      </c>
      <c r="AH14" s="2">
        <v>18157.5009811321</v>
      </c>
      <c r="AI14" s="2">
        <v>9320.744</v>
      </c>
      <c r="AJ14" s="13">
        <v>27478.2449811321</v>
      </c>
      <c r="AK14" s="2">
        <v>3660.356</v>
      </c>
      <c r="AL14" s="2">
        <v>3123.232</v>
      </c>
      <c r="AM14" s="2">
        <v>0</v>
      </c>
      <c r="AN14" s="2">
        <v>7177.184</v>
      </c>
      <c r="AO14" s="2">
        <v>0</v>
      </c>
      <c r="AP14" s="2">
        <v>0</v>
      </c>
      <c r="AQ14" s="2">
        <v>3323.152</v>
      </c>
      <c r="AR14" s="13">
        <v>17283.924</v>
      </c>
      <c r="AS14" s="2">
        <v>23697.192</v>
      </c>
      <c r="AT14" s="14">
        <v>0</v>
      </c>
      <c r="AU14" s="14">
        <v>0</v>
      </c>
      <c r="AV14" s="14">
        <v>0</v>
      </c>
      <c r="AW14" s="13">
        <v>23697.192</v>
      </c>
      <c r="AX14" s="13">
        <v>336627.368981132</v>
      </c>
      <c r="AY14" s="13">
        <v>-116537.718981132</v>
      </c>
      <c r="AZ14" s="2">
        <v>0</v>
      </c>
      <c r="BA14" s="2">
        <v>1886.792</v>
      </c>
      <c r="BB14" s="2">
        <v>0</v>
      </c>
      <c r="BC14" s="15">
        <v>0</v>
      </c>
      <c r="BD14" s="13">
        <v>1886.792</v>
      </c>
      <c r="BE14" s="13">
        <v>-118424.510981132</v>
      </c>
    </row>
    <row r="15" s="1" customFormat="1" customHeight="1" spans="1:57">
      <c r="A15" s="2" t="s">
        <v>87</v>
      </c>
      <c r="B15" s="2"/>
      <c r="C15" s="2" t="s">
        <v>58</v>
      </c>
      <c r="D15" s="2" t="s">
        <v>59</v>
      </c>
      <c r="E15" s="2" t="s">
        <v>60</v>
      </c>
      <c r="F15" s="2" t="s">
        <v>70</v>
      </c>
      <c r="G15" s="2" t="s">
        <v>71</v>
      </c>
      <c r="H15" s="2" t="s">
        <v>63</v>
      </c>
      <c r="I15" s="2" t="s">
        <v>64</v>
      </c>
      <c r="J15" s="2" t="s">
        <v>65</v>
      </c>
      <c r="K15" s="2">
        <v>0</v>
      </c>
      <c r="L15" s="2">
        <f t="shared" si="0"/>
        <v>0</v>
      </c>
      <c r="M15" s="12">
        <f t="shared" si="1"/>
        <v>0</v>
      </c>
      <c r="N15" s="2">
        <f t="shared" si="2"/>
        <v>0</v>
      </c>
      <c r="O15" s="2">
        <v>0</v>
      </c>
      <c r="P15" s="2">
        <v>0</v>
      </c>
      <c r="Q15" s="13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13">
        <v>0</v>
      </c>
      <c r="X15" s="2">
        <v>0</v>
      </c>
      <c r="Y15" s="2">
        <v>0</v>
      </c>
      <c r="Z15" s="2">
        <v>16981.13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13">
        <v>16981.13</v>
      </c>
      <c r="AG15" s="2">
        <v>0</v>
      </c>
      <c r="AH15" s="2">
        <v>0</v>
      </c>
      <c r="AI15" s="2">
        <v>0</v>
      </c>
      <c r="AJ15" s="13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13">
        <v>0</v>
      </c>
      <c r="AS15" s="2">
        <v>0</v>
      </c>
      <c r="AT15" s="14">
        <v>0</v>
      </c>
      <c r="AU15" s="14">
        <v>0</v>
      </c>
      <c r="AV15" s="14">
        <v>0</v>
      </c>
      <c r="AW15" s="13">
        <v>0</v>
      </c>
      <c r="AX15" s="13">
        <v>16981.13</v>
      </c>
      <c r="AY15" s="13">
        <v>-16981.13</v>
      </c>
      <c r="AZ15" s="2">
        <v>0</v>
      </c>
      <c r="BA15" s="2">
        <v>0</v>
      </c>
      <c r="BB15" s="2">
        <v>0</v>
      </c>
      <c r="BC15" s="15">
        <v>0</v>
      </c>
      <c r="BD15" s="13">
        <v>0</v>
      </c>
      <c r="BE15" s="13">
        <v>-16981.13</v>
      </c>
    </row>
    <row r="16" s="1" customFormat="1" customHeight="1" spans="1:57">
      <c r="A16" s="2" t="s">
        <v>87</v>
      </c>
      <c r="B16" s="2"/>
      <c r="C16" s="2" t="s">
        <v>58</v>
      </c>
      <c r="D16" s="2" t="s">
        <v>59</v>
      </c>
      <c r="E16" s="2" t="s">
        <v>60</v>
      </c>
      <c r="F16" s="2" t="s">
        <v>72</v>
      </c>
      <c r="G16" s="2" t="s">
        <v>73</v>
      </c>
      <c r="H16" s="2" t="s">
        <v>63</v>
      </c>
      <c r="I16" s="2" t="s">
        <v>64</v>
      </c>
      <c r="J16" s="2" t="s">
        <v>65</v>
      </c>
      <c r="K16" s="2">
        <v>0</v>
      </c>
      <c r="L16" s="2">
        <f t="shared" si="0"/>
        <v>0</v>
      </c>
      <c r="M16" s="12">
        <f t="shared" si="1"/>
        <v>0</v>
      </c>
      <c r="N16" s="2">
        <f t="shared" si="2"/>
        <v>0</v>
      </c>
      <c r="O16" s="2">
        <v>0</v>
      </c>
      <c r="P16" s="2">
        <v>0</v>
      </c>
      <c r="Q16" s="13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13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13">
        <v>0</v>
      </c>
      <c r="AG16" s="2">
        <v>0</v>
      </c>
      <c r="AH16" s="2">
        <v>0</v>
      </c>
      <c r="AI16" s="2">
        <v>0</v>
      </c>
      <c r="AJ16" s="13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13">
        <v>0</v>
      </c>
      <c r="AS16" s="2">
        <v>0</v>
      </c>
      <c r="AT16" s="14">
        <v>0</v>
      </c>
      <c r="AU16" s="14">
        <v>0</v>
      </c>
      <c r="AV16" s="14">
        <v>0</v>
      </c>
      <c r="AW16" s="13">
        <v>0</v>
      </c>
      <c r="AX16" s="13">
        <v>0</v>
      </c>
      <c r="AY16" s="13">
        <v>0</v>
      </c>
      <c r="AZ16" s="2">
        <v>0</v>
      </c>
      <c r="BA16" s="2">
        <v>0</v>
      </c>
      <c r="BB16" s="2">
        <v>0</v>
      </c>
      <c r="BC16" s="15">
        <v>0</v>
      </c>
      <c r="BD16" s="13">
        <v>0</v>
      </c>
      <c r="BE16" s="13">
        <v>0</v>
      </c>
    </row>
    <row r="17" s="1" customFormat="1" customHeight="1" spans="1:57">
      <c r="A17" s="2" t="s">
        <v>87</v>
      </c>
      <c r="B17" s="2"/>
      <c r="C17" s="2" t="s">
        <v>58</v>
      </c>
      <c r="D17" s="2" t="s">
        <v>59</v>
      </c>
      <c r="E17" s="2" t="s">
        <v>60</v>
      </c>
      <c r="F17" s="2" t="s">
        <v>74</v>
      </c>
      <c r="G17" s="2" t="s">
        <v>75</v>
      </c>
      <c r="H17" s="2" t="s">
        <v>63</v>
      </c>
      <c r="I17" s="2" t="s">
        <v>64</v>
      </c>
      <c r="J17" s="2" t="s">
        <v>65</v>
      </c>
      <c r="K17" s="2">
        <v>143.05</v>
      </c>
      <c r="L17" s="2">
        <f t="shared" si="0"/>
        <v>-74.9303</v>
      </c>
      <c r="M17" s="12">
        <f t="shared" si="1"/>
        <v>1.52380496329955</v>
      </c>
      <c r="N17" s="2">
        <f t="shared" si="2"/>
        <v>0</v>
      </c>
      <c r="O17" s="2">
        <v>-66.31</v>
      </c>
      <c r="P17" s="2">
        <v>-19.83</v>
      </c>
      <c r="Q17" s="13">
        <v>-46.48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13">
        <v>-46.48</v>
      </c>
      <c r="X17" s="2">
        <v>1.82</v>
      </c>
      <c r="Y17" s="2">
        <v>0</v>
      </c>
      <c r="Z17" s="2">
        <v>2.49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13">
        <v>4.31</v>
      </c>
      <c r="AG17" s="2">
        <v>0</v>
      </c>
      <c r="AH17" s="2">
        <v>0</v>
      </c>
      <c r="AI17" s="2">
        <v>0</v>
      </c>
      <c r="AJ17" s="13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13">
        <v>0</v>
      </c>
      <c r="AS17" s="2">
        <v>0</v>
      </c>
      <c r="AT17" s="14">
        <v>0</v>
      </c>
      <c r="AU17" s="14">
        <v>0</v>
      </c>
      <c r="AV17" s="14">
        <v>0</v>
      </c>
      <c r="AW17" s="13">
        <v>0</v>
      </c>
      <c r="AX17" s="13">
        <v>4.31</v>
      </c>
      <c r="AY17" s="13">
        <v>-50.79</v>
      </c>
      <c r="AZ17" s="2">
        <v>0</v>
      </c>
      <c r="BA17" s="2">
        <v>0</v>
      </c>
      <c r="BB17" s="2">
        <v>0</v>
      </c>
      <c r="BC17" s="15">
        <v>0</v>
      </c>
      <c r="BD17" s="13">
        <v>0</v>
      </c>
      <c r="BE17" s="13">
        <v>-50.79</v>
      </c>
    </row>
    <row r="18" s="1" customFormat="1" customHeight="1" spans="1:57">
      <c r="A18" s="2" t="s">
        <v>87</v>
      </c>
      <c r="B18" s="2"/>
      <c r="C18" s="2" t="s">
        <v>58</v>
      </c>
      <c r="D18" s="2" t="s">
        <v>59</v>
      </c>
      <c r="E18" s="2" t="s">
        <v>60</v>
      </c>
      <c r="F18" s="2" t="s">
        <v>76</v>
      </c>
      <c r="G18" s="2" t="s">
        <v>77</v>
      </c>
      <c r="H18" s="2" t="s">
        <v>63</v>
      </c>
      <c r="I18" s="2" t="s">
        <v>64</v>
      </c>
      <c r="J18" s="2" t="s">
        <v>65</v>
      </c>
      <c r="K18" s="2">
        <v>0</v>
      </c>
      <c r="L18" s="2">
        <f t="shared" si="0"/>
        <v>0</v>
      </c>
      <c r="M18" s="12">
        <f t="shared" si="1"/>
        <v>0</v>
      </c>
      <c r="N18" s="2">
        <f t="shared" si="2"/>
        <v>0</v>
      </c>
      <c r="O18" s="2">
        <v>0</v>
      </c>
      <c r="P18" s="2">
        <v>0</v>
      </c>
      <c r="Q18" s="13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13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13">
        <v>0</v>
      </c>
      <c r="AG18" s="2">
        <v>0</v>
      </c>
      <c r="AH18" s="2">
        <v>0</v>
      </c>
      <c r="AI18" s="2">
        <v>0</v>
      </c>
      <c r="AJ18" s="13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13">
        <v>0</v>
      </c>
      <c r="AS18" s="2">
        <v>0</v>
      </c>
      <c r="AT18" s="14">
        <v>0</v>
      </c>
      <c r="AU18" s="14">
        <v>0</v>
      </c>
      <c r="AV18" s="14">
        <v>0</v>
      </c>
      <c r="AW18" s="13">
        <v>0</v>
      </c>
      <c r="AX18" s="13">
        <v>0</v>
      </c>
      <c r="AY18" s="13">
        <v>0</v>
      </c>
      <c r="AZ18" s="2">
        <v>0</v>
      </c>
      <c r="BA18" s="2">
        <v>0</v>
      </c>
      <c r="BB18" s="2">
        <v>0</v>
      </c>
      <c r="BC18" s="15">
        <v>0</v>
      </c>
      <c r="BD18" s="13">
        <v>0</v>
      </c>
      <c r="BE18" s="13">
        <v>0</v>
      </c>
    </row>
    <row r="19" s="1" customFormat="1" customHeight="1" spans="1:57">
      <c r="A19" s="2" t="s">
        <v>87</v>
      </c>
      <c r="B19" s="2"/>
      <c r="C19" s="2" t="s">
        <v>58</v>
      </c>
      <c r="D19" s="2" t="s">
        <v>59</v>
      </c>
      <c r="E19" s="2" t="s">
        <v>60</v>
      </c>
      <c r="F19" s="2" t="s">
        <v>78</v>
      </c>
      <c r="G19" s="2" t="s">
        <v>79</v>
      </c>
      <c r="H19" s="2" t="s">
        <v>63</v>
      </c>
      <c r="I19" s="2" t="s">
        <v>64</v>
      </c>
      <c r="J19" s="2" t="s">
        <v>65</v>
      </c>
      <c r="K19" s="2">
        <v>2139.68</v>
      </c>
      <c r="L19" s="2">
        <f t="shared" si="0"/>
        <v>2139.6776</v>
      </c>
      <c r="M19" s="12">
        <f t="shared" si="1"/>
        <v>1.12166305232808e-6</v>
      </c>
      <c r="N19" s="2">
        <f t="shared" si="2"/>
        <v>0</v>
      </c>
      <c r="O19" s="2">
        <v>1893.52</v>
      </c>
      <c r="P19" s="2">
        <v>460.11</v>
      </c>
      <c r="Q19" s="13">
        <v>1433.41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13">
        <v>1433.41</v>
      </c>
      <c r="X19" s="2">
        <v>0</v>
      </c>
      <c r="Y19" s="2">
        <v>0</v>
      </c>
      <c r="Z19" s="2">
        <v>20.47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13">
        <v>20.47</v>
      </c>
      <c r="AG19" s="2">
        <v>0</v>
      </c>
      <c r="AH19" s="2">
        <v>0</v>
      </c>
      <c r="AI19" s="2">
        <v>0</v>
      </c>
      <c r="AJ19" s="13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13">
        <v>0</v>
      </c>
      <c r="AS19" s="2">
        <v>0</v>
      </c>
      <c r="AT19" s="14">
        <v>0</v>
      </c>
      <c r="AU19" s="14">
        <v>0</v>
      </c>
      <c r="AV19" s="14">
        <v>0</v>
      </c>
      <c r="AW19" s="13">
        <v>0</v>
      </c>
      <c r="AX19" s="13">
        <v>20.47</v>
      </c>
      <c r="AY19" s="13">
        <v>1412.94</v>
      </c>
      <c r="AZ19" s="2">
        <v>0</v>
      </c>
      <c r="BA19" s="2">
        <v>0</v>
      </c>
      <c r="BB19" s="2">
        <v>0</v>
      </c>
      <c r="BC19" s="15">
        <v>0</v>
      </c>
      <c r="BD19" s="13">
        <v>0</v>
      </c>
      <c r="BE19" s="13">
        <v>1412.94</v>
      </c>
    </row>
    <row r="20" s="1" customFormat="1" customHeight="1" spans="1:57">
      <c r="A20" s="2" t="s">
        <v>87</v>
      </c>
      <c r="B20" s="2"/>
      <c r="C20" s="2" t="s">
        <v>58</v>
      </c>
      <c r="D20" s="2" t="s">
        <v>59</v>
      </c>
      <c r="E20" s="2" t="s">
        <v>60</v>
      </c>
      <c r="F20" s="2" t="s">
        <v>80</v>
      </c>
      <c r="G20" s="2" t="s">
        <v>81</v>
      </c>
      <c r="H20" s="2" t="s">
        <v>63</v>
      </c>
      <c r="I20" s="2" t="s">
        <v>64</v>
      </c>
      <c r="J20" s="2" t="s">
        <v>65</v>
      </c>
      <c r="K20" s="2">
        <v>0</v>
      </c>
      <c r="L20" s="2">
        <f t="shared" si="0"/>
        <v>0</v>
      </c>
      <c r="M20" s="12">
        <f t="shared" si="1"/>
        <v>0</v>
      </c>
      <c r="N20" s="2">
        <f t="shared" si="2"/>
        <v>0</v>
      </c>
      <c r="O20" s="2">
        <v>0</v>
      </c>
      <c r="P20" s="2">
        <v>0</v>
      </c>
      <c r="Q20" s="13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13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13">
        <v>0</v>
      </c>
      <c r="AG20" s="2">
        <v>0</v>
      </c>
      <c r="AH20" s="2">
        <v>0</v>
      </c>
      <c r="AI20" s="2">
        <v>0</v>
      </c>
      <c r="AJ20" s="13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13">
        <v>0</v>
      </c>
      <c r="AS20" s="2">
        <v>20000</v>
      </c>
      <c r="AT20" s="14">
        <v>0</v>
      </c>
      <c r="AU20" s="14">
        <v>0</v>
      </c>
      <c r="AV20" s="14">
        <v>0</v>
      </c>
      <c r="AW20" s="13">
        <v>20000</v>
      </c>
      <c r="AX20" s="13">
        <v>20000</v>
      </c>
      <c r="AY20" s="13">
        <v>-20000</v>
      </c>
      <c r="AZ20" s="2">
        <v>0</v>
      </c>
      <c r="BA20" s="2">
        <v>0</v>
      </c>
      <c r="BB20" s="2">
        <v>0</v>
      </c>
      <c r="BC20" s="15">
        <v>0</v>
      </c>
      <c r="BD20" s="13">
        <v>0</v>
      </c>
      <c r="BE20" s="13">
        <v>-20000</v>
      </c>
    </row>
    <row r="21" s="1" customFormat="1" customHeight="1" spans="1:57">
      <c r="A21" s="2" t="s">
        <v>87</v>
      </c>
      <c r="B21" s="2"/>
      <c r="C21" s="2" t="s">
        <v>82</v>
      </c>
      <c r="D21" s="2" t="s">
        <v>83</v>
      </c>
      <c r="E21" s="2" t="s">
        <v>60</v>
      </c>
      <c r="F21" s="2" t="s">
        <v>84</v>
      </c>
      <c r="G21" s="2" t="s">
        <v>85</v>
      </c>
      <c r="H21" s="2" t="s">
        <v>86</v>
      </c>
      <c r="I21" s="2" t="s">
        <v>64</v>
      </c>
      <c r="J21" s="2" t="s">
        <v>65</v>
      </c>
      <c r="K21" s="2">
        <v>488870.61</v>
      </c>
      <c r="L21" s="2">
        <f t="shared" si="0"/>
        <v>370145.3651</v>
      </c>
      <c r="M21" s="12">
        <f t="shared" si="1"/>
        <v>0.242856171902009</v>
      </c>
      <c r="N21" s="2">
        <f t="shared" si="2"/>
        <v>4.00546759178389</v>
      </c>
      <c r="O21" s="2">
        <v>327562.27</v>
      </c>
      <c r="P21" s="2">
        <v>146961.52</v>
      </c>
      <c r="Q21" s="13">
        <v>180600.75</v>
      </c>
      <c r="R21" s="2">
        <v>11861.3451327434</v>
      </c>
      <c r="S21" s="2">
        <v>0</v>
      </c>
      <c r="T21" s="2">
        <v>0</v>
      </c>
      <c r="U21" s="2">
        <v>0</v>
      </c>
      <c r="V21" s="2">
        <v>0</v>
      </c>
      <c r="W21" s="13">
        <v>168739.404867257</v>
      </c>
      <c r="X21" s="2">
        <v>0</v>
      </c>
      <c r="Y21" s="2">
        <v>87179.27</v>
      </c>
      <c r="Z21" s="2">
        <v>62704.98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13">
        <v>149884.25</v>
      </c>
      <c r="AG21" s="2">
        <v>0</v>
      </c>
      <c r="AH21" s="2">
        <v>20000</v>
      </c>
      <c r="AI21" s="2">
        <v>10000</v>
      </c>
      <c r="AJ21" s="13">
        <v>30000</v>
      </c>
      <c r="AK21" s="2">
        <v>0</v>
      </c>
      <c r="AL21" s="2">
        <v>4684.848</v>
      </c>
      <c r="AM21" s="2">
        <v>0</v>
      </c>
      <c r="AN21" s="2">
        <v>10765.776</v>
      </c>
      <c r="AO21" s="2">
        <v>0</v>
      </c>
      <c r="AP21" s="2">
        <v>0</v>
      </c>
      <c r="AQ21" s="2">
        <v>4984.728</v>
      </c>
      <c r="AR21" s="13">
        <v>20435.352</v>
      </c>
      <c r="AS21" s="2">
        <v>35545.788</v>
      </c>
      <c r="AT21" s="14">
        <v>0</v>
      </c>
      <c r="AU21" s="14">
        <v>0</v>
      </c>
      <c r="AV21" s="14">
        <v>0</v>
      </c>
      <c r="AW21" s="13">
        <v>35545.788</v>
      </c>
      <c r="AX21" s="13">
        <v>244072.937</v>
      </c>
      <c r="AY21" s="13">
        <v>-75333.5321327434</v>
      </c>
      <c r="AZ21" s="2">
        <v>0</v>
      </c>
      <c r="BA21" s="2">
        <v>2830.188</v>
      </c>
      <c r="BB21" s="2">
        <v>0</v>
      </c>
      <c r="BC21" s="15">
        <v>0</v>
      </c>
      <c r="BD21" s="13">
        <v>2830.188</v>
      </c>
      <c r="BE21" s="13">
        <v>-78163.7201327434</v>
      </c>
    </row>
    <row r="22" s="1" customFormat="1" customHeight="1" spans="1:57">
      <c r="A22" s="2" t="s">
        <v>88</v>
      </c>
      <c r="B22" s="2"/>
      <c r="C22" s="2" t="s">
        <v>58</v>
      </c>
      <c r="D22" s="2" t="s">
        <v>59</v>
      </c>
      <c r="E22" s="2" t="s">
        <v>60</v>
      </c>
      <c r="F22" s="2" t="s">
        <v>61</v>
      </c>
      <c r="G22" s="2" t="s">
        <v>62</v>
      </c>
      <c r="H22" s="2" t="s">
        <v>63</v>
      </c>
      <c r="I22" s="2" t="s">
        <v>64</v>
      </c>
      <c r="J22" s="2" t="s">
        <v>65</v>
      </c>
      <c r="K22" s="2">
        <v>663422.67</v>
      </c>
      <c r="L22" s="2">
        <f t="shared" si="0"/>
        <v>474879.8332</v>
      </c>
      <c r="M22" s="12">
        <f t="shared" si="1"/>
        <v>0.284197157145685</v>
      </c>
      <c r="N22" s="2">
        <f t="shared" si="2"/>
        <v>4.27778700682383</v>
      </c>
      <c r="O22" s="2">
        <v>420247.64</v>
      </c>
      <c r="P22" s="2">
        <v>155823.82</v>
      </c>
      <c r="Q22" s="13">
        <v>264423.82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13">
        <v>264423.82</v>
      </c>
      <c r="X22" s="2">
        <v>4880.49</v>
      </c>
      <c r="Y22" s="2">
        <v>104727.01</v>
      </c>
      <c r="Z22" s="2">
        <v>17579.92</v>
      </c>
      <c r="AA22" s="2">
        <v>32749.66</v>
      </c>
      <c r="AB22" s="2">
        <v>28858.48453</v>
      </c>
      <c r="AC22" s="2">
        <v>-5093.1</v>
      </c>
      <c r="AD22" s="2">
        <v>0</v>
      </c>
      <c r="AE22" s="2">
        <v>0</v>
      </c>
      <c r="AF22" s="13">
        <v>183702.46453</v>
      </c>
      <c r="AG22" s="2">
        <v>0</v>
      </c>
      <c r="AH22" s="2">
        <v>30000</v>
      </c>
      <c r="AI22" s="2">
        <v>14000</v>
      </c>
      <c r="AJ22" s="13">
        <v>44000</v>
      </c>
      <c r="AK22" s="2">
        <v>9150.89</v>
      </c>
      <c r="AL22" s="2">
        <v>14980.44</v>
      </c>
      <c r="AM22" s="2">
        <v>0</v>
      </c>
      <c r="AN22" s="2">
        <v>15980.5</v>
      </c>
      <c r="AO22" s="2">
        <v>0</v>
      </c>
      <c r="AP22" s="2">
        <v>0</v>
      </c>
      <c r="AQ22" s="2">
        <v>6807.91</v>
      </c>
      <c r="AR22" s="13">
        <v>46919.74</v>
      </c>
      <c r="AS22" s="2">
        <v>55638.4</v>
      </c>
      <c r="AT22" s="14">
        <v>0</v>
      </c>
      <c r="AU22" s="14">
        <v>0</v>
      </c>
      <c r="AV22" s="14">
        <v>0</v>
      </c>
      <c r="AW22" s="13">
        <v>55638.4</v>
      </c>
      <c r="AX22" s="13">
        <v>282331.705</v>
      </c>
      <c r="AY22" s="13">
        <v>-17907.885</v>
      </c>
      <c r="AZ22" s="2">
        <v>0</v>
      </c>
      <c r="BA22" s="2">
        <v>4716.98</v>
      </c>
      <c r="BB22" s="2">
        <v>0</v>
      </c>
      <c r="BC22" s="15">
        <v>0</v>
      </c>
      <c r="BD22" s="13">
        <v>4716.98</v>
      </c>
      <c r="BE22" s="13">
        <v>-22624.865</v>
      </c>
    </row>
    <row r="23" s="1" customFormat="1" customHeight="1" spans="1:57">
      <c r="A23" s="2" t="s">
        <v>88</v>
      </c>
      <c r="B23" s="2"/>
      <c r="C23" s="2" t="s">
        <v>58</v>
      </c>
      <c r="D23" s="2" t="s">
        <v>59</v>
      </c>
      <c r="E23" s="2" t="s">
        <v>60</v>
      </c>
      <c r="F23" s="2" t="s">
        <v>66</v>
      </c>
      <c r="G23" s="2" t="s">
        <v>67</v>
      </c>
      <c r="H23" s="2" t="s">
        <v>63</v>
      </c>
      <c r="I23" s="2" t="s">
        <v>64</v>
      </c>
      <c r="J23" s="2" t="s">
        <v>65</v>
      </c>
      <c r="K23" s="2">
        <v>24091.99</v>
      </c>
      <c r="L23" s="2">
        <f t="shared" si="0"/>
        <v>23813.4392</v>
      </c>
      <c r="M23" s="12">
        <f t="shared" si="1"/>
        <v>0.0115619672762609</v>
      </c>
      <c r="N23" s="2">
        <f t="shared" si="2"/>
        <v>3.41095042569417</v>
      </c>
      <c r="O23" s="2">
        <v>21073.84</v>
      </c>
      <c r="P23" s="2">
        <v>6994.97</v>
      </c>
      <c r="Q23" s="13">
        <v>14078.87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13">
        <v>14078.87</v>
      </c>
      <c r="X23" s="2">
        <v>832.44</v>
      </c>
      <c r="Y23" s="2">
        <v>6586.29</v>
      </c>
      <c r="Z23" s="2">
        <v>3486.03</v>
      </c>
      <c r="AA23" s="2">
        <v>0</v>
      </c>
      <c r="AB23" s="2">
        <v>0</v>
      </c>
      <c r="AC23" s="2">
        <v>-1153.3</v>
      </c>
      <c r="AD23" s="2">
        <v>0</v>
      </c>
      <c r="AE23" s="2">
        <v>0</v>
      </c>
      <c r="AF23" s="13">
        <v>9751.46</v>
      </c>
      <c r="AG23" s="2">
        <v>0</v>
      </c>
      <c r="AH23" s="2">
        <v>0</v>
      </c>
      <c r="AI23" s="2">
        <v>0</v>
      </c>
      <c r="AJ23" s="13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13">
        <v>0</v>
      </c>
      <c r="AS23" s="2">
        <v>0</v>
      </c>
      <c r="AT23" s="14">
        <v>0</v>
      </c>
      <c r="AU23" s="14">
        <v>0</v>
      </c>
      <c r="AV23" s="14">
        <v>0</v>
      </c>
      <c r="AW23" s="13">
        <v>0</v>
      </c>
      <c r="AX23" s="13">
        <v>9751.46</v>
      </c>
      <c r="AY23" s="13">
        <v>4327.41</v>
      </c>
      <c r="AZ23" s="2">
        <v>0</v>
      </c>
      <c r="BA23" s="2">
        <v>0</v>
      </c>
      <c r="BB23" s="2">
        <v>0</v>
      </c>
      <c r="BC23" s="15">
        <v>0</v>
      </c>
      <c r="BD23" s="13">
        <v>0</v>
      </c>
      <c r="BE23" s="13">
        <v>4327.41</v>
      </c>
    </row>
    <row r="24" s="1" customFormat="1" customHeight="1" spans="1:57">
      <c r="A24" s="2" t="s">
        <v>88</v>
      </c>
      <c r="B24" s="2"/>
      <c r="C24" s="2" t="s">
        <v>58</v>
      </c>
      <c r="D24" s="2" t="s">
        <v>59</v>
      </c>
      <c r="E24" s="2" t="s">
        <v>60</v>
      </c>
      <c r="F24" s="2" t="s">
        <v>68</v>
      </c>
      <c r="G24" s="2" t="s">
        <v>69</v>
      </c>
      <c r="H24" s="2" t="s">
        <v>63</v>
      </c>
      <c r="I24" s="2" t="s">
        <v>64</v>
      </c>
      <c r="J24" s="2" t="s">
        <v>65</v>
      </c>
      <c r="K24" s="2">
        <v>750875.91</v>
      </c>
      <c r="L24" s="2">
        <f t="shared" si="0"/>
        <v>501447.6587</v>
      </c>
      <c r="M24" s="12">
        <f t="shared" si="1"/>
        <v>0.332183051790808</v>
      </c>
      <c r="N24" s="2">
        <f t="shared" si="2"/>
        <v>4.2011732476812</v>
      </c>
      <c r="O24" s="2">
        <v>443758.99</v>
      </c>
      <c r="P24" s="2">
        <v>164388.97</v>
      </c>
      <c r="Q24" s="13">
        <v>279370.02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13">
        <v>279370.02</v>
      </c>
      <c r="X24" s="2">
        <v>9698.79</v>
      </c>
      <c r="Y24" s="2">
        <v>112602.79</v>
      </c>
      <c r="Z24" s="2">
        <v>45450.46</v>
      </c>
      <c r="AA24" s="2">
        <v>114279.52</v>
      </c>
      <c r="AB24" s="2">
        <v>0</v>
      </c>
      <c r="AC24" s="2">
        <v>-6199.33</v>
      </c>
      <c r="AD24" s="2">
        <v>0</v>
      </c>
      <c r="AE24" s="2">
        <v>0</v>
      </c>
      <c r="AF24" s="13">
        <v>275832.23</v>
      </c>
      <c r="AG24" s="2">
        <v>0</v>
      </c>
      <c r="AH24" s="2">
        <v>13317.4318113208</v>
      </c>
      <c r="AI24" s="2">
        <v>5669.96735849056</v>
      </c>
      <c r="AJ24" s="13">
        <v>18987.3991698113</v>
      </c>
      <c r="AK24" s="2">
        <v>3660.356</v>
      </c>
      <c r="AL24" s="2">
        <v>8988.264</v>
      </c>
      <c r="AM24" s="2">
        <v>0</v>
      </c>
      <c r="AN24" s="2">
        <v>9588.3</v>
      </c>
      <c r="AO24" s="2">
        <v>0</v>
      </c>
      <c r="AP24" s="2">
        <v>0</v>
      </c>
      <c r="AQ24" s="2">
        <v>4084.746</v>
      </c>
      <c r="AR24" s="13">
        <v>26321.666</v>
      </c>
      <c r="AS24" s="2">
        <v>25953.04</v>
      </c>
      <c r="AT24" s="14">
        <v>0</v>
      </c>
      <c r="AU24" s="14">
        <v>0</v>
      </c>
      <c r="AV24" s="14">
        <v>0</v>
      </c>
      <c r="AW24" s="13">
        <v>25953.04</v>
      </c>
      <c r="AX24" s="13">
        <v>385377.683169811</v>
      </c>
      <c r="AY24" s="13">
        <v>-106007.663169811</v>
      </c>
      <c r="AZ24" s="2">
        <v>0</v>
      </c>
      <c r="BA24" s="2">
        <v>1886.792</v>
      </c>
      <c r="BB24" s="2">
        <v>0</v>
      </c>
      <c r="BC24" s="15">
        <v>0</v>
      </c>
      <c r="BD24" s="13">
        <v>1886.792</v>
      </c>
      <c r="BE24" s="13">
        <v>-107894.455169811</v>
      </c>
    </row>
    <row r="25" s="1" customFormat="1" customHeight="1" spans="1:57">
      <c r="A25" s="2" t="s">
        <v>88</v>
      </c>
      <c r="B25" s="2"/>
      <c r="C25" s="2" t="s">
        <v>58</v>
      </c>
      <c r="D25" s="2" t="s">
        <v>59</v>
      </c>
      <c r="E25" s="2" t="s">
        <v>60</v>
      </c>
      <c r="F25" s="2" t="s">
        <v>70</v>
      </c>
      <c r="G25" s="2" t="s">
        <v>71</v>
      </c>
      <c r="H25" s="2" t="s">
        <v>63</v>
      </c>
      <c r="I25" s="2" t="s">
        <v>64</v>
      </c>
      <c r="J25" s="2" t="s">
        <v>65</v>
      </c>
      <c r="K25" s="2">
        <v>0</v>
      </c>
      <c r="L25" s="2">
        <f t="shared" si="0"/>
        <v>0</v>
      </c>
      <c r="M25" s="12">
        <f t="shared" si="1"/>
        <v>0</v>
      </c>
      <c r="N25" s="2">
        <f t="shared" si="2"/>
        <v>0</v>
      </c>
      <c r="O25" s="2">
        <v>0</v>
      </c>
      <c r="P25" s="2">
        <v>0</v>
      </c>
      <c r="Q25" s="13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13">
        <v>0</v>
      </c>
      <c r="X25" s="2">
        <v>0</v>
      </c>
      <c r="Y25" s="2">
        <v>0</v>
      </c>
      <c r="Z25" s="2">
        <v>16981.13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13">
        <v>16981.13</v>
      </c>
      <c r="AG25" s="2">
        <v>0</v>
      </c>
      <c r="AH25" s="2">
        <v>0</v>
      </c>
      <c r="AI25" s="2">
        <v>0</v>
      </c>
      <c r="AJ25" s="13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13">
        <v>0</v>
      </c>
      <c r="AS25" s="2">
        <v>0</v>
      </c>
      <c r="AT25" s="14">
        <v>0</v>
      </c>
      <c r="AU25" s="14">
        <v>0</v>
      </c>
      <c r="AV25" s="14">
        <v>0</v>
      </c>
      <c r="AW25" s="13">
        <v>0</v>
      </c>
      <c r="AX25" s="13">
        <v>16981.13</v>
      </c>
      <c r="AY25" s="13">
        <v>-16981.13</v>
      </c>
      <c r="AZ25" s="2">
        <v>0</v>
      </c>
      <c r="BA25" s="2">
        <v>0</v>
      </c>
      <c r="BB25" s="2">
        <v>0</v>
      </c>
      <c r="BC25" s="15">
        <v>0</v>
      </c>
      <c r="BD25" s="13">
        <v>0</v>
      </c>
      <c r="BE25" s="13">
        <v>-16981.13</v>
      </c>
    </row>
    <row r="26" s="1" customFormat="1" customHeight="1" spans="1:57">
      <c r="A26" s="2" t="s">
        <v>88</v>
      </c>
      <c r="B26" s="2"/>
      <c r="C26" s="2" t="s">
        <v>58</v>
      </c>
      <c r="D26" s="2" t="s">
        <v>59</v>
      </c>
      <c r="E26" s="2" t="s">
        <v>60</v>
      </c>
      <c r="F26" s="2" t="s">
        <v>72</v>
      </c>
      <c r="G26" s="2" t="s">
        <v>73</v>
      </c>
      <c r="H26" s="2" t="s">
        <v>63</v>
      </c>
      <c r="I26" s="2" t="s">
        <v>64</v>
      </c>
      <c r="J26" s="2" t="s">
        <v>65</v>
      </c>
      <c r="K26" s="2">
        <v>0</v>
      </c>
      <c r="L26" s="2">
        <f t="shared" si="0"/>
        <v>0</v>
      </c>
      <c r="M26" s="12">
        <f t="shared" si="1"/>
        <v>0</v>
      </c>
      <c r="N26" s="2">
        <f t="shared" si="2"/>
        <v>0</v>
      </c>
      <c r="O26" s="2">
        <v>0</v>
      </c>
      <c r="P26" s="2">
        <v>0</v>
      </c>
      <c r="Q26" s="13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13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13">
        <v>0</v>
      </c>
      <c r="AG26" s="2">
        <v>0</v>
      </c>
      <c r="AH26" s="2">
        <v>0</v>
      </c>
      <c r="AI26" s="2">
        <v>0</v>
      </c>
      <c r="AJ26" s="13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13">
        <v>0</v>
      </c>
      <c r="AS26" s="2">
        <v>0</v>
      </c>
      <c r="AT26" s="14">
        <v>0</v>
      </c>
      <c r="AU26" s="14">
        <v>0</v>
      </c>
      <c r="AV26" s="14">
        <v>0</v>
      </c>
      <c r="AW26" s="13">
        <v>0</v>
      </c>
      <c r="AX26" s="13">
        <v>0</v>
      </c>
      <c r="AY26" s="13">
        <v>0</v>
      </c>
      <c r="AZ26" s="2">
        <v>0</v>
      </c>
      <c r="BA26" s="2">
        <v>0</v>
      </c>
      <c r="BB26" s="2">
        <v>0</v>
      </c>
      <c r="BC26" s="15">
        <v>0</v>
      </c>
      <c r="BD26" s="13">
        <v>0</v>
      </c>
      <c r="BE26" s="13">
        <v>0</v>
      </c>
    </row>
    <row r="27" s="1" customFormat="1" customHeight="1" spans="1:57">
      <c r="A27" s="2" t="s">
        <v>88</v>
      </c>
      <c r="B27" s="2"/>
      <c r="C27" s="2" t="s">
        <v>58</v>
      </c>
      <c r="D27" s="2" t="s">
        <v>59</v>
      </c>
      <c r="E27" s="2" t="s">
        <v>60</v>
      </c>
      <c r="F27" s="2" t="s">
        <v>74</v>
      </c>
      <c r="G27" s="2" t="s">
        <v>75</v>
      </c>
      <c r="H27" s="2" t="s">
        <v>63</v>
      </c>
      <c r="I27" s="2" t="s">
        <v>64</v>
      </c>
      <c r="J27" s="2" t="s">
        <v>65</v>
      </c>
      <c r="K27" s="2">
        <v>703.8</v>
      </c>
      <c r="L27" s="2">
        <f t="shared" si="0"/>
        <v>137.069</v>
      </c>
      <c r="M27" s="12">
        <f t="shared" si="1"/>
        <v>0.805244387610117</v>
      </c>
      <c r="N27" s="2">
        <f t="shared" si="2"/>
        <v>0</v>
      </c>
      <c r="O27" s="2">
        <v>121.3</v>
      </c>
      <c r="P27" s="2">
        <v>59.46</v>
      </c>
      <c r="Q27" s="13">
        <v>61.84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13">
        <v>61.84</v>
      </c>
      <c r="X27" s="2">
        <v>3.05</v>
      </c>
      <c r="Y27" s="2">
        <v>0</v>
      </c>
      <c r="Z27" s="2">
        <v>19033.5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13">
        <v>19036.55</v>
      </c>
      <c r="AG27" s="2">
        <v>0</v>
      </c>
      <c r="AH27" s="2">
        <v>0</v>
      </c>
      <c r="AI27" s="2">
        <v>0</v>
      </c>
      <c r="AJ27" s="13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13">
        <v>0</v>
      </c>
      <c r="AS27" s="2">
        <v>0</v>
      </c>
      <c r="AT27" s="14">
        <v>0</v>
      </c>
      <c r="AU27" s="14">
        <v>0</v>
      </c>
      <c r="AV27" s="14">
        <v>0</v>
      </c>
      <c r="AW27" s="13">
        <v>0</v>
      </c>
      <c r="AX27" s="13">
        <v>19036.55</v>
      </c>
      <c r="AY27" s="13">
        <v>-18974.71</v>
      </c>
      <c r="AZ27" s="2">
        <v>0</v>
      </c>
      <c r="BA27" s="2">
        <v>0</v>
      </c>
      <c r="BB27" s="2">
        <v>0</v>
      </c>
      <c r="BC27" s="15">
        <v>0</v>
      </c>
      <c r="BD27" s="13">
        <v>0</v>
      </c>
      <c r="BE27" s="13">
        <v>-18974.71</v>
      </c>
    </row>
    <row r="28" s="1" customFormat="1" customHeight="1" spans="1:57">
      <c r="A28" s="2" t="s">
        <v>88</v>
      </c>
      <c r="B28" s="2"/>
      <c r="C28" s="2" t="s">
        <v>58</v>
      </c>
      <c r="D28" s="2" t="s">
        <v>59</v>
      </c>
      <c r="E28" s="2" t="s">
        <v>60</v>
      </c>
      <c r="F28" s="2" t="s">
        <v>76</v>
      </c>
      <c r="G28" s="2" t="s">
        <v>77</v>
      </c>
      <c r="H28" s="2" t="s">
        <v>63</v>
      </c>
      <c r="I28" s="2" t="s">
        <v>64</v>
      </c>
      <c r="J28" s="2" t="s">
        <v>65</v>
      </c>
      <c r="K28" s="2">
        <v>0</v>
      </c>
      <c r="L28" s="2">
        <f t="shared" si="0"/>
        <v>-584.097</v>
      </c>
      <c r="M28" s="12">
        <f t="shared" si="1"/>
        <v>0</v>
      </c>
      <c r="N28" s="2">
        <f t="shared" si="2"/>
        <v>0</v>
      </c>
      <c r="O28" s="2">
        <v>-516.9</v>
      </c>
      <c r="P28" s="2">
        <v>-200.18</v>
      </c>
      <c r="Q28" s="13">
        <v>-316.72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13">
        <v>-316.72</v>
      </c>
      <c r="X28" s="2">
        <v>0</v>
      </c>
      <c r="Y28" s="2">
        <v>0</v>
      </c>
      <c r="Z28" s="2">
        <v>5243.42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13">
        <v>5243.42</v>
      </c>
      <c r="AG28" s="2">
        <v>0</v>
      </c>
      <c r="AH28" s="2">
        <v>0</v>
      </c>
      <c r="AI28" s="2">
        <v>0</v>
      </c>
      <c r="AJ28" s="13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13">
        <v>0</v>
      </c>
      <c r="AS28" s="2">
        <v>0</v>
      </c>
      <c r="AT28" s="14">
        <v>0</v>
      </c>
      <c r="AU28" s="14">
        <v>0</v>
      </c>
      <c r="AV28" s="14">
        <v>0</v>
      </c>
      <c r="AW28" s="13">
        <v>0</v>
      </c>
      <c r="AX28" s="13">
        <v>5243.42</v>
      </c>
      <c r="AY28" s="13">
        <v>-5560.14</v>
      </c>
      <c r="AZ28" s="2">
        <v>0</v>
      </c>
      <c r="BA28" s="2">
        <v>0</v>
      </c>
      <c r="BB28" s="2">
        <v>0</v>
      </c>
      <c r="BC28" s="15">
        <v>0</v>
      </c>
      <c r="BD28" s="13">
        <v>0</v>
      </c>
      <c r="BE28" s="13">
        <v>-5560.14</v>
      </c>
    </row>
    <row r="29" s="1" customFormat="1" customHeight="1" spans="1:57">
      <c r="A29" s="2" t="s">
        <v>88</v>
      </c>
      <c r="B29" s="2"/>
      <c r="C29" s="2" t="s">
        <v>58</v>
      </c>
      <c r="D29" s="2" t="s">
        <v>59</v>
      </c>
      <c r="E29" s="2" t="s">
        <v>60</v>
      </c>
      <c r="F29" s="2" t="s">
        <v>78</v>
      </c>
      <c r="G29" s="2" t="s">
        <v>79</v>
      </c>
      <c r="H29" s="2" t="s">
        <v>63</v>
      </c>
      <c r="I29" s="2" t="s">
        <v>64</v>
      </c>
      <c r="J29" s="2" t="s">
        <v>65</v>
      </c>
      <c r="K29" s="2">
        <v>1425.44</v>
      </c>
      <c r="L29" s="2">
        <f t="shared" si="0"/>
        <v>1425.4272</v>
      </c>
      <c r="M29" s="12">
        <f t="shared" si="1"/>
        <v>8.97968346624811e-6</v>
      </c>
      <c r="N29" s="2">
        <f t="shared" si="2"/>
        <v>0</v>
      </c>
      <c r="O29" s="2">
        <v>1261.44</v>
      </c>
      <c r="P29" s="2">
        <v>413.85</v>
      </c>
      <c r="Q29" s="13">
        <v>847.59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13">
        <v>847.59</v>
      </c>
      <c r="X29" s="2">
        <v>0</v>
      </c>
      <c r="Y29" s="2">
        <v>0</v>
      </c>
      <c r="Z29" s="2">
        <v>23.11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13">
        <v>23.11</v>
      </c>
      <c r="AG29" s="2">
        <v>0</v>
      </c>
      <c r="AH29" s="2">
        <v>0</v>
      </c>
      <c r="AI29" s="2">
        <v>0</v>
      </c>
      <c r="AJ29" s="13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13">
        <v>0</v>
      </c>
      <c r="AS29" s="2">
        <v>0</v>
      </c>
      <c r="AT29" s="14">
        <v>0</v>
      </c>
      <c r="AU29" s="14">
        <v>0</v>
      </c>
      <c r="AV29" s="14">
        <v>0</v>
      </c>
      <c r="AW29" s="13">
        <v>0</v>
      </c>
      <c r="AX29" s="13">
        <v>23.11</v>
      </c>
      <c r="AY29" s="13">
        <v>824.48</v>
      </c>
      <c r="AZ29" s="2">
        <v>0</v>
      </c>
      <c r="BA29" s="2">
        <v>0</v>
      </c>
      <c r="BB29" s="2">
        <v>0</v>
      </c>
      <c r="BC29" s="15">
        <v>0</v>
      </c>
      <c r="BD29" s="13">
        <v>0</v>
      </c>
      <c r="BE29" s="13">
        <v>824.48</v>
      </c>
    </row>
    <row r="30" s="1" customFormat="1" customHeight="1" spans="1:57">
      <c r="A30" s="2" t="s">
        <v>88</v>
      </c>
      <c r="B30" s="2"/>
      <c r="C30" s="2" t="s">
        <v>58</v>
      </c>
      <c r="D30" s="2" t="s">
        <v>59</v>
      </c>
      <c r="E30" s="2" t="s">
        <v>60</v>
      </c>
      <c r="F30" s="2" t="s">
        <v>80</v>
      </c>
      <c r="G30" s="2" t="s">
        <v>81</v>
      </c>
      <c r="H30" s="2" t="s">
        <v>63</v>
      </c>
      <c r="I30" s="2" t="s">
        <v>64</v>
      </c>
      <c r="J30" s="2" t="s">
        <v>65</v>
      </c>
      <c r="K30" s="2">
        <v>0</v>
      </c>
      <c r="L30" s="2">
        <f t="shared" si="0"/>
        <v>0</v>
      </c>
      <c r="M30" s="12">
        <f t="shared" si="1"/>
        <v>0</v>
      </c>
      <c r="N30" s="2">
        <f t="shared" si="2"/>
        <v>0</v>
      </c>
      <c r="O30" s="2">
        <v>0</v>
      </c>
      <c r="P30" s="2">
        <v>0</v>
      </c>
      <c r="Q30" s="13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13">
        <v>0</v>
      </c>
      <c r="X30" s="2">
        <v>0</v>
      </c>
      <c r="Y30" s="2">
        <v>0</v>
      </c>
      <c r="Z30" s="2">
        <v>22807.08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13">
        <v>22807.08</v>
      </c>
      <c r="AG30" s="2">
        <v>0</v>
      </c>
      <c r="AH30" s="2">
        <v>0</v>
      </c>
      <c r="AI30" s="2">
        <v>0</v>
      </c>
      <c r="AJ30" s="13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13">
        <v>0</v>
      </c>
      <c r="AS30" s="2">
        <v>20000</v>
      </c>
      <c r="AT30" s="14">
        <v>0</v>
      </c>
      <c r="AU30" s="14">
        <v>0</v>
      </c>
      <c r="AV30" s="14">
        <v>0</v>
      </c>
      <c r="AW30" s="13">
        <v>20000</v>
      </c>
      <c r="AX30" s="13">
        <v>42807.08</v>
      </c>
      <c r="AY30" s="13">
        <v>-42807.08</v>
      </c>
      <c r="AZ30" s="2">
        <v>0</v>
      </c>
      <c r="BA30" s="2">
        <v>0</v>
      </c>
      <c r="BB30" s="2">
        <v>0</v>
      </c>
      <c r="BC30" s="15">
        <v>0</v>
      </c>
      <c r="BD30" s="13">
        <v>0</v>
      </c>
      <c r="BE30" s="13">
        <v>-42807.08</v>
      </c>
    </row>
    <row r="31" s="1" customFormat="1" customHeight="1" spans="1:57">
      <c r="A31" s="2" t="s">
        <v>88</v>
      </c>
      <c r="B31" s="2"/>
      <c r="C31" s="2" t="s">
        <v>82</v>
      </c>
      <c r="D31" s="2" t="s">
        <v>83</v>
      </c>
      <c r="E31" s="2" t="s">
        <v>60</v>
      </c>
      <c r="F31" s="2" t="s">
        <v>84</v>
      </c>
      <c r="G31" s="2" t="s">
        <v>85</v>
      </c>
      <c r="H31" s="2" t="s">
        <v>86</v>
      </c>
      <c r="I31" s="2" t="s">
        <v>64</v>
      </c>
      <c r="J31" s="2" t="s">
        <v>65</v>
      </c>
      <c r="K31" s="2">
        <v>310169.38</v>
      </c>
      <c r="L31" s="2">
        <f t="shared" si="0"/>
        <v>235873.8383</v>
      </c>
      <c r="M31" s="12">
        <f t="shared" si="1"/>
        <v>0.239532160460198</v>
      </c>
      <c r="N31" s="2">
        <f t="shared" si="2"/>
        <v>3.34693212043142</v>
      </c>
      <c r="O31" s="2">
        <v>208737.91</v>
      </c>
      <c r="P31" s="2">
        <v>82543.16</v>
      </c>
      <c r="Q31" s="13">
        <v>126194.75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13">
        <v>126194.75</v>
      </c>
      <c r="X31" s="2">
        <v>0</v>
      </c>
      <c r="Y31" s="2">
        <v>66485.51</v>
      </c>
      <c r="Z31" s="2">
        <v>111728.79</v>
      </c>
      <c r="AA31" s="2">
        <v>0</v>
      </c>
      <c r="AB31" s="2">
        <v>0</v>
      </c>
      <c r="AC31" s="2">
        <v>0</v>
      </c>
      <c r="AD31" s="2">
        <v>0</v>
      </c>
      <c r="AE31" s="2">
        <v>34.41</v>
      </c>
      <c r="AF31" s="13">
        <v>178248.71</v>
      </c>
      <c r="AG31" s="2">
        <v>0</v>
      </c>
      <c r="AH31" s="2">
        <v>10000</v>
      </c>
      <c r="AI31" s="2">
        <v>8504.95103773584</v>
      </c>
      <c r="AJ31" s="13">
        <v>18504.9510377358</v>
      </c>
      <c r="AK31" s="2">
        <v>5490.534</v>
      </c>
      <c r="AL31" s="2">
        <v>5992.176</v>
      </c>
      <c r="AM31" s="2">
        <v>0</v>
      </c>
      <c r="AN31" s="2">
        <v>6392.2</v>
      </c>
      <c r="AO31" s="2">
        <v>0</v>
      </c>
      <c r="AP31" s="2">
        <v>0</v>
      </c>
      <c r="AQ31" s="2">
        <v>2723.164</v>
      </c>
      <c r="AR31" s="13">
        <v>20598.074</v>
      </c>
      <c r="AS31" s="2">
        <v>29785.36</v>
      </c>
      <c r="AT31" s="14">
        <v>0</v>
      </c>
      <c r="AU31" s="14">
        <v>0</v>
      </c>
      <c r="AV31" s="14">
        <v>0</v>
      </c>
      <c r="AW31" s="13">
        <v>29785.36</v>
      </c>
      <c r="AX31" s="13">
        <v>255344.642037736</v>
      </c>
      <c r="AY31" s="13">
        <v>-129149.892037736</v>
      </c>
      <c r="AZ31" s="2">
        <v>0</v>
      </c>
      <c r="BA31" s="2">
        <v>2830.188</v>
      </c>
      <c r="BB31" s="2">
        <v>0</v>
      </c>
      <c r="BC31" s="15">
        <v>0</v>
      </c>
      <c r="BD31" s="13">
        <v>2830.188</v>
      </c>
      <c r="BE31" s="13">
        <v>-131980.080037736</v>
      </c>
    </row>
    <row r="32" s="1" customFormat="1" customHeight="1" spans="1:57">
      <c r="A32" s="2" t="s">
        <v>89</v>
      </c>
      <c r="B32" s="2"/>
      <c r="C32" s="2" t="s">
        <v>58</v>
      </c>
      <c r="D32" s="2" t="s">
        <v>59</v>
      </c>
      <c r="E32" s="2" t="s">
        <v>60</v>
      </c>
      <c r="F32" s="2" t="s">
        <v>68</v>
      </c>
      <c r="G32" s="2" t="s">
        <v>69</v>
      </c>
      <c r="H32" s="2" t="s">
        <v>63</v>
      </c>
      <c r="I32" s="2" t="s">
        <v>64</v>
      </c>
      <c r="J32" s="2" t="s">
        <v>65</v>
      </c>
      <c r="K32" s="2">
        <v>570477.41</v>
      </c>
      <c r="L32" s="2">
        <f t="shared" si="0"/>
        <v>291693.454</v>
      </c>
      <c r="M32" s="12">
        <f t="shared" si="1"/>
        <v>0.488685355656765</v>
      </c>
      <c r="N32" s="2">
        <f t="shared" si="2"/>
        <v>3.18749061789108</v>
      </c>
      <c r="O32" s="2">
        <v>258135.8</v>
      </c>
      <c r="P32" s="2">
        <v>93175.12</v>
      </c>
      <c r="Q32" s="13">
        <v>164960.68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13">
        <v>164960.68</v>
      </c>
      <c r="X32" s="2">
        <v>5937.76</v>
      </c>
      <c r="Y32" s="2">
        <v>86332.02</v>
      </c>
      <c r="Z32" s="2">
        <v>174314.44</v>
      </c>
      <c r="AA32" s="2">
        <v>0</v>
      </c>
      <c r="AB32" s="2">
        <v>0</v>
      </c>
      <c r="AC32" s="2">
        <v>5832.8</v>
      </c>
      <c r="AD32" s="2">
        <v>0</v>
      </c>
      <c r="AE32" s="2">
        <v>0</v>
      </c>
      <c r="AF32" s="13">
        <v>272417.02</v>
      </c>
      <c r="AG32" s="2">
        <v>0</v>
      </c>
      <c r="AH32" s="2">
        <v>13317.4318113208</v>
      </c>
      <c r="AI32" s="2">
        <v>3660.418</v>
      </c>
      <c r="AJ32" s="13">
        <v>16977.8498113208</v>
      </c>
      <c r="AK32" s="2">
        <v>3660.356</v>
      </c>
      <c r="AL32" s="2">
        <v>2723.16</v>
      </c>
      <c r="AM32" s="2">
        <v>0</v>
      </c>
      <c r="AN32" s="2">
        <v>10447.02</v>
      </c>
      <c r="AO32" s="2">
        <v>0</v>
      </c>
      <c r="AP32" s="2">
        <v>0</v>
      </c>
      <c r="AQ32" s="2">
        <v>2923.2</v>
      </c>
      <c r="AR32" s="13">
        <v>19753.736</v>
      </c>
      <c r="AS32" s="2">
        <v>20946.82</v>
      </c>
      <c r="AT32" s="14">
        <v>0</v>
      </c>
      <c r="AU32" s="14">
        <v>0</v>
      </c>
      <c r="AV32" s="14">
        <v>4741.77</v>
      </c>
      <c r="AW32" s="13">
        <v>25688.59</v>
      </c>
      <c r="AX32" s="13">
        <v>296132.825811321</v>
      </c>
      <c r="AY32" s="13">
        <v>-131172.145811321</v>
      </c>
      <c r="AZ32" s="2">
        <v>0</v>
      </c>
      <c r="BA32" s="2">
        <v>1886.792</v>
      </c>
      <c r="BB32" s="2">
        <v>0</v>
      </c>
      <c r="BC32" s="15">
        <v>2581.36</v>
      </c>
      <c r="BD32" s="13">
        <v>4468.152</v>
      </c>
      <c r="BE32" s="13">
        <v>-135640.297811321</v>
      </c>
    </row>
    <row r="33" s="1" customFormat="1" customHeight="1" spans="1:57">
      <c r="A33" s="2" t="s">
        <v>89</v>
      </c>
      <c r="B33" s="2"/>
      <c r="C33" s="2" t="s">
        <v>58</v>
      </c>
      <c r="D33" s="2" t="s">
        <v>59</v>
      </c>
      <c r="E33" s="2" t="s">
        <v>60</v>
      </c>
      <c r="F33" s="2" t="s">
        <v>76</v>
      </c>
      <c r="G33" s="2" t="s">
        <v>77</v>
      </c>
      <c r="H33" s="2" t="s">
        <v>63</v>
      </c>
      <c r="I33" s="2" t="s">
        <v>64</v>
      </c>
      <c r="J33" s="2" t="s">
        <v>65</v>
      </c>
      <c r="K33" s="2">
        <v>5085</v>
      </c>
      <c r="L33" s="2">
        <f t="shared" si="0"/>
        <v>5085</v>
      </c>
      <c r="M33" s="12">
        <f t="shared" si="1"/>
        <v>0</v>
      </c>
      <c r="N33" s="2">
        <f t="shared" si="2"/>
        <v>0</v>
      </c>
      <c r="O33" s="2">
        <v>4500</v>
      </c>
      <c r="P33" s="2">
        <v>2218.93</v>
      </c>
      <c r="Q33" s="13">
        <v>2281.07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13">
        <v>2281.07</v>
      </c>
      <c r="X33" s="2">
        <v>0</v>
      </c>
      <c r="Y33" s="2">
        <v>0</v>
      </c>
      <c r="Z33" s="2">
        <v>2512.37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13">
        <v>2512.37</v>
      </c>
      <c r="AG33" s="2">
        <v>0</v>
      </c>
      <c r="AH33" s="2">
        <v>0</v>
      </c>
      <c r="AI33" s="2">
        <v>0</v>
      </c>
      <c r="AJ33" s="13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13">
        <v>0</v>
      </c>
      <c r="AS33" s="2">
        <v>0</v>
      </c>
      <c r="AT33" s="14">
        <v>0</v>
      </c>
      <c r="AU33" s="14">
        <v>0</v>
      </c>
      <c r="AV33" s="14">
        <v>0</v>
      </c>
      <c r="AW33" s="13">
        <v>0</v>
      </c>
      <c r="AX33" s="13">
        <v>2512.37</v>
      </c>
      <c r="AY33" s="13">
        <v>-231.3</v>
      </c>
      <c r="AZ33" s="2">
        <v>0</v>
      </c>
      <c r="BA33" s="2">
        <v>0</v>
      </c>
      <c r="BB33" s="2">
        <v>0</v>
      </c>
      <c r="BC33" s="15">
        <v>45</v>
      </c>
      <c r="BD33" s="13">
        <v>45</v>
      </c>
      <c r="BE33" s="13">
        <v>-276.3</v>
      </c>
    </row>
    <row r="34" s="1" customFormat="1" customHeight="1" spans="1:57">
      <c r="A34" s="2" t="s">
        <v>89</v>
      </c>
      <c r="B34" s="2"/>
      <c r="C34" s="2" t="s">
        <v>58</v>
      </c>
      <c r="D34" s="2" t="s">
        <v>59</v>
      </c>
      <c r="E34" s="2" t="s">
        <v>60</v>
      </c>
      <c r="F34" s="2" t="s">
        <v>80</v>
      </c>
      <c r="G34" s="2" t="s">
        <v>81</v>
      </c>
      <c r="H34" s="2" t="s">
        <v>63</v>
      </c>
      <c r="I34" s="2" t="s">
        <v>64</v>
      </c>
      <c r="J34" s="2" t="s">
        <v>65</v>
      </c>
      <c r="K34" s="2">
        <v>0</v>
      </c>
      <c r="L34" s="2">
        <f t="shared" si="0"/>
        <v>0</v>
      </c>
      <c r="M34" s="12">
        <f t="shared" si="1"/>
        <v>0</v>
      </c>
      <c r="N34" s="2">
        <f t="shared" si="2"/>
        <v>0</v>
      </c>
      <c r="O34" s="2">
        <v>0</v>
      </c>
      <c r="P34" s="2">
        <v>0</v>
      </c>
      <c r="Q34" s="13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13">
        <v>0</v>
      </c>
      <c r="X34" s="2">
        <v>0</v>
      </c>
      <c r="Y34" s="2">
        <v>0</v>
      </c>
      <c r="Z34" s="2">
        <v>7944.15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13">
        <v>7944.15</v>
      </c>
      <c r="AG34" s="2">
        <v>0</v>
      </c>
      <c r="AH34" s="2">
        <v>0</v>
      </c>
      <c r="AI34" s="2">
        <v>0</v>
      </c>
      <c r="AJ34" s="13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13">
        <v>0</v>
      </c>
      <c r="AS34" s="2">
        <v>20000</v>
      </c>
      <c r="AT34" s="14">
        <v>0</v>
      </c>
      <c r="AU34" s="14">
        <v>0</v>
      </c>
      <c r="AV34" s="14">
        <v>3995.64</v>
      </c>
      <c r="AW34" s="13">
        <v>23995.64</v>
      </c>
      <c r="AX34" s="13">
        <v>31939.79</v>
      </c>
      <c r="AY34" s="13">
        <v>-31939.79</v>
      </c>
      <c r="AZ34" s="2">
        <v>0</v>
      </c>
      <c r="BA34" s="2">
        <v>0</v>
      </c>
      <c r="BB34" s="2">
        <v>0</v>
      </c>
      <c r="BC34" s="15">
        <v>0</v>
      </c>
      <c r="BD34" s="13">
        <v>0</v>
      </c>
      <c r="BE34" s="13">
        <v>-31939.79</v>
      </c>
    </row>
    <row r="35" s="1" customFormat="1" customHeight="1" spans="1:57">
      <c r="A35" s="2" t="s">
        <v>89</v>
      </c>
      <c r="B35" s="2"/>
      <c r="C35" s="2" t="s">
        <v>58</v>
      </c>
      <c r="D35" s="2" t="s">
        <v>59</v>
      </c>
      <c r="E35" s="2" t="s">
        <v>60</v>
      </c>
      <c r="F35" s="2" t="s">
        <v>72</v>
      </c>
      <c r="G35" s="2" t="s">
        <v>73</v>
      </c>
      <c r="H35" s="2" t="s">
        <v>63</v>
      </c>
      <c r="I35" s="2" t="s">
        <v>64</v>
      </c>
      <c r="J35" s="2" t="s">
        <v>65</v>
      </c>
      <c r="K35" s="2">
        <v>0</v>
      </c>
      <c r="L35" s="2">
        <f t="shared" ref="L35:L55" si="3">O35*1.13</f>
        <v>0</v>
      </c>
      <c r="M35" s="12">
        <f t="shared" ref="M35:M54" si="4">IFERROR(1-L35/K35,0)</f>
        <v>0</v>
      </c>
      <c r="N35" s="2">
        <f t="shared" ref="N35:N54" si="5">IFERROR(L35/(Y35*1.06),0)</f>
        <v>0</v>
      </c>
      <c r="O35" s="2">
        <v>0</v>
      </c>
      <c r="P35" s="2">
        <v>0</v>
      </c>
      <c r="Q35" s="13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13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13">
        <v>0</v>
      </c>
      <c r="AG35" s="2">
        <v>0</v>
      </c>
      <c r="AH35" s="2">
        <v>0</v>
      </c>
      <c r="AI35" s="2">
        <v>0</v>
      </c>
      <c r="AJ35" s="13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13">
        <v>0</v>
      </c>
      <c r="AS35" s="2">
        <v>0</v>
      </c>
      <c r="AT35" s="14">
        <v>0</v>
      </c>
      <c r="AU35" s="14">
        <v>0</v>
      </c>
      <c r="AV35" s="14">
        <v>0</v>
      </c>
      <c r="AW35" s="13">
        <v>0</v>
      </c>
      <c r="AX35" s="13">
        <v>0</v>
      </c>
      <c r="AY35" s="13">
        <v>0</v>
      </c>
      <c r="AZ35" s="2">
        <v>0</v>
      </c>
      <c r="BA35" s="2">
        <v>0</v>
      </c>
      <c r="BB35" s="2">
        <v>0</v>
      </c>
      <c r="BC35" s="15">
        <v>0</v>
      </c>
      <c r="BD35" s="13">
        <v>0</v>
      </c>
      <c r="BE35" s="13">
        <v>0</v>
      </c>
    </row>
    <row r="36" s="1" customFormat="1" customHeight="1" spans="1:57">
      <c r="A36" s="2" t="s">
        <v>89</v>
      </c>
      <c r="B36" s="2"/>
      <c r="C36" s="2" t="s">
        <v>58</v>
      </c>
      <c r="D36" s="2" t="s">
        <v>59</v>
      </c>
      <c r="E36" s="2" t="s">
        <v>60</v>
      </c>
      <c r="F36" s="2" t="s">
        <v>66</v>
      </c>
      <c r="G36" s="2" t="s">
        <v>67</v>
      </c>
      <c r="H36" s="2" t="s">
        <v>63</v>
      </c>
      <c r="I36" s="2" t="s">
        <v>64</v>
      </c>
      <c r="J36" s="2" t="s">
        <v>65</v>
      </c>
      <c r="K36" s="2">
        <v>27562.26</v>
      </c>
      <c r="L36" s="2">
        <f t="shared" si="3"/>
        <v>25942.0428</v>
      </c>
      <c r="M36" s="12">
        <f t="shared" si="4"/>
        <v>0.0587839023360203</v>
      </c>
      <c r="N36" s="2">
        <f t="shared" si="5"/>
        <v>4.73016269639615</v>
      </c>
      <c r="O36" s="2">
        <v>22957.56</v>
      </c>
      <c r="P36" s="2">
        <v>7746.91</v>
      </c>
      <c r="Q36" s="13">
        <v>15210.65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13">
        <v>15210.65</v>
      </c>
      <c r="X36" s="2">
        <v>963.44</v>
      </c>
      <c r="Y36" s="2">
        <v>5173.95</v>
      </c>
      <c r="Z36" s="2">
        <v>486.27</v>
      </c>
      <c r="AA36" s="2">
        <v>0</v>
      </c>
      <c r="AB36" s="2">
        <v>0</v>
      </c>
      <c r="AC36" s="2">
        <v>14.16</v>
      </c>
      <c r="AD36" s="2">
        <v>0</v>
      </c>
      <c r="AE36" s="2">
        <v>0</v>
      </c>
      <c r="AF36" s="13">
        <v>6637.82</v>
      </c>
      <c r="AG36" s="2">
        <v>0</v>
      </c>
      <c r="AH36" s="2">
        <v>0</v>
      </c>
      <c r="AI36" s="2">
        <v>0</v>
      </c>
      <c r="AJ36" s="13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13">
        <v>0</v>
      </c>
      <c r="AS36" s="2">
        <v>0</v>
      </c>
      <c r="AT36" s="14">
        <v>0</v>
      </c>
      <c r="AU36" s="14">
        <v>0</v>
      </c>
      <c r="AV36" s="14">
        <v>0</v>
      </c>
      <c r="AW36" s="13">
        <v>0</v>
      </c>
      <c r="AX36" s="13">
        <v>6637.82</v>
      </c>
      <c r="AY36" s="13">
        <v>8572.83</v>
      </c>
      <c r="AZ36" s="2">
        <v>0</v>
      </c>
      <c r="BA36" s="2">
        <v>0</v>
      </c>
      <c r="BB36" s="2">
        <v>0</v>
      </c>
      <c r="BC36" s="15">
        <v>229.56</v>
      </c>
      <c r="BD36" s="13">
        <v>229.56</v>
      </c>
      <c r="BE36" s="13">
        <v>8343.27</v>
      </c>
    </row>
    <row r="37" s="1" customFormat="1" customHeight="1" spans="1:57">
      <c r="A37" s="2" t="s">
        <v>89</v>
      </c>
      <c r="B37" s="2"/>
      <c r="C37" s="2" t="s">
        <v>58</v>
      </c>
      <c r="D37" s="2" t="s">
        <v>59</v>
      </c>
      <c r="E37" s="2" t="s">
        <v>60</v>
      </c>
      <c r="F37" s="2" t="s">
        <v>61</v>
      </c>
      <c r="G37" s="2" t="s">
        <v>62</v>
      </c>
      <c r="H37" s="2" t="s">
        <v>63</v>
      </c>
      <c r="I37" s="2" t="s">
        <v>64</v>
      </c>
      <c r="J37" s="2" t="s">
        <v>65</v>
      </c>
      <c r="K37" s="2">
        <v>428466.33</v>
      </c>
      <c r="L37" s="2">
        <f t="shared" si="3"/>
        <v>341256.0337</v>
      </c>
      <c r="M37" s="12">
        <f t="shared" si="4"/>
        <v>0.203540605629385</v>
      </c>
      <c r="N37" s="2">
        <f t="shared" si="5"/>
        <v>5.5276049932551</v>
      </c>
      <c r="O37" s="2">
        <v>301996.49</v>
      </c>
      <c r="P37" s="2">
        <v>105701.1</v>
      </c>
      <c r="Q37" s="13">
        <v>196295.39</v>
      </c>
      <c r="R37" s="2">
        <v>0</v>
      </c>
      <c r="S37" s="2">
        <v>0</v>
      </c>
      <c r="T37" s="2">
        <v>0</v>
      </c>
      <c r="U37" s="2">
        <v>0</v>
      </c>
      <c r="V37" s="2">
        <v>304.8</v>
      </c>
      <c r="W37" s="13">
        <v>196600.19</v>
      </c>
      <c r="X37" s="2">
        <v>6924.34</v>
      </c>
      <c r="Y37" s="2">
        <v>58242.16</v>
      </c>
      <c r="Z37" s="2">
        <v>149185.93</v>
      </c>
      <c r="AA37" s="2">
        <v>0</v>
      </c>
      <c r="AB37" s="2">
        <v>0</v>
      </c>
      <c r="AC37" s="2">
        <v>1385.73</v>
      </c>
      <c r="AD37" s="2">
        <v>0</v>
      </c>
      <c r="AE37" s="2">
        <v>0</v>
      </c>
      <c r="AF37" s="13">
        <v>215738.16</v>
      </c>
      <c r="AG37" s="2">
        <v>0</v>
      </c>
      <c r="AH37" s="2">
        <v>28000</v>
      </c>
      <c r="AI37" s="2">
        <v>14174.9183962264</v>
      </c>
      <c r="AJ37" s="13">
        <v>42174.9183962264</v>
      </c>
      <c r="AK37" s="2">
        <v>9150.89</v>
      </c>
      <c r="AL37" s="2">
        <v>6807.9</v>
      </c>
      <c r="AM37" s="2">
        <v>0</v>
      </c>
      <c r="AN37" s="2">
        <v>26117.55</v>
      </c>
      <c r="AO37" s="2">
        <v>0</v>
      </c>
      <c r="AP37" s="2">
        <v>0</v>
      </c>
      <c r="AQ37" s="2">
        <v>7308</v>
      </c>
      <c r="AR37" s="13">
        <v>49384.34</v>
      </c>
      <c r="AS37" s="2">
        <v>52367.05</v>
      </c>
      <c r="AT37" s="14">
        <v>0</v>
      </c>
      <c r="AU37" s="14">
        <v>1775.06</v>
      </c>
      <c r="AV37" s="14">
        <v>7891.81</v>
      </c>
      <c r="AW37" s="13">
        <v>62033.92</v>
      </c>
      <c r="AX37" s="13">
        <v>297342.313396226</v>
      </c>
      <c r="AY37" s="13">
        <v>-100742.123396226</v>
      </c>
      <c r="AZ37" s="2">
        <v>0</v>
      </c>
      <c r="BA37" s="2">
        <v>4716.98</v>
      </c>
      <c r="BB37" s="2">
        <v>0</v>
      </c>
      <c r="BC37" s="15">
        <v>3019.96</v>
      </c>
      <c r="BD37" s="13">
        <v>7736.94</v>
      </c>
      <c r="BE37" s="13">
        <v>-108479.063396226</v>
      </c>
    </row>
    <row r="38" s="1" customFormat="1" customHeight="1" spans="1:57">
      <c r="A38" s="2" t="s">
        <v>89</v>
      </c>
      <c r="B38" s="2"/>
      <c r="C38" s="2" t="s">
        <v>58</v>
      </c>
      <c r="D38" s="2" t="s">
        <v>59</v>
      </c>
      <c r="E38" s="2" t="s">
        <v>60</v>
      </c>
      <c r="F38" s="2" t="s">
        <v>74</v>
      </c>
      <c r="G38" s="2" t="s">
        <v>75</v>
      </c>
      <c r="H38" s="2" t="s">
        <v>63</v>
      </c>
      <c r="I38" s="2" t="s">
        <v>64</v>
      </c>
      <c r="J38" s="2" t="s">
        <v>65</v>
      </c>
      <c r="K38" s="2">
        <v>1541.97</v>
      </c>
      <c r="L38" s="2">
        <f t="shared" si="3"/>
        <v>1487.9162</v>
      </c>
      <c r="M38" s="12">
        <f t="shared" si="4"/>
        <v>0.0350550270109017</v>
      </c>
      <c r="N38" s="2">
        <f t="shared" si="5"/>
        <v>0</v>
      </c>
      <c r="O38" s="2">
        <v>1316.74</v>
      </c>
      <c r="P38" s="2">
        <v>392.01</v>
      </c>
      <c r="Q38" s="13">
        <v>924.73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13">
        <v>924.73</v>
      </c>
      <c r="X38" s="2">
        <v>7.19</v>
      </c>
      <c r="Y38" s="2">
        <v>0</v>
      </c>
      <c r="Z38" s="2">
        <v>15.26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13">
        <v>22.45</v>
      </c>
      <c r="AG38" s="2">
        <v>0</v>
      </c>
      <c r="AH38" s="2">
        <v>0</v>
      </c>
      <c r="AI38" s="2">
        <v>0</v>
      </c>
      <c r="AJ38" s="13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13">
        <v>0</v>
      </c>
      <c r="AS38" s="2">
        <v>0</v>
      </c>
      <c r="AT38" s="14">
        <v>0</v>
      </c>
      <c r="AU38" s="14">
        <v>0</v>
      </c>
      <c r="AV38" s="14">
        <v>0</v>
      </c>
      <c r="AW38" s="13">
        <v>0</v>
      </c>
      <c r="AX38" s="13">
        <v>22.45</v>
      </c>
      <c r="AY38" s="13">
        <v>902.28</v>
      </c>
      <c r="AZ38" s="2">
        <v>0</v>
      </c>
      <c r="BA38" s="2">
        <v>0</v>
      </c>
      <c r="BB38" s="2">
        <v>0</v>
      </c>
      <c r="BC38" s="15">
        <v>13.18</v>
      </c>
      <c r="BD38" s="13">
        <v>13.18</v>
      </c>
      <c r="BE38" s="13">
        <v>889.1</v>
      </c>
    </row>
    <row r="39" s="1" customFormat="1" customHeight="1" spans="1:57">
      <c r="A39" s="2" t="s">
        <v>89</v>
      </c>
      <c r="B39" s="2"/>
      <c r="C39" s="2" t="s">
        <v>82</v>
      </c>
      <c r="D39" s="2" t="s">
        <v>83</v>
      </c>
      <c r="E39" s="2" t="s">
        <v>60</v>
      </c>
      <c r="F39" s="2" t="s">
        <v>84</v>
      </c>
      <c r="G39" s="2" t="s">
        <v>85</v>
      </c>
      <c r="H39" s="2" t="s">
        <v>86</v>
      </c>
      <c r="I39" s="2" t="s">
        <v>64</v>
      </c>
      <c r="J39" s="2" t="s">
        <v>65</v>
      </c>
      <c r="K39" s="2">
        <v>369635.04</v>
      </c>
      <c r="L39" s="2">
        <f t="shared" si="3"/>
        <v>276064.198</v>
      </c>
      <c r="M39" s="12">
        <f t="shared" si="4"/>
        <v>0.253143863200848</v>
      </c>
      <c r="N39" s="2">
        <f t="shared" si="5"/>
        <v>4.73752792063194</v>
      </c>
      <c r="O39" s="2">
        <v>244304.6</v>
      </c>
      <c r="P39" s="2">
        <v>87968.51</v>
      </c>
      <c r="Q39" s="13">
        <v>156336.09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13">
        <v>156336.09</v>
      </c>
      <c r="X39" s="2">
        <v>0</v>
      </c>
      <c r="Y39" s="2">
        <v>54973.38</v>
      </c>
      <c r="Z39" s="2">
        <v>1894.7</v>
      </c>
      <c r="AA39" s="2">
        <v>0</v>
      </c>
      <c r="AB39" s="2">
        <v>0</v>
      </c>
      <c r="AC39" s="2">
        <v>0</v>
      </c>
      <c r="AD39" s="2">
        <v>0</v>
      </c>
      <c r="AE39" s="2">
        <v>84.3</v>
      </c>
      <c r="AF39" s="13">
        <v>56952.38</v>
      </c>
      <c r="AG39" s="2">
        <v>0</v>
      </c>
      <c r="AH39" s="2">
        <v>19000</v>
      </c>
      <c r="AI39" s="2">
        <v>684.11</v>
      </c>
      <c r="AJ39" s="13">
        <v>19684.11</v>
      </c>
      <c r="AK39" s="2">
        <v>5490.534</v>
      </c>
      <c r="AL39" s="2">
        <v>4084.74</v>
      </c>
      <c r="AM39" s="2">
        <v>0</v>
      </c>
      <c r="AN39" s="2">
        <v>15670.53</v>
      </c>
      <c r="AO39" s="2">
        <v>0</v>
      </c>
      <c r="AP39" s="2">
        <v>0</v>
      </c>
      <c r="AQ39" s="2">
        <v>4384.8</v>
      </c>
      <c r="AR39" s="13">
        <v>29630.604</v>
      </c>
      <c r="AS39" s="2">
        <v>31520.23</v>
      </c>
      <c r="AT39" s="14">
        <v>0</v>
      </c>
      <c r="AU39" s="14">
        <v>0</v>
      </c>
      <c r="AV39" s="14">
        <v>0</v>
      </c>
      <c r="AW39" s="13">
        <v>31520.23</v>
      </c>
      <c r="AX39" s="13">
        <v>144707.139</v>
      </c>
      <c r="AY39" s="13">
        <v>11628.951</v>
      </c>
      <c r="AZ39" s="2">
        <v>0</v>
      </c>
      <c r="BA39" s="2">
        <v>2830.188</v>
      </c>
      <c r="BB39" s="2">
        <v>0</v>
      </c>
      <c r="BC39" s="15">
        <v>2443.03</v>
      </c>
      <c r="BD39" s="13">
        <v>5273.218</v>
      </c>
      <c r="BE39" s="13">
        <v>6355.733</v>
      </c>
    </row>
    <row r="40" s="1" customFormat="1" customHeight="1" spans="1:57">
      <c r="A40" s="2" t="s">
        <v>89</v>
      </c>
      <c r="B40" s="2"/>
      <c r="C40" s="2" t="s">
        <v>58</v>
      </c>
      <c r="D40" s="2" t="s">
        <v>59</v>
      </c>
      <c r="E40" s="2" t="s">
        <v>60</v>
      </c>
      <c r="F40" s="2" t="s">
        <v>78</v>
      </c>
      <c r="G40" s="2" t="s">
        <v>79</v>
      </c>
      <c r="H40" s="2" t="s">
        <v>63</v>
      </c>
      <c r="I40" s="2" t="s">
        <v>64</v>
      </c>
      <c r="J40" s="2" t="s">
        <v>65</v>
      </c>
      <c r="K40" s="2">
        <v>1455.06</v>
      </c>
      <c r="L40" s="2">
        <f t="shared" si="3"/>
        <v>1455.0671</v>
      </c>
      <c r="M40" s="12">
        <f t="shared" si="4"/>
        <v>-4.87952386851731e-6</v>
      </c>
      <c r="N40" s="2">
        <f t="shared" si="5"/>
        <v>0</v>
      </c>
      <c r="O40" s="2">
        <v>1287.67</v>
      </c>
      <c r="P40" s="2">
        <v>444.71</v>
      </c>
      <c r="Q40" s="13">
        <v>842.96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13">
        <v>842.96</v>
      </c>
      <c r="X40" s="2">
        <v>0</v>
      </c>
      <c r="Y40" s="2">
        <v>0</v>
      </c>
      <c r="Z40" s="2">
        <v>180.05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13">
        <v>180.05</v>
      </c>
      <c r="AG40" s="2">
        <v>0</v>
      </c>
      <c r="AH40" s="2">
        <v>0</v>
      </c>
      <c r="AI40" s="2">
        <v>0</v>
      </c>
      <c r="AJ40" s="13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13">
        <v>0</v>
      </c>
      <c r="AS40" s="2">
        <v>0</v>
      </c>
      <c r="AT40" s="14">
        <v>0</v>
      </c>
      <c r="AU40" s="14">
        <v>0</v>
      </c>
      <c r="AV40" s="14">
        <v>0</v>
      </c>
      <c r="AW40" s="13">
        <v>0</v>
      </c>
      <c r="AX40" s="13">
        <v>180.05</v>
      </c>
      <c r="AY40" s="13">
        <v>662.91</v>
      </c>
      <c r="AZ40" s="2">
        <v>0</v>
      </c>
      <c r="BA40" s="2">
        <v>0</v>
      </c>
      <c r="BB40" s="2">
        <v>0</v>
      </c>
      <c r="BC40" s="15">
        <v>12.88</v>
      </c>
      <c r="BD40" s="13">
        <v>12.88</v>
      </c>
      <c r="BE40" s="13">
        <v>650.03</v>
      </c>
    </row>
    <row r="41" s="1" customFormat="1" customHeight="1" spans="1:57">
      <c r="A41" s="2" t="s">
        <v>89</v>
      </c>
      <c r="B41" s="2"/>
      <c r="C41" s="2" t="s">
        <v>58</v>
      </c>
      <c r="D41" s="2" t="s">
        <v>59</v>
      </c>
      <c r="E41" s="2" t="s">
        <v>60</v>
      </c>
      <c r="F41" s="2" t="s">
        <v>70</v>
      </c>
      <c r="G41" s="2" t="s">
        <v>71</v>
      </c>
      <c r="H41" s="2" t="s">
        <v>63</v>
      </c>
      <c r="I41" s="2" t="s">
        <v>64</v>
      </c>
      <c r="J41" s="2" t="s">
        <v>65</v>
      </c>
      <c r="K41" s="2">
        <v>0</v>
      </c>
      <c r="L41" s="2">
        <f t="shared" si="3"/>
        <v>0</v>
      </c>
      <c r="M41" s="12">
        <f t="shared" si="4"/>
        <v>0</v>
      </c>
      <c r="N41" s="2">
        <f t="shared" si="5"/>
        <v>0</v>
      </c>
      <c r="O41" s="2">
        <v>0</v>
      </c>
      <c r="P41" s="2">
        <v>0</v>
      </c>
      <c r="Q41" s="13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13">
        <v>0</v>
      </c>
      <c r="X41" s="2">
        <v>0</v>
      </c>
      <c r="Y41" s="2">
        <v>0</v>
      </c>
      <c r="Z41" s="2">
        <v>16981.13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13">
        <v>16981.13</v>
      </c>
      <c r="AG41" s="2">
        <v>0</v>
      </c>
      <c r="AH41" s="2">
        <v>0</v>
      </c>
      <c r="AI41" s="2">
        <v>0</v>
      </c>
      <c r="AJ41" s="13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13">
        <v>0</v>
      </c>
      <c r="AS41" s="2">
        <v>0</v>
      </c>
      <c r="AT41" s="14">
        <v>0</v>
      </c>
      <c r="AU41" s="14">
        <v>0</v>
      </c>
      <c r="AV41" s="14">
        <v>0</v>
      </c>
      <c r="AW41" s="13">
        <v>0</v>
      </c>
      <c r="AX41" s="13">
        <v>16981.13</v>
      </c>
      <c r="AY41" s="13">
        <v>-16981.13</v>
      </c>
      <c r="AZ41" s="2">
        <v>0</v>
      </c>
      <c r="BA41" s="2">
        <v>0</v>
      </c>
      <c r="BB41" s="2">
        <v>0</v>
      </c>
      <c r="BC41" s="15">
        <v>0</v>
      </c>
      <c r="BD41" s="13">
        <v>0</v>
      </c>
      <c r="BE41" s="13">
        <v>-16981.13</v>
      </c>
    </row>
    <row r="42" s="1" customFormat="1" customHeight="1" spans="1:57">
      <c r="A42" s="2" t="s">
        <v>89</v>
      </c>
      <c r="B42" s="2"/>
      <c r="C42" s="2" t="s">
        <v>58</v>
      </c>
      <c r="D42" s="2" t="s">
        <v>59</v>
      </c>
      <c r="E42" s="2" t="s">
        <v>60</v>
      </c>
      <c r="F42" s="2" t="s">
        <v>90</v>
      </c>
      <c r="G42" s="2" t="s">
        <v>91</v>
      </c>
      <c r="H42" s="2" t="s">
        <v>63</v>
      </c>
      <c r="I42" s="2" t="s">
        <v>64</v>
      </c>
      <c r="J42" s="2" t="s">
        <v>65</v>
      </c>
      <c r="K42" s="2">
        <v>0</v>
      </c>
      <c r="L42" s="2">
        <f t="shared" si="3"/>
        <v>0</v>
      </c>
      <c r="M42" s="12">
        <f t="shared" si="4"/>
        <v>0</v>
      </c>
      <c r="N42" s="2">
        <f t="shared" si="5"/>
        <v>0</v>
      </c>
      <c r="O42" s="2">
        <v>0</v>
      </c>
      <c r="P42" s="2">
        <v>0</v>
      </c>
      <c r="Q42" s="13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13">
        <v>0</v>
      </c>
      <c r="X42" s="2">
        <v>0</v>
      </c>
      <c r="Y42" s="2">
        <v>0</v>
      </c>
      <c r="Z42" s="2">
        <v>750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13">
        <v>750</v>
      </c>
      <c r="AG42" s="2">
        <v>0</v>
      </c>
      <c r="AH42" s="2">
        <v>0</v>
      </c>
      <c r="AI42" s="2">
        <v>0</v>
      </c>
      <c r="AJ42" s="13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13">
        <v>0</v>
      </c>
      <c r="AS42" s="2">
        <v>0</v>
      </c>
      <c r="AT42" s="14">
        <v>0</v>
      </c>
      <c r="AU42" s="14">
        <v>0</v>
      </c>
      <c r="AV42" s="14">
        <v>0</v>
      </c>
      <c r="AW42" s="13">
        <v>0</v>
      </c>
      <c r="AX42" s="13">
        <v>750</v>
      </c>
      <c r="AY42" s="13">
        <v>-750</v>
      </c>
      <c r="AZ42" s="2">
        <v>0</v>
      </c>
      <c r="BA42" s="2">
        <v>0</v>
      </c>
      <c r="BB42" s="2">
        <v>0</v>
      </c>
      <c r="BC42" s="15">
        <v>0</v>
      </c>
      <c r="BD42" s="13">
        <v>0</v>
      </c>
      <c r="BE42" s="13">
        <v>-750</v>
      </c>
    </row>
    <row r="43" s="1" customFormat="1" customHeight="1" spans="1:57">
      <c r="A43" s="2" t="s">
        <v>92</v>
      </c>
      <c r="B43" s="2"/>
      <c r="C43" s="2" t="s">
        <v>58</v>
      </c>
      <c r="D43" s="2" t="s">
        <v>59</v>
      </c>
      <c r="E43" s="2" t="s">
        <v>60</v>
      </c>
      <c r="F43" s="2" t="s">
        <v>68</v>
      </c>
      <c r="G43" s="2" t="s">
        <v>69</v>
      </c>
      <c r="H43" s="2" t="s">
        <v>63</v>
      </c>
      <c r="I43" s="2" t="s">
        <v>64</v>
      </c>
      <c r="J43" s="2" t="s">
        <v>65</v>
      </c>
      <c r="K43" s="2">
        <v>767368.75</v>
      </c>
      <c r="L43" s="2">
        <f t="shared" si="3"/>
        <v>482414.8088</v>
      </c>
      <c r="M43" s="12">
        <f t="shared" si="4"/>
        <v>0.371338996017234</v>
      </c>
      <c r="N43" s="2">
        <f t="shared" si="5"/>
        <v>4.28093753537333</v>
      </c>
      <c r="O43" s="2">
        <v>426915.76</v>
      </c>
      <c r="P43" s="2">
        <v>157222.64</v>
      </c>
      <c r="Q43" s="13">
        <v>269693.12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13">
        <v>269693.12</v>
      </c>
      <c r="X43" s="2">
        <v>7855.81</v>
      </c>
      <c r="Y43" s="2">
        <v>106310.43</v>
      </c>
      <c r="Z43" s="2">
        <v>-144490.48</v>
      </c>
      <c r="AA43" s="2">
        <v>252816.72</v>
      </c>
      <c r="AB43" s="2">
        <v>0</v>
      </c>
      <c r="AC43" s="2">
        <v>-12387.49</v>
      </c>
      <c r="AD43" s="2">
        <v>0</v>
      </c>
      <c r="AE43" s="2">
        <v>0</v>
      </c>
      <c r="AF43" s="13">
        <v>210104.99</v>
      </c>
      <c r="AG43" s="2">
        <v>0</v>
      </c>
      <c r="AH43" s="2">
        <v>10000</v>
      </c>
      <c r="AI43" s="2">
        <v>5669.96735849056</v>
      </c>
      <c r="AJ43" s="13">
        <v>15669.9673584906</v>
      </c>
      <c r="AK43" s="2">
        <v>3660.356</v>
      </c>
      <c r="AL43" s="2">
        <v>2723.16</v>
      </c>
      <c r="AM43" s="2">
        <v>0</v>
      </c>
      <c r="AN43" s="2">
        <v>10733.936</v>
      </c>
      <c r="AO43" s="2">
        <v>0</v>
      </c>
      <c r="AP43" s="2">
        <v>0</v>
      </c>
      <c r="AQ43" s="2">
        <v>2875.25</v>
      </c>
      <c r="AR43" s="13">
        <v>19992.702</v>
      </c>
      <c r="AS43" s="2">
        <v>24027.196</v>
      </c>
      <c r="AT43" s="14">
        <v>0</v>
      </c>
      <c r="AU43" s="14">
        <v>0</v>
      </c>
      <c r="AV43" s="14">
        <v>0</v>
      </c>
      <c r="AW43" s="13">
        <v>24027.196</v>
      </c>
      <c r="AX43" s="13">
        <v>290700.511358491</v>
      </c>
      <c r="AY43" s="13">
        <v>-21007.3913584906</v>
      </c>
      <c r="AZ43" s="2">
        <v>0</v>
      </c>
      <c r="BA43" s="2">
        <v>1886.792</v>
      </c>
      <c r="BB43" s="2">
        <v>0</v>
      </c>
      <c r="BC43" s="15">
        <v>-2581.36</v>
      </c>
      <c r="BD43" s="13">
        <v>-694.568</v>
      </c>
      <c r="BE43" s="13">
        <v>-20312.8233584906</v>
      </c>
    </row>
    <row r="44" s="1" customFormat="1" customHeight="1" spans="1:57">
      <c r="A44" s="2" t="s">
        <v>92</v>
      </c>
      <c r="B44" s="2"/>
      <c r="C44" s="2" t="s">
        <v>58</v>
      </c>
      <c r="D44" s="2" t="s">
        <v>59</v>
      </c>
      <c r="E44" s="2" t="s">
        <v>60</v>
      </c>
      <c r="F44" s="2" t="s">
        <v>76</v>
      </c>
      <c r="G44" s="2" t="s">
        <v>77</v>
      </c>
      <c r="H44" s="2" t="s">
        <v>63</v>
      </c>
      <c r="I44" s="2" t="s">
        <v>64</v>
      </c>
      <c r="J44" s="2" t="s">
        <v>65</v>
      </c>
      <c r="K44" s="2">
        <f>N44*1.13</f>
        <v>0</v>
      </c>
      <c r="L44" s="2">
        <f t="shared" si="3"/>
        <v>262491.203</v>
      </c>
      <c r="M44" s="12">
        <f t="shared" si="4"/>
        <v>0</v>
      </c>
      <c r="N44" s="2">
        <f t="shared" si="5"/>
        <v>0</v>
      </c>
      <c r="O44" s="2">
        <v>232293.1</v>
      </c>
      <c r="P44" s="2">
        <v>128679.14</v>
      </c>
      <c r="Q44" s="13">
        <v>103613.96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13">
        <v>103613.96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13">
        <v>0</v>
      </c>
      <c r="AG44" s="2">
        <v>0</v>
      </c>
      <c r="AH44" s="2">
        <v>0</v>
      </c>
      <c r="AI44" s="2">
        <v>0</v>
      </c>
      <c r="AJ44" s="13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13">
        <v>0</v>
      </c>
      <c r="AS44" s="2">
        <v>0</v>
      </c>
      <c r="AT44" s="14">
        <v>0</v>
      </c>
      <c r="AU44" s="14">
        <v>0</v>
      </c>
      <c r="AV44" s="14">
        <v>0</v>
      </c>
      <c r="AW44" s="13">
        <v>0</v>
      </c>
      <c r="AX44" s="13">
        <v>0</v>
      </c>
      <c r="AY44" s="13">
        <v>103613.96</v>
      </c>
      <c r="AZ44" s="2">
        <v>0</v>
      </c>
      <c r="BA44" s="2">
        <v>0</v>
      </c>
      <c r="BB44" s="2">
        <v>0</v>
      </c>
      <c r="BC44" s="15">
        <v>-45</v>
      </c>
      <c r="BD44" s="13">
        <v>-45</v>
      </c>
      <c r="BE44" s="13">
        <v>103658.96</v>
      </c>
    </row>
    <row r="45" s="1" customFormat="1" customHeight="1" spans="1:57">
      <c r="A45" s="2" t="s">
        <v>92</v>
      </c>
      <c r="B45" s="2"/>
      <c r="C45" s="2" t="s">
        <v>58</v>
      </c>
      <c r="D45" s="2" t="s">
        <v>59</v>
      </c>
      <c r="E45" s="2" t="s">
        <v>60</v>
      </c>
      <c r="F45" s="2" t="s">
        <v>80</v>
      </c>
      <c r="G45" s="2" t="s">
        <v>81</v>
      </c>
      <c r="H45" s="2" t="s">
        <v>63</v>
      </c>
      <c r="I45" s="2" t="s">
        <v>64</v>
      </c>
      <c r="J45" s="2" t="s">
        <v>65</v>
      </c>
      <c r="K45" s="2">
        <v>0</v>
      </c>
      <c r="L45" s="2">
        <f t="shared" si="3"/>
        <v>0</v>
      </c>
      <c r="M45" s="12">
        <f t="shared" si="4"/>
        <v>0</v>
      </c>
      <c r="N45" s="2">
        <f t="shared" si="5"/>
        <v>0</v>
      </c>
      <c r="O45" s="2">
        <v>0</v>
      </c>
      <c r="P45" s="2">
        <v>0</v>
      </c>
      <c r="Q45" s="13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13">
        <v>0</v>
      </c>
      <c r="X45" s="2">
        <v>0</v>
      </c>
      <c r="Y45" s="2">
        <v>0</v>
      </c>
      <c r="Z45" s="2">
        <v>2467.28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13">
        <v>2467.28</v>
      </c>
      <c r="AG45" s="2">
        <v>0</v>
      </c>
      <c r="AH45" s="2">
        <v>0</v>
      </c>
      <c r="AI45" s="2">
        <v>0</v>
      </c>
      <c r="AJ45" s="13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13">
        <v>0</v>
      </c>
      <c r="AS45" s="2">
        <v>20000</v>
      </c>
      <c r="AT45" s="14">
        <v>0</v>
      </c>
      <c r="AU45" s="14">
        <v>0</v>
      </c>
      <c r="AV45" s="14">
        <v>0</v>
      </c>
      <c r="AW45" s="13">
        <v>20000</v>
      </c>
      <c r="AX45" s="13">
        <v>22467.28</v>
      </c>
      <c r="AY45" s="13">
        <v>-22467.28</v>
      </c>
      <c r="AZ45" s="2">
        <v>0</v>
      </c>
      <c r="BA45" s="2">
        <v>0</v>
      </c>
      <c r="BB45" s="2">
        <v>0</v>
      </c>
      <c r="BC45" s="15">
        <v>0</v>
      </c>
      <c r="BD45" s="13">
        <v>0</v>
      </c>
      <c r="BE45" s="13">
        <v>-22467.28</v>
      </c>
    </row>
    <row r="46" s="1" customFormat="1" customHeight="1" spans="1:57">
      <c r="A46" s="2" t="s">
        <v>92</v>
      </c>
      <c r="B46" s="2"/>
      <c r="C46" s="2" t="s">
        <v>58</v>
      </c>
      <c r="D46" s="2" t="s">
        <v>59</v>
      </c>
      <c r="E46" s="2" t="s">
        <v>60</v>
      </c>
      <c r="F46" s="2" t="s">
        <v>72</v>
      </c>
      <c r="G46" s="2" t="s">
        <v>73</v>
      </c>
      <c r="H46" s="2" t="s">
        <v>63</v>
      </c>
      <c r="I46" s="2" t="s">
        <v>64</v>
      </c>
      <c r="J46" s="2" t="s">
        <v>65</v>
      </c>
      <c r="K46" s="2">
        <v>0</v>
      </c>
      <c r="L46" s="2">
        <f t="shared" si="3"/>
        <v>0</v>
      </c>
      <c r="M46" s="12">
        <f t="shared" si="4"/>
        <v>0</v>
      </c>
      <c r="N46" s="2">
        <f t="shared" si="5"/>
        <v>0</v>
      </c>
      <c r="O46" s="2">
        <v>0</v>
      </c>
      <c r="P46" s="2">
        <v>0</v>
      </c>
      <c r="Q46" s="13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13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13">
        <v>0</v>
      </c>
      <c r="AG46" s="2">
        <v>0</v>
      </c>
      <c r="AH46" s="2">
        <v>0</v>
      </c>
      <c r="AI46" s="2">
        <v>0</v>
      </c>
      <c r="AJ46" s="13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13">
        <v>0</v>
      </c>
      <c r="AS46" s="2">
        <v>0</v>
      </c>
      <c r="AT46" s="14">
        <v>0</v>
      </c>
      <c r="AU46" s="14">
        <v>0</v>
      </c>
      <c r="AV46" s="14">
        <v>0</v>
      </c>
      <c r="AW46" s="13">
        <v>0</v>
      </c>
      <c r="AX46" s="13">
        <v>0</v>
      </c>
      <c r="AY46" s="13">
        <v>0</v>
      </c>
      <c r="AZ46" s="2">
        <v>0</v>
      </c>
      <c r="BA46" s="2">
        <v>0</v>
      </c>
      <c r="BB46" s="2">
        <v>0</v>
      </c>
      <c r="BC46" s="15">
        <v>0</v>
      </c>
      <c r="BD46" s="13">
        <v>0</v>
      </c>
      <c r="BE46" s="13">
        <v>0</v>
      </c>
    </row>
    <row r="47" s="1" customFormat="1" customHeight="1" spans="1:57">
      <c r="A47" s="2" t="s">
        <v>92</v>
      </c>
      <c r="B47" s="2"/>
      <c r="C47" s="2" t="s">
        <v>58</v>
      </c>
      <c r="D47" s="2" t="s">
        <v>59</v>
      </c>
      <c r="E47" s="2" t="s">
        <v>60</v>
      </c>
      <c r="F47" s="2" t="s">
        <v>66</v>
      </c>
      <c r="G47" s="2" t="s">
        <v>67</v>
      </c>
      <c r="H47" s="2" t="s">
        <v>63</v>
      </c>
      <c r="I47" s="2" t="s">
        <v>64</v>
      </c>
      <c r="J47" s="2" t="s">
        <v>65</v>
      </c>
      <c r="K47" s="2">
        <v>35002.32</v>
      </c>
      <c r="L47" s="2">
        <f t="shared" si="3"/>
        <v>33094.1292</v>
      </c>
      <c r="M47" s="12">
        <f t="shared" si="4"/>
        <v>0.0545161235026708</v>
      </c>
      <c r="N47" s="2">
        <f t="shared" si="5"/>
        <v>3.06645902716555</v>
      </c>
      <c r="O47" s="2">
        <v>29286.84</v>
      </c>
      <c r="P47" s="2">
        <v>9651.8</v>
      </c>
      <c r="Q47" s="13">
        <v>19635.04</v>
      </c>
      <c r="R47" s="2">
        <v>0</v>
      </c>
      <c r="S47" s="2">
        <v>0</v>
      </c>
      <c r="T47" s="2">
        <v>0</v>
      </c>
      <c r="U47" s="2">
        <v>0</v>
      </c>
      <c r="V47" s="2">
        <v>4.65</v>
      </c>
      <c r="W47" s="13">
        <v>19639.69</v>
      </c>
      <c r="X47" s="2">
        <v>975.12</v>
      </c>
      <c r="Y47" s="2">
        <v>10181.41</v>
      </c>
      <c r="Z47" s="2">
        <v>664.24</v>
      </c>
      <c r="AA47" s="2">
        <v>0</v>
      </c>
      <c r="AB47" s="2">
        <v>0</v>
      </c>
      <c r="AC47" s="2">
        <v>-220.72</v>
      </c>
      <c r="AD47" s="2">
        <v>0</v>
      </c>
      <c r="AE47" s="2">
        <v>0</v>
      </c>
      <c r="AF47" s="13">
        <v>11600.05</v>
      </c>
      <c r="AG47" s="2">
        <v>0</v>
      </c>
      <c r="AH47" s="2">
        <v>0</v>
      </c>
      <c r="AI47" s="2">
        <v>0</v>
      </c>
      <c r="AJ47" s="13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13">
        <v>0</v>
      </c>
      <c r="AS47" s="2">
        <v>0</v>
      </c>
      <c r="AT47" s="14">
        <v>0</v>
      </c>
      <c r="AU47" s="14">
        <v>0</v>
      </c>
      <c r="AV47" s="14">
        <v>0</v>
      </c>
      <c r="AW47" s="13">
        <v>0</v>
      </c>
      <c r="AX47" s="13">
        <v>11600.05</v>
      </c>
      <c r="AY47" s="13">
        <v>8039.64</v>
      </c>
      <c r="AZ47" s="2">
        <v>0</v>
      </c>
      <c r="BA47" s="2">
        <v>0</v>
      </c>
      <c r="BB47" s="2">
        <v>0</v>
      </c>
      <c r="BC47" s="15">
        <v>-229.56</v>
      </c>
      <c r="BD47" s="13">
        <v>-229.56</v>
      </c>
      <c r="BE47" s="13">
        <v>8269.2</v>
      </c>
    </row>
    <row r="48" s="1" customFormat="1" customHeight="1" spans="1:57">
      <c r="A48" s="2" t="s">
        <v>92</v>
      </c>
      <c r="B48" s="2"/>
      <c r="C48" s="2" t="s">
        <v>58</v>
      </c>
      <c r="D48" s="2" t="s">
        <v>59</v>
      </c>
      <c r="E48" s="2" t="s">
        <v>60</v>
      </c>
      <c r="F48" s="2" t="s">
        <v>61</v>
      </c>
      <c r="G48" s="2" t="s">
        <v>62</v>
      </c>
      <c r="H48" s="2" t="s">
        <v>63</v>
      </c>
      <c r="I48" s="2" t="s">
        <v>64</v>
      </c>
      <c r="J48" s="2" t="s">
        <v>65</v>
      </c>
      <c r="K48" s="2">
        <v>889823.59</v>
      </c>
      <c r="L48" s="2">
        <f t="shared" si="3"/>
        <v>521803.0041</v>
      </c>
      <c r="M48" s="12">
        <f t="shared" si="4"/>
        <v>0.413588255060759</v>
      </c>
      <c r="N48" s="2">
        <f t="shared" si="5"/>
        <v>4.75350496732579</v>
      </c>
      <c r="O48" s="2">
        <v>461772.57</v>
      </c>
      <c r="P48" s="2">
        <v>178503.04</v>
      </c>
      <c r="Q48" s="13">
        <v>283269.53</v>
      </c>
      <c r="R48" s="2">
        <v>0</v>
      </c>
      <c r="S48" s="2">
        <v>0</v>
      </c>
      <c r="T48" s="2">
        <v>0</v>
      </c>
      <c r="U48" s="2">
        <v>0</v>
      </c>
      <c r="V48" s="2">
        <v>304.8</v>
      </c>
      <c r="W48" s="13">
        <v>283574.33</v>
      </c>
      <c r="X48" s="2">
        <v>8851.07</v>
      </c>
      <c r="Y48" s="2">
        <v>103558.74</v>
      </c>
      <c r="Z48" s="2">
        <v>-33939.92</v>
      </c>
      <c r="AA48" s="2">
        <v>-24400</v>
      </c>
      <c r="AB48" s="2">
        <v>33254.73</v>
      </c>
      <c r="AC48" s="2">
        <v>-3445.45</v>
      </c>
      <c r="AD48" s="2">
        <v>0</v>
      </c>
      <c r="AE48" s="2">
        <v>0</v>
      </c>
      <c r="AF48" s="13">
        <v>83879.17</v>
      </c>
      <c r="AG48" s="2">
        <v>9858.26</v>
      </c>
      <c r="AH48" s="2">
        <v>30000</v>
      </c>
      <c r="AI48" s="2">
        <v>14174.9183962264</v>
      </c>
      <c r="AJ48" s="13">
        <v>54033.1783962264</v>
      </c>
      <c r="AK48" s="2">
        <v>18301.935</v>
      </c>
      <c r="AL48" s="2">
        <v>6807.9</v>
      </c>
      <c r="AM48" s="2">
        <v>0</v>
      </c>
      <c r="AN48" s="2">
        <v>26834.84</v>
      </c>
      <c r="AO48" s="2">
        <v>0</v>
      </c>
      <c r="AP48" s="2">
        <v>0</v>
      </c>
      <c r="AQ48" s="2">
        <v>7188.125</v>
      </c>
      <c r="AR48" s="13">
        <v>59132.8</v>
      </c>
      <c r="AS48" s="2">
        <v>60067.99</v>
      </c>
      <c r="AT48" s="14">
        <v>1265</v>
      </c>
      <c r="AU48" s="14">
        <v>0</v>
      </c>
      <c r="AV48" s="14">
        <v>0</v>
      </c>
      <c r="AW48" s="13">
        <v>61332.99</v>
      </c>
      <c r="AX48" s="13">
        <v>338139.798396226</v>
      </c>
      <c r="AY48" s="13">
        <v>-54565.4683962264</v>
      </c>
      <c r="AZ48" s="2">
        <v>0</v>
      </c>
      <c r="BA48" s="2">
        <v>4716.98</v>
      </c>
      <c r="BB48" s="2">
        <v>0</v>
      </c>
      <c r="BC48" s="15">
        <v>-3019.96</v>
      </c>
      <c r="BD48" s="13">
        <v>1697.02</v>
      </c>
      <c r="BE48" s="13">
        <v>-56262.4883962264</v>
      </c>
    </row>
    <row r="49" s="1" customFormat="1" customHeight="1" spans="1:57">
      <c r="A49" s="2" t="s">
        <v>92</v>
      </c>
      <c r="B49" s="2"/>
      <c r="C49" s="2" t="s">
        <v>58</v>
      </c>
      <c r="D49" s="2" t="s">
        <v>59</v>
      </c>
      <c r="E49" s="2" t="s">
        <v>60</v>
      </c>
      <c r="F49" s="2" t="s">
        <v>74</v>
      </c>
      <c r="G49" s="2" t="s">
        <v>75</v>
      </c>
      <c r="H49" s="2" t="s">
        <v>63</v>
      </c>
      <c r="I49" s="2" t="s">
        <v>64</v>
      </c>
      <c r="J49" s="2" t="s">
        <v>65</v>
      </c>
      <c r="K49" s="2">
        <v>1358.91</v>
      </c>
      <c r="L49" s="2">
        <f t="shared" si="3"/>
        <v>1330.2021</v>
      </c>
      <c r="M49" s="12">
        <f t="shared" si="4"/>
        <v>0.0211256816124689</v>
      </c>
      <c r="N49" s="2">
        <f t="shared" si="5"/>
        <v>0</v>
      </c>
      <c r="O49" s="2">
        <v>1177.17</v>
      </c>
      <c r="P49" s="2">
        <v>207.69</v>
      </c>
      <c r="Q49" s="13">
        <v>969.48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13">
        <v>969.48</v>
      </c>
      <c r="X49" s="2">
        <v>24.13</v>
      </c>
      <c r="Y49" s="2">
        <v>0</v>
      </c>
      <c r="Z49" s="2">
        <v>3586.1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13">
        <v>3610.23</v>
      </c>
      <c r="AG49" s="2">
        <v>0</v>
      </c>
      <c r="AH49" s="2">
        <v>0</v>
      </c>
      <c r="AI49" s="2">
        <v>0</v>
      </c>
      <c r="AJ49" s="13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13">
        <v>0</v>
      </c>
      <c r="AS49" s="2">
        <v>0</v>
      </c>
      <c r="AT49" s="14">
        <v>0</v>
      </c>
      <c r="AU49" s="14">
        <v>0</v>
      </c>
      <c r="AV49" s="14">
        <v>0</v>
      </c>
      <c r="AW49" s="13">
        <v>0</v>
      </c>
      <c r="AX49" s="13">
        <v>3610.23</v>
      </c>
      <c r="AY49" s="13">
        <v>-2640.75</v>
      </c>
      <c r="AZ49" s="2">
        <v>0</v>
      </c>
      <c r="BA49" s="2">
        <v>0</v>
      </c>
      <c r="BB49" s="2">
        <v>0</v>
      </c>
      <c r="BC49" s="15">
        <v>-13.18</v>
      </c>
      <c r="BD49" s="13">
        <v>-13.18</v>
      </c>
      <c r="BE49" s="13">
        <v>-2627.57</v>
      </c>
    </row>
    <row r="50" s="1" customFormat="1" customHeight="1" spans="1:57">
      <c r="A50" s="2" t="s">
        <v>92</v>
      </c>
      <c r="B50" s="2"/>
      <c r="C50" s="2" t="s">
        <v>58</v>
      </c>
      <c r="D50" s="2" t="s">
        <v>59</v>
      </c>
      <c r="E50" s="2" t="s">
        <v>60</v>
      </c>
      <c r="F50" s="2" t="s">
        <v>93</v>
      </c>
      <c r="G50" s="2" t="s">
        <v>94</v>
      </c>
      <c r="H50" s="2" t="s">
        <v>63</v>
      </c>
      <c r="I50" s="2" t="s">
        <v>64</v>
      </c>
      <c r="J50" s="2" t="s">
        <v>65</v>
      </c>
      <c r="K50" s="2">
        <v>0</v>
      </c>
      <c r="L50" s="2">
        <f t="shared" si="3"/>
        <v>0</v>
      </c>
      <c r="M50" s="12">
        <f t="shared" si="4"/>
        <v>0</v>
      </c>
      <c r="N50" s="2">
        <f t="shared" si="5"/>
        <v>0</v>
      </c>
      <c r="O50" s="2">
        <v>0</v>
      </c>
      <c r="P50" s="2">
        <v>0</v>
      </c>
      <c r="Q50" s="13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13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13">
        <v>0</v>
      </c>
      <c r="AG50" s="2">
        <v>0</v>
      </c>
      <c r="AH50" s="2">
        <v>0</v>
      </c>
      <c r="AI50" s="2">
        <v>0</v>
      </c>
      <c r="AJ50" s="13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13">
        <v>0</v>
      </c>
      <c r="AS50" s="2">
        <v>0</v>
      </c>
      <c r="AT50" s="14">
        <v>0</v>
      </c>
      <c r="AU50" s="14">
        <v>0</v>
      </c>
      <c r="AV50" s="14">
        <v>0</v>
      </c>
      <c r="AW50" s="13">
        <v>0</v>
      </c>
      <c r="AX50" s="13">
        <v>0</v>
      </c>
      <c r="AY50" s="13">
        <v>0</v>
      </c>
      <c r="AZ50" s="2">
        <v>0</v>
      </c>
      <c r="BA50" s="2">
        <v>0</v>
      </c>
      <c r="BB50" s="2">
        <v>0</v>
      </c>
      <c r="BC50" s="15">
        <v>0</v>
      </c>
      <c r="BD50" s="13">
        <v>0</v>
      </c>
      <c r="BE50" s="13">
        <v>0</v>
      </c>
    </row>
    <row r="51" s="1" customFormat="1" customHeight="1" spans="1:57">
      <c r="A51" s="2" t="s">
        <v>92</v>
      </c>
      <c r="B51" s="2"/>
      <c r="C51" s="2" t="s">
        <v>58</v>
      </c>
      <c r="D51" s="2" t="s">
        <v>59</v>
      </c>
      <c r="E51" s="2" t="s">
        <v>60</v>
      </c>
      <c r="F51" s="2" t="s">
        <v>90</v>
      </c>
      <c r="G51" s="2" t="s">
        <v>91</v>
      </c>
      <c r="H51" s="2" t="s">
        <v>63</v>
      </c>
      <c r="I51" s="2" t="s">
        <v>64</v>
      </c>
      <c r="J51" s="2" t="s">
        <v>65</v>
      </c>
      <c r="K51" s="2">
        <v>0</v>
      </c>
      <c r="L51" s="2">
        <f t="shared" si="3"/>
        <v>0</v>
      </c>
      <c r="M51" s="12">
        <f t="shared" si="4"/>
        <v>0</v>
      </c>
      <c r="N51" s="2">
        <f t="shared" si="5"/>
        <v>0</v>
      </c>
      <c r="O51" s="2">
        <v>0</v>
      </c>
      <c r="P51" s="2">
        <v>0</v>
      </c>
      <c r="Q51" s="13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13">
        <v>0</v>
      </c>
      <c r="X51" s="2">
        <v>0</v>
      </c>
      <c r="Y51" s="2">
        <v>0</v>
      </c>
      <c r="Z51" s="2">
        <v>-42.45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13">
        <v>-42.45</v>
      </c>
      <c r="AG51" s="2">
        <v>0</v>
      </c>
      <c r="AH51" s="2">
        <v>0</v>
      </c>
      <c r="AI51" s="2">
        <v>0</v>
      </c>
      <c r="AJ51" s="13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13">
        <v>0</v>
      </c>
      <c r="AS51" s="2">
        <v>0</v>
      </c>
      <c r="AT51" s="14">
        <v>0</v>
      </c>
      <c r="AU51" s="14">
        <v>0</v>
      </c>
      <c r="AV51" s="14">
        <v>0</v>
      </c>
      <c r="AW51" s="13">
        <v>0</v>
      </c>
      <c r="AX51" s="13">
        <v>-42.45</v>
      </c>
      <c r="AY51" s="13">
        <v>42.45</v>
      </c>
      <c r="AZ51" s="2">
        <v>0</v>
      </c>
      <c r="BA51" s="2">
        <v>0</v>
      </c>
      <c r="BB51" s="2">
        <v>0</v>
      </c>
      <c r="BC51" s="15">
        <v>0</v>
      </c>
      <c r="BD51" s="13">
        <v>0</v>
      </c>
      <c r="BE51" s="13">
        <v>42.45</v>
      </c>
    </row>
    <row r="52" s="1" customFormat="1" customHeight="1" spans="1:57">
      <c r="A52" s="2" t="s">
        <v>92</v>
      </c>
      <c r="B52" s="2"/>
      <c r="C52" s="2" t="s">
        <v>82</v>
      </c>
      <c r="D52" s="2" t="s">
        <v>83</v>
      </c>
      <c r="E52" s="2" t="s">
        <v>60</v>
      </c>
      <c r="F52" s="2" t="s">
        <v>84</v>
      </c>
      <c r="G52" s="2" t="s">
        <v>85</v>
      </c>
      <c r="H52" s="2" t="s">
        <v>86</v>
      </c>
      <c r="I52" s="2" t="s">
        <v>64</v>
      </c>
      <c r="J52" s="2" t="s">
        <v>65</v>
      </c>
      <c r="K52" s="2">
        <v>499717.27</v>
      </c>
      <c r="L52" s="2">
        <f t="shared" si="3"/>
        <v>380040.2666</v>
      </c>
      <c r="M52" s="12">
        <f t="shared" si="4"/>
        <v>0.239489428492235</v>
      </c>
      <c r="N52" s="2">
        <f t="shared" si="5"/>
        <v>4.88172333570968</v>
      </c>
      <c r="O52" s="2">
        <v>336318.82</v>
      </c>
      <c r="P52" s="2">
        <v>110736.3</v>
      </c>
      <c r="Q52" s="13">
        <v>225582.52</v>
      </c>
      <c r="R52" s="2">
        <v>64341.9115044248</v>
      </c>
      <c r="S52" s="2">
        <v>0</v>
      </c>
      <c r="T52" s="2">
        <v>0</v>
      </c>
      <c r="U52" s="2">
        <v>0</v>
      </c>
      <c r="V52" s="2">
        <v>0</v>
      </c>
      <c r="W52" s="13">
        <v>161240.608495575</v>
      </c>
      <c r="X52" s="2">
        <v>0</v>
      </c>
      <c r="Y52" s="2">
        <v>73443.03</v>
      </c>
      <c r="Z52" s="2">
        <v>1150.52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13">
        <v>74593.55</v>
      </c>
      <c r="AG52" s="2">
        <v>0</v>
      </c>
      <c r="AH52" s="2">
        <v>19976.1477169811</v>
      </c>
      <c r="AI52" s="2">
        <v>3000</v>
      </c>
      <c r="AJ52" s="13">
        <v>22976.1477169811</v>
      </c>
      <c r="AK52" s="2">
        <v>16471.695</v>
      </c>
      <c r="AL52" s="2">
        <v>4084.74</v>
      </c>
      <c r="AM52" s="2">
        <v>0</v>
      </c>
      <c r="AN52" s="2">
        <v>16100.904</v>
      </c>
      <c r="AO52" s="2">
        <v>0</v>
      </c>
      <c r="AP52" s="2">
        <v>0</v>
      </c>
      <c r="AQ52" s="2">
        <v>4312.875</v>
      </c>
      <c r="AR52" s="13">
        <v>40970.214</v>
      </c>
      <c r="AS52" s="2">
        <v>36140.794</v>
      </c>
      <c r="AT52" s="14">
        <v>0</v>
      </c>
      <c r="AU52" s="14">
        <v>0</v>
      </c>
      <c r="AV52" s="14">
        <v>0</v>
      </c>
      <c r="AW52" s="13">
        <v>36140.794</v>
      </c>
      <c r="AX52" s="13">
        <v>177737.309716981</v>
      </c>
      <c r="AY52" s="13">
        <v>-16496.701221406</v>
      </c>
      <c r="AZ52" s="2">
        <v>0</v>
      </c>
      <c r="BA52" s="2">
        <v>2830.188</v>
      </c>
      <c r="BB52" s="2">
        <v>0</v>
      </c>
      <c r="BC52" s="15">
        <v>-2443.03</v>
      </c>
      <c r="BD52" s="13">
        <v>387.158</v>
      </c>
      <c r="BE52" s="13">
        <v>-16883.859221406</v>
      </c>
    </row>
    <row r="53" s="1" customFormat="1" customHeight="1" spans="1:57">
      <c r="A53" s="2" t="s">
        <v>92</v>
      </c>
      <c r="B53" s="2"/>
      <c r="C53" s="2" t="s">
        <v>58</v>
      </c>
      <c r="D53" s="2" t="s">
        <v>59</v>
      </c>
      <c r="E53" s="2" t="s">
        <v>60</v>
      </c>
      <c r="F53" s="2" t="s">
        <v>78</v>
      </c>
      <c r="G53" s="2" t="s">
        <v>79</v>
      </c>
      <c r="H53" s="2" t="s">
        <v>63</v>
      </c>
      <c r="I53" s="2" t="s">
        <v>64</v>
      </c>
      <c r="J53" s="2" t="s">
        <v>65</v>
      </c>
      <c r="K53" s="2">
        <v>868.3</v>
      </c>
      <c r="L53" s="2">
        <f t="shared" si="3"/>
        <v>838.3131</v>
      </c>
      <c r="M53" s="12">
        <f t="shared" ref="M53:M66" si="6">IFERROR(1-L53/K53,0)</f>
        <v>0.0345351836922723</v>
      </c>
      <c r="N53" s="2">
        <f t="shared" ref="N53:N66" si="7">IFERROR(L53/(Y53*1.06),0)</f>
        <v>0</v>
      </c>
      <c r="O53" s="2">
        <v>741.87</v>
      </c>
      <c r="P53" s="2">
        <v>244.79</v>
      </c>
      <c r="Q53" s="13">
        <v>497.08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13">
        <v>497.08</v>
      </c>
      <c r="X53" s="2">
        <v>0</v>
      </c>
      <c r="Y53" s="2">
        <v>0</v>
      </c>
      <c r="Z53" s="2">
        <v>123.16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13">
        <v>123.16</v>
      </c>
      <c r="AG53" s="2">
        <v>0</v>
      </c>
      <c r="AH53" s="2">
        <v>0</v>
      </c>
      <c r="AI53" s="2">
        <v>0</v>
      </c>
      <c r="AJ53" s="13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13">
        <v>0</v>
      </c>
      <c r="AS53" s="2">
        <v>0</v>
      </c>
      <c r="AT53" s="14">
        <v>0</v>
      </c>
      <c r="AU53" s="14">
        <v>0</v>
      </c>
      <c r="AV53" s="14">
        <v>0</v>
      </c>
      <c r="AW53" s="13">
        <v>0</v>
      </c>
      <c r="AX53" s="13">
        <v>123.16</v>
      </c>
      <c r="AY53" s="13">
        <v>373.92</v>
      </c>
      <c r="AZ53" s="2">
        <v>0</v>
      </c>
      <c r="BA53" s="2">
        <v>0</v>
      </c>
      <c r="BB53" s="2">
        <v>0</v>
      </c>
      <c r="BC53" s="15">
        <v>-12.88</v>
      </c>
      <c r="BD53" s="13">
        <v>-12.88</v>
      </c>
      <c r="BE53" s="13">
        <v>386.8</v>
      </c>
    </row>
    <row r="54" s="1" customFormat="1" customHeight="1" spans="1:57">
      <c r="A54" s="2" t="s">
        <v>92</v>
      </c>
      <c r="B54" s="2"/>
      <c r="C54" s="2" t="s">
        <v>58</v>
      </c>
      <c r="D54" s="2" t="s">
        <v>59</v>
      </c>
      <c r="E54" s="2" t="s">
        <v>60</v>
      </c>
      <c r="F54" s="2" t="s">
        <v>70</v>
      </c>
      <c r="G54" s="2" t="s">
        <v>71</v>
      </c>
      <c r="H54" s="2" t="s">
        <v>63</v>
      </c>
      <c r="I54" s="2" t="s">
        <v>64</v>
      </c>
      <c r="J54" s="2" t="s">
        <v>65</v>
      </c>
      <c r="K54" s="2">
        <v>0</v>
      </c>
      <c r="L54" s="2">
        <f t="shared" ref="L54:L66" si="8">O54*1.13</f>
        <v>0</v>
      </c>
      <c r="M54" s="12">
        <f t="shared" si="6"/>
        <v>0</v>
      </c>
      <c r="N54" s="2">
        <f t="shared" si="7"/>
        <v>0</v>
      </c>
      <c r="O54" s="2">
        <v>0</v>
      </c>
      <c r="P54" s="2">
        <v>0</v>
      </c>
      <c r="Q54" s="13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13">
        <v>0</v>
      </c>
      <c r="X54" s="2">
        <v>0</v>
      </c>
      <c r="Y54" s="2">
        <v>0</v>
      </c>
      <c r="Z54" s="2">
        <v>16981.13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13">
        <v>16981.13</v>
      </c>
      <c r="AG54" s="2">
        <v>0</v>
      </c>
      <c r="AH54" s="2">
        <v>0</v>
      </c>
      <c r="AI54" s="2">
        <v>0</v>
      </c>
      <c r="AJ54" s="13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13">
        <v>0</v>
      </c>
      <c r="AS54" s="2">
        <v>0</v>
      </c>
      <c r="AT54" s="14">
        <v>0</v>
      </c>
      <c r="AU54" s="14">
        <v>0</v>
      </c>
      <c r="AV54" s="14">
        <v>0</v>
      </c>
      <c r="AW54" s="13">
        <v>0</v>
      </c>
      <c r="AX54" s="13">
        <v>16981.13</v>
      </c>
      <c r="AY54" s="13">
        <v>-16981.13</v>
      </c>
      <c r="AZ54" s="2">
        <v>0</v>
      </c>
      <c r="BA54" s="2">
        <v>0</v>
      </c>
      <c r="BB54" s="2">
        <v>0</v>
      </c>
      <c r="BC54" s="15">
        <v>0</v>
      </c>
      <c r="BD54" s="13">
        <v>0</v>
      </c>
      <c r="BE54" s="13">
        <v>-16981.13</v>
      </c>
    </row>
    <row r="55" s="1" customFormat="1" customHeight="1" spans="1:57">
      <c r="A55" s="2" t="s">
        <v>95</v>
      </c>
      <c r="B55" s="2"/>
      <c r="C55" s="2" t="s">
        <v>58</v>
      </c>
      <c r="D55" s="2" t="s">
        <v>59</v>
      </c>
      <c r="E55" s="2" t="s">
        <v>60</v>
      </c>
      <c r="F55" s="2" t="s">
        <v>68</v>
      </c>
      <c r="G55" s="2" t="s">
        <v>69</v>
      </c>
      <c r="H55" s="2" t="s">
        <v>63</v>
      </c>
      <c r="I55" s="2" t="s">
        <v>64</v>
      </c>
      <c r="J55" s="2" t="s">
        <v>65</v>
      </c>
      <c r="K55" s="2">
        <v>840151.931428571</v>
      </c>
      <c r="L55" s="2">
        <f t="shared" si="8"/>
        <v>647239.14</v>
      </c>
      <c r="M55" s="12">
        <f t="shared" si="6"/>
        <v>0.229616554116048</v>
      </c>
      <c r="N55" s="2">
        <f t="shared" si="7"/>
        <v>4.30305117874666</v>
      </c>
      <c r="O55" s="2">
        <v>572778</v>
      </c>
      <c r="P55" s="2">
        <v>209546.377142857</v>
      </c>
      <c r="Q55" s="13">
        <v>363231.622857143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13">
        <v>363231.622857143</v>
      </c>
      <c r="X55" s="2">
        <v>12543.8382</v>
      </c>
      <c r="Y55" s="2">
        <v>141900</v>
      </c>
      <c r="Z55" s="2">
        <v>27894.2886</v>
      </c>
      <c r="AA55" s="2">
        <v>104605.61</v>
      </c>
      <c r="AB55" s="2">
        <v>4460</v>
      </c>
      <c r="AC55" s="2">
        <v>0</v>
      </c>
      <c r="AD55" s="2">
        <v>0</v>
      </c>
      <c r="AE55" s="2">
        <v>0</v>
      </c>
      <c r="AF55" s="13">
        <v>291403.7368</v>
      </c>
      <c r="AG55" s="2">
        <v>0</v>
      </c>
      <c r="AH55" s="2">
        <v>15000</v>
      </c>
      <c r="AI55" s="2">
        <v>2000</v>
      </c>
      <c r="AJ55" s="13">
        <v>17000</v>
      </c>
      <c r="AK55" s="2">
        <v>3660.356</v>
      </c>
      <c r="AL55" s="2">
        <v>2723.16</v>
      </c>
      <c r="AM55" s="2">
        <v>0</v>
      </c>
      <c r="AN55" s="2">
        <v>10733.936</v>
      </c>
      <c r="AO55" s="2">
        <v>0</v>
      </c>
      <c r="AP55" s="2">
        <v>0</v>
      </c>
      <c r="AQ55" s="2">
        <v>2875.25</v>
      </c>
      <c r="AR55" s="13">
        <v>19992.702</v>
      </c>
      <c r="AS55" s="2">
        <v>24027.196</v>
      </c>
      <c r="AT55" s="14">
        <v>0</v>
      </c>
      <c r="AU55" s="14">
        <v>0</v>
      </c>
      <c r="AV55" s="14">
        <v>0</v>
      </c>
      <c r="AW55" s="13">
        <v>24027.196</v>
      </c>
      <c r="AX55" s="13">
        <v>352423.6348</v>
      </c>
      <c r="AY55" s="13">
        <v>10807.9880571429</v>
      </c>
      <c r="AZ55" s="2">
        <v>0</v>
      </c>
      <c r="BA55" s="2">
        <v>1886.792</v>
      </c>
      <c r="BB55" s="2">
        <v>0</v>
      </c>
      <c r="BC55" s="15">
        <v>0</v>
      </c>
      <c r="BD55" s="13">
        <v>1886.792</v>
      </c>
      <c r="BE55" s="13">
        <v>8921.19605714295</v>
      </c>
    </row>
    <row r="56" s="1" customFormat="1" customHeight="1" spans="1:57">
      <c r="A56" s="2" t="s">
        <v>95</v>
      </c>
      <c r="B56" s="2"/>
      <c r="C56" s="2" t="s">
        <v>58</v>
      </c>
      <c r="D56" s="2" t="s">
        <v>59</v>
      </c>
      <c r="E56" s="2" t="s">
        <v>60</v>
      </c>
      <c r="F56" s="2" t="s">
        <v>76</v>
      </c>
      <c r="G56" s="2" t="s">
        <v>77</v>
      </c>
      <c r="H56" s="2" t="s">
        <v>63</v>
      </c>
      <c r="I56" s="2" t="s">
        <v>64</v>
      </c>
      <c r="J56" s="2" t="s">
        <v>65</v>
      </c>
      <c r="K56" s="2">
        <v>0</v>
      </c>
      <c r="L56" s="2">
        <f t="shared" si="8"/>
        <v>34578</v>
      </c>
      <c r="M56" s="12">
        <f t="shared" si="6"/>
        <v>0</v>
      </c>
      <c r="N56" s="2">
        <f t="shared" si="7"/>
        <v>0</v>
      </c>
      <c r="O56" s="2">
        <v>30600</v>
      </c>
      <c r="P56" s="2">
        <v>22700</v>
      </c>
      <c r="Q56" s="13">
        <v>7900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13">
        <v>7900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13">
        <v>0</v>
      </c>
      <c r="AG56" s="2">
        <v>0</v>
      </c>
      <c r="AH56" s="2">
        <v>0</v>
      </c>
      <c r="AI56" s="2">
        <v>0</v>
      </c>
      <c r="AJ56" s="13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13">
        <v>0</v>
      </c>
      <c r="AS56" s="2">
        <v>0</v>
      </c>
      <c r="AT56" s="14">
        <v>0</v>
      </c>
      <c r="AU56" s="14">
        <v>0</v>
      </c>
      <c r="AV56" s="14">
        <v>0</v>
      </c>
      <c r="AW56" s="13">
        <v>0</v>
      </c>
      <c r="AX56" s="13">
        <v>0</v>
      </c>
      <c r="AY56" s="13">
        <v>7900</v>
      </c>
      <c r="AZ56" s="2">
        <v>0</v>
      </c>
      <c r="BA56" s="2">
        <v>0</v>
      </c>
      <c r="BB56" s="2">
        <v>0</v>
      </c>
      <c r="BC56" s="15">
        <v>0</v>
      </c>
      <c r="BD56" s="13">
        <v>0</v>
      </c>
      <c r="BE56" s="13">
        <v>7900</v>
      </c>
    </row>
    <row r="57" s="1" customFormat="1" customHeight="1" spans="1:57">
      <c r="A57" s="2" t="s">
        <v>95</v>
      </c>
      <c r="B57" s="2"/>
      <c r="C57" s="2" t="s">
        <v>58</v>
      </c>
      <c r="D57" s="2" t="s">
        <v>59</v>
      </c>
      <c r="E57" s="2" t="s">
        <v>60</v>
      </c>
      <c r="F57" s="2" t="s">
        <v>80</v>
      </c>
      <c r="G57" s="2" t="s">
        <v>81</v>
      </c>
      <c r="H57" s="2" t="s">
        <v>63</v>
      </c>
      <c r="I57" s="2" t="s">
        <v>64</v>
      </c>
      <c r="J57" s="2" t="s">
        <v>65</v>
      </c>
      <c r="K57" s="2">
        <v>0</v>
      </c>
      <c r="L57" s="2">
        <f t="shared" si="8"/>
        <v>0</v>
      </c>
      <c r="M57" s="12">
        <f t="shared" si="6"/>
        <v>0</v>
      </c>
      <c r="N57" s="2">
        <f t="shared" si="7"/>
        <v>0</v>
      </c>
      <c r="O57" s="2">
        <v>0</v>
      </c>
      <c r="P57" s="2">
        <v>0</v>
      </c>
      <c r="Q57" s="13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13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13">
        <v>0</v>
      </c>
      <c r="AG57" s="2">
        <v>0</v>
      </c>
      <c r="AH57" s="2">
        <v>0</v>
      </c>
      <c r="AI57" s="2">
        <v>0</v>
      </c>
      <c r="AJ57" s="13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13">
        <v>0</v>
      </c>
      <c r="AS57" s="2">
        <v>20000</v>
      </c>
      <c r="AT57" s="14">
        <v>0</v>
      </c>
      <c r="AU57" s="14">
        <v>0</v>
      </c>
      <c r="AV57" s="14">
        <v>0</v>
      </c>
      <c r="AW57" s="13">
        <v>20000</v>
      </c>
      <c r="AX57" s="13">
        <v>20000</v>
      </c>
      <c r="AY57" s="13">
        <v>-20000</v>
      </c>
      <c r="AZ57" s="2">
        <v>0</v>
      </c>
      <c r="BA57" s="2">
        <v>0</v>
      </c>
      <c r="BB57" s="2">
        <v>0</v>
      </c>
      <c r="BC57" s="15">
        <v>0</v>
      </c>
      <c r="BD57" s="13">
        <v>0</v>
      </c>
      <c r="BE57" s="13">
        <v>-20000</v>
      </c>
    </row>
    <row r="58" s="1" customFormat="1" customHeight="1" spans="1:57">
      <c r="A58" s="2" t="s">
        <v>95</v>
      </c>
      <c r="B58" s="2"/>
      <c r="C58" s="2" t="s">
        <v>58</v>
      </c>
      <c r="D58" s="2" t="s">
        <v>59</v>
      </c>
      <c r="E58" s="2" t="s">
        <v>60</v>
      </c>
      <c r="F58" s="2" t="s">
        <v>72</v>
      </c>
      <c r="G58" s="2" t="s">
        <v>73</v>
      </c>
      <c r="H58" s="2" t="s">
        <v>63</v>
      </c>
      <c r="I58" s="2" t="s">
        <v>64</v>
      </c>
      <c r="J58" s="2" t="s">
        <v>65</v>
      </c>
      <c r="K58" s="2">
        <v>0</v>
      </c>
      <c r="L58" s="2">
        <f t="shared" si="8"/>
        <v>0</v>
      </c>
      <c r="M58" s="12">
        <f t="shared" si="6"/>
        <v>0</v>
      </c>
      <c r="N58" s="2">
        <f t="shared" si="7"/>
        <v>0</v>
      </c>
      <c r="O58" s="2">
        <v>0</v>
      </c>
      <c r="P58" s="2">
        <v>0</v>
      </c>
      <c r="Q58" s="13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13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13">
        <v>0</v>
      </c>
      <c r="AG58" s="2">
        <v>0</v>
      </c>
      <c r="AH58" s="2">
        <v>0</v>
      </c>
      <c r="AI58" s="2">
        <v>0</v>
      </c>
      <c r="AJ58" s="13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13">
        <v>0</v>
      </c>
      <c r="AS58" s="2">
        <v>0</v>
      </c>
      <c r="AT58" s="14">
        <v>0</v>
      </c>
      <c r="AU58" s="14">
        <v>0</v>
      </c>
      <c r="AV58" s="14">
        <v>0</v>
      </c>
      <c r="AW58" s="13">
        <v>0</v>
      </c>
      <c r="AX58" s="13">
        <v>0</v>
      </c>
      <c r="AY58" s="13">
        <v>0</v>
      </c>
      <c r="AZ58" s="2">
        <v>0</v>
      </c>
      <c r="BA58" s="2">
        <v>0</v>
      </c>
      <c r="BB58" s="2">
        <v>0</v>
      </c>
      <c r="BC58" s="15">
        <v>0</v>
      </c>
      <c r="BD58" s="13">
        <v>0</v>
      </c>
      <c r="BE58" s="13">
        <v>0</v>
      </c>
    </row>
    <row r="59" s="1" customFormat="1" customHeight="1" spans="1:57">
      <c r="A59" s="2" t="s">
        <v>95</v>
      </c>
      <c r="B59" s="2"/>
      <c r="C59" s="2" t="s">
        <v>58</v>
      </c>
      <c r="D59" s="2" t="s">
        <v>59</v>
      </c>
      <c r="E59" s="2" t="s">
        <v>60</v>
      </c>
      <c r="F59" s="2" t="s">
        <v>66</v>
      </c>
      <c r="G59" s="2" t="s">
        <v>67</v>
      </c>
      <c r="H59" s="2" t="s">
        <v>63</v>
      </c>
      <c r="I59" s="2" t="s">
        <v>64</v>
      </c>
      <c r="J59" s="2" t="s">
        <v>65</v>
      </c>
      <c r="K59" s="2">
        <v>39200</v>
      </c>
      <c r="L59" s="2">
        <f t="shared" si="8"/>
        <v>40341</v>
      </c>
      <c r="M59" s="12">
        <f t="shared" si="6"/>
        <v>-0.0291071428571428</v>
      </c>
      <c r="N59" s="2">
        <f t="shared" si="7"/>
        <v>3.73794466285233</v>
      </c>
      <c r="O59" s="2">
        <v>35700</v>
      </c>
      <c r="P59" s="2">
        <v>18000</v>
      </c>
      <c r="Q59" s="13">
        <v>17700</v>
      </c>
      <c r="R59" s="2">
        <v>0</v>
      </c>
      <c r="S59" s="2">
        <v>0</v>
      </c>
      <c r="T59" s="2">
        <v>0</v>
      </c>
      <c r="U59" s="2">
        <v>0</v>
      </c>
      <c r="V59" s="2">
        <v>4.65</v>
      </c>
      <c r="W59" s="13">
        <v>17704.65</v>
      </c>
      <c r="X59" s="2">
        <v>1000</v>
      </c>
      <c r="Y59" s="2">
        <v>10181.41</v>
      </c>
      <c r="Z59" s="2">
        <v>1000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13">
        <v>12181.41</v>
      </c>
      <c r="AG59" s="2">
        <v>0</v>
      </c>
      <c r="AH59" s="2">
        <v>0</v>
      </c>
      <c r="AI59" s="2">
        <v>0</v>
      </c>
      <c r="AJ59" s="13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13">
        <v>0</v>
      </c>
      <c r="AS59" s="2">
        <v>0</v>
      </c>
      <c r="AT59" s="14">
        <v>0</v>
      </c>
      <c r="AU59" s="14">
        <v>0</v>
      </c>
      <c r="AV59" s="14">
        <v>0</v>
      </c>
      <c r="AW59" s="13">
        <v>0</v>
      </c>
      <c r="AX59" s="13">
        <v>12181.41</v>
      </c>
      <c r="AY59" s="13">
        <v>5523.24</v>
      </c>
      <c r="AZ59" s="2">
        <v>0</v>
      </c>
      <c r="BA59" s="2">
        <v>0</v>
      </c>
      <c r="BB59" s="2">
        <v>0</v>
      </c>
      <c r="BC59" s="15">
        <v>0</v>
      </c>
      <c r="BD59" s="13">
        <v>0</v>
      </c>
      <c r="BE59" s="13">
        <v>5523.24</v>
      </c>
    </row>
    <row r="60" s="1" customFormat="1" customHeight="1" spans="1:57">
      <c r="A60" s="2" t="s">
        <v>95</v>
      </c>
      <c r="B60" s="2"/>
      <c r="C60" s="2" t="s">
        <v>58</v>
      </c>
      <c r="D60" s="2" t="s">
        <v>59</v>
      </c>
      <c r="E60" s="2" t="s">
        <v>60</v>
      </c>
      <c r="F60" s="2" t="s">
        <v>61</v>
      </c>
      <c r="G60" s="2" t="s">
        <v>62</v>
      </c>
      <c r="H60" s="2" t="s">
        <v>63</v>
      </c>
      <c r="I60" s="2" t="s">
        <v>64</v>
      </c>
      <c r="J60" s="2" t="s">
        <v>65</v>
      </c>
      <c r="K60" s="2">
        <v>710494.525714286</v>
      </c>
      <c r="L60" s="2">
        <f t="shared" si="8"/>
        <v>532419.788342857</v>
      </c>
      <c r="M60" s="12">
        <f t="shared" si="6"/>
        <v>0.250634918252754</v>
      </c>
      <c r="N60" s="2">
        <f t="shared" si="7"/>
        <v>4.85022142207769</v>
      </c>
      <c r="O60" s="2">
        <v>471167.954285714</v>
      </c>
      <c r="P60" s="2">
        <v>195307.748571429</v>
      </c>
      <c r="Q60" s="13">
        <v>275860.205714286</v>
      </c>
      <c r="R60" s="2">
        <v>0</v>
      </c>
      <c r="S60" s="2">
        <v>0</v>
      </c>
      <c r="T60" s="2">
        <v>0</v>
      </c>
      <c r="U60" s="2">
        <v>0</v>
      </c>
      <c r="V60" s="2">
        <v>304.8</v>
      </c>
      <c r="W60" s="13">
        <v>276165.005714286</v>
      </c>
      <c r="X60" s="2">
        <v>9046.42472228571</v>
      </c>
      <c r="Y60" s="2">
        <v>103558.74</v>
      </c>
      <c r="Z60" s="2">
        <v>50556.3214948571</v>
      </c>
      <c r="AA60" s="2">
        <v>0</v>
      </c>
      <c r="AB60" s="2">
        <v>5094.34</v>
      </c>
      <c r="AC60" s="2">
        <v>0</v>
      </c>
      <c r="AD60" s="2">
        <v>0</v>
      </c>
      <c r="AE60" s="2">
        <v>0</v>
      </c>
      <c r="AF60" s="13">
        <v>168255.826217143</v>
      </c>
      <c r="AG60" s="2">
        <v>0</v>
      </c>
      <c r="AH60" s="2">
        <v>30000</v>
      </c>
      <c r="AI60" s="2">
        <v>13000</v>
      </c>
      <c r="AJ60" s="13">
        <v>43000</v>
      </c>
      <c r="AK60" s="2">
        <v>9150.89</v>
      </c>
      <c r="AL60" s="2">
        <v>6807.9</v>
      </c>
      <c r="AM60" s="2">
        <v>0</v>
      </c>
      <c r="AN60" s="2">
        <v>26834.84</v>
      </c>
      <c r="AO60" s="2">
        <v>0</v>
      </c>
      <c r="AP60" s="2">
        <v>0</v>
      </c>
      <c r="AQ60" s="2">
        <v>7188.125</v>
      </c>
      <c r="AR60" s="13">
        <v>49981.755</v>
      </c>
      <c r="AS60" s="2">
        <v>60067.99</v>
      </c>
      <c r="AT60" s="14">
        <v>0</v>
      </c>
      <c r="AU60" s="14">
        <v>0</v>
      </c>
      <c r="AV60" s="14">
        <v>0</v>
      </c>
      <c r="AW60" s="13">
        <v>60067.99</v>
      </c>
      <c r="AX60" s="13">
        <v>321305.571217143</v>
      </c>
      <c r="AY60" s="13">
        <v>-45140.5655028572</v>
      </c>
      <c r="AZ60" s="2">
        <v>0</v>
      </c>
      <c r="BA60" s="2">
        <v>4716.98</v>
      </c>
      <c r="BB60" s="2">
        <v>0</v>
      </c>
      <c r="BC60" s="15">
        <v>0</v>
      </c>
      <c r="BD60" s="13">
        <v>4716.98</v>
      </c>
      <c r="BE60" s="13">
        <v>-49857.5455028572</v>
      </c>
    </row>
    <row r="61" s="1" customFormat="1" customHeight="1" spans="1:57">
      <c r="A61" s="2" t="s">
        <v>95</v>
      </c>
      <c r="B61" s="2"/>
      <c r="C61" s="2" t="s">
        <v>58</v>
      </c>
      <c r="D61" s="2" t="s">
        <v>59</v>
      </c>
      <c r="E61" s="2" t="s">
        <v>60</v>
      </c>
      <c r="F61" s="2" t="s">
        <v>74</v>
      </c>
      <c r="G61" s="2" t="s">
        <v>75</v>
      </c>
      <c r="H61" s="2" t="s">
        <v>63</v>
      </c>
      <c r="I61" s="2" t="s">
        <v>64</v>
      </c>
      <c r="J61" s="2" t="s">
        <v>65</v>
      </c>
      <c r="K61" s="2">
        <v>2200</v>
      </c>
      <c r="L61" s="2">
        <f t="shared" si="8"/>
        <v>1330.2021</v>
      </c>
      <c r="M61" s="12">
        <f t="shared" si="6"/>
        <v>0.395362681818182</v>
      </c>
      <c r="N61" s="2">
        <f t="shared" si="7"/>
        <v>0</v>
      </c>
      <c r="O61" s="2">
        <v>1177.17</v>
      </c>
      <c r="P61" s="2">
        <v>207.69</v>
      </c>
      <c r="Q61" s="13">
        <v>969.48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13">
        <v>969.48</v>
      </c>
      <c r="X61" s="2">
        <v>24.13</v>
      </c>
      <c r="Y61" s="2">
        <v>0</v>
      </c>
      <c r="Z61" s="2">
        <v>200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13">
        <v>224.13</v>
      </c>
      <c r="AG61" s="2">
        <v>0</v>
      </c>
      <c r="AH61" s="2">
        <v>0</v>
      </c>
      <c r="AI61" s="2">
        <v>0</v>
      </c>
      <c r="AJ61" s="13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13">
        <v>0</v>
      </c>
      <c r="AS61" s="2">
        <v>0</v>
      </c>
      <c r="AT61" s="14">
        <v>0</v>
      </c>
      <c r="AU61" s="14">
        <v>0</v>
      </c>
      <c r="AV61" s="14">
        <v>0</v>
      </c>
      <c r="AW61" s="13">
        <v>0</v>
      </c>
      <c r="AX61" s="13">
        <v>224.13</v>
      </c>
      <c r="AY61" s="13">
        <v>745.35</v>
      </c>
      <c r="AZ61" s="2">
        <v>0</v>
      </c>
      <c r="BA61" s="2">
        <v>0</v>
      </c>
      <c r="BB61" s="2">
        <v>0</v>
      </c>
      <c r="BC61" s="15">
        <v>0</v>
      </c>
      <c r="BD61" s="13">
        <v>0</v>
      </c>
      <c r="BE61" s="13">
        <v>745.35</v>
      </c>
    </row>
    <row r="62" s="1" customFormat="1" customHeight="1" spans="1:57">
      <c r="A62" s="2" t="s">
        <v>95</v>
      </c>
      <c r="B62" s="2"/>
      <c r="C62" s="2" t="s">
        <v>58</v>
      </c>
      <c r="D62" s="2" t="s">
        <v>59</v>
      </c>
      <c r="E62" s="2" t="s">
        <v>60</v>
      </c>
      <c r="F62" s="2" t="s">
        <v>93</v>
      </c>
      <c r="G62" s="2" t="s">
        <v>94</v>
      </c>
      <c r="H62" s="2" t="s">
        <v>63</v>
      </c>
      <c r="I62" s="2" t="s">
        <v>64</v>
      </c>
      <c r="J62" s="2" t="s">
        <v>65</v>
      </c>
      <c r="K62" s="2">
        <v>0</v>
      </c>
      <c r="L62" s="2">
        <f t="shared" si="8"/>
        <v>0</v>
      </c>
      <c r="M62" s="12">
        <f t="shared" si="6"/>
        <v>0</v>
      </c>
      <c r="N62" s="2">
        <f t="shared" si="7"/>
        <v>0</v>
      </c>
      <c r="O62" s="2">
        <v>0</v>
      </c>
      <c r="P62" s="2">
        <v>0</v>
      </c>
      <c r="Q62" s="13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13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13">
        <v>0</v>
      </c>
      <c r="AG62" s="2">
        <v>0</v>
      </c>
      <c r="AH62" s="2">
        <v>0</v>
      </c>
      <c r="AI62" s="2">
        <v>0</v>
      </c>
      <c r="AJ62" s="13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13">
        <v>0</v>
      </c>
      <c r="AS62" s="2">
        <v>0</v>
      </c>
      <c r="AT62" s="14">
        <v>0</v>
      </c>
      <c r="AU62" s="14">
        <v>0</v>
      </c>
      <c r="AV62" s="14">
        <v>0</v>
      </c>
      <c r="AW62" s="13">
        <v>0</v>
      </c>
      <c r="AX62" s="13">
        <v>0</v>
      </c>
      <c r="AY62" s="13">
        <v>0</v>
      </c>
      <c r="AZ62" s="2">
        <v>0</v>
      </c>
      <c r="BA62" s="2">
        <v>0</v>
      </c>
      <c r="BB62" s="2">
        <v>0</v>
      </c>
      <c r="BC62" s="15">
        <v>0</v>
      </c>
      <c r="BD62" s="13">
        <v>0</v>
      </c>
      <c r="BE62" s="13">
        <v>0</v>
      </c>
    </row>
    <row r="63" s="1" customFormat="1" customHeight="1" spans="1:57">
      <c r="A63" s="2" t="s">
        <v>95</v>
      </c>
      <c r="B63" s="2"/>
      <c r="C63" s="2" t="s">
        <v>58</v>
      </c>
      <c r="D63" s="2" t="s">
        <v>59</v>
      </c>
      <c r="E63" s="2" t="s">
        <v>60</v>
      </c>
      <c r="F63" s="2" t="s">
        <v>90</v>
      </c>
      <c r="G63" s="2" t="s">
        <v>91</v>
      </c>
      <c r="H63" s="2" t="s">
        <v>63</v>
      </c>
      <c r="I63" s="2" t="s">
        <v>64</v>
      </c>
      <c r="J63" s="2" t="s">
        <v>65</v>
      </c>
      <c r="K63" s="2">
        <v>0</v>
      </c>
      <c r="L63" s="2">
        <f t="shared" si="8"/>
        <v>0</v>
      </c>
      <c r="M63" s="12">
        <f t="shared" si="6"/>
        <v>0</v>
      </c>
      <c r="N63" s="2">
        <f t="shared" si="7"/>
        <v>0</v>
      </c>
      <c r="O63" s="2">
        <v>0</v>
      </c>
      <c r="P63" s="2">
        <v>0</v>
      </c>
      <c r="Q63" s="13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13">
        <v>0</v>
      </c>
      <c r="X63" s="2">
        <v>0</v>
      </c>
      <c r="Y63" s="2">
        <v>0</v>
      </c>
      <c r="Z63" s="2">
        <v>-42.45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13">
        <v>-42.45</v>
      </c>
      <c r="AG63" s="2">
        <v>0</v>
      </c>
      <c r="AH63" s="2">
        <v>0</v>
      </c>
      <c r="AI63" s="2">
        <v>0</v>
      </c>
      <c r="AJ63" s="13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13">
        <v>0</v>
      </c>
      <c r="AS63" s="2">
        <v>0</v>
      </c>
      <c r="AT63" s="14">
        <v>0</v>
      </c>
      <c r="AU63" s="14">
        <v>0</v>
      </c>
      <c r="AV63" s="14">
        <v>0</v>
      </c>
      <c r="AW63" s="13">
        <v>0</v>
      </c>
      <c r="AX63" s="13">
        <v>-42.45</v>
      </c>
      <c r="AY63" s="13">
        <v>42.45</v>
      </c>
      <c r="AZ63" s="2">
        <v>0</v>
      </c>
      <c r="BA63" s="2">
        <v>0</v>
      </c>
      <c r="BB63" s="2">
        <v>0</v>
      </c>
      <c r="BC63" s="15">
        <v>0</v>
      </c>
      <c r="BD63" s="13">
        <v>0</v>
      </c>
      <c r="BE63" s="13">
        <v>42.45</v>
      </c>
    </row>
    <row r="64" s="1" customFormat="1" customHeight="1" spans="1:57">
      <c r="A64" s="2" t="s">
        <v>95</v>
      </c>
      <c r="B64" s="2"/>
      <c r="C64" s="2" t="s">
        <v>82</v>
      </c>
      <c r="D64" s="2" t="s">
        <v>83</v>
      </c>
      <c r="E64" s="2" t="s">
        <v>60</v>
      </c>
      <c r="F64" s="2" t="s">
        <v>84</v>
      </c>
      <c r="G64" s="2" t="s">
        <v>85</v>
      </c>
      <c r="H64" s="2" t="s">
        <v>86</v>
      </c>
      <c r="I64" s="2" t="s">
        <v>64</v>
      </c>
      <c r="J64" s="2" t="s">
        <v>65</v>
      </c>
      <c r="K64" s="2">
        <v>506498.445714286</v>
      </c>
      <c r="L64" s="2">
        <f t="shared" si="8"/>
        <v>386673.860571428</v>
      </c>
      <c r="M64" s="12">
        <f t="shared" si="6"/>
        <v>0.236574438000251</v>
      </c>
      <c r="N64" s="2">
        <f t="shared" si="7"/>
        <v>4.74982631401617</v>
      </c>
      <c r="O64" s="2">
        <v>342189.257142857</v>
      </c>
      <c r="P64" s="2">
        <v>103431.108571429</v>
      </c>
      <c r="Q64" s="13">
        <v>238758.148571429</v>
      </c>
      <c r="R64" s="2">
        <v>51592.9203539823</v>
      </c>
      <c r="S64" s="2">
        <v>0</v>
      </c>
      <c r="T64" s="2">
        <v>0</v>
      </c>
      <c r="U64" s="2">
        <v>0</v>
      </c>
      <c r="V64" s="2">
        <v>0</v>
      </c>
      <c r="W64" s="13">
        <v>187165.228217446</v>
      </c>
      <c r="X64" s="2">
        <v>0</v>
      </c>
      <c r="Y64" s="2">
        <v>76800</v>
      </c>
      <c r="Z64" s="2">
        <v>1150.52</v>
      </c>
      <c r="AA64" s="2">
        <v>0</v>
      </c>
      <c r="AB64" s="2">
        <v>3056.604</v>
      </c>
      <c r="AC64" s="2">
        <v>0</v>
      </c>
      <c r="AD64" s="2">
        <v>0</v>
      </c>
      <c r="AE64" s="2">
        <v>0</v>
      </c>
      <c r="AF64" s="13">
        <v>81007.124</v>
      </c>
      <c r="AG64" s="2">
        <v>0</v>
      </c>
      <c r="AH64" s="2">
        <v>25000</v>
      </c>
      <c r="AI64" s="2">
        <v>3000</v>
      </c>
      <c r="AJ64" s="13">
        <v>28000</v>
      </c>
      <c r="AK64" s="2">
        <v>5490.534</v>
      </c>
      <c r="AL64" s="2">
        <v>4084.74</v>
      </c>
      <c r="AM64" s="2">
        <v>0</v>
      </c>
      <c r="AN64" s="2">
        <v>16100.904</v>
      </c>
      <c r="AO64" s="2">
        <v>0</v>
      </c>
      <c r="AP64" s="2">
        <v>0</v>
      </c>
      <c r="AQ64" s="2">
        <v>4312.875</v>
      </c>
      <c r="AR64" s="13">
        <v>29989.053</v>
      </c>
      <c r="AS64" s="2">
        <v>36140.794</v>
      </c>
      <c r="AT64" s="14">
        <v>0</v>
      </c>
      <c r="AU64" s="14">
        <v>0</v>
      </c>
      <c r="AV64" s="14">
        <v>0</v>
      </c>
      <c r="AW64" s="13">
        <v>36140.794</v>
      </c>
      <c r="AX64" s="13">
        <v>175136.971</v>
      </c>
      <c r="AY64" s="13">
        <v>12028.2572174462</v>
      </c>
      <c r="AZ64" s="2">
        <v>0</v>
      </c>
      <c r="BA64" s="2">
        <v>2830.188</v>
      </c>
      <c r="BB64" s="2">
        <v>0</v>
      </c>
      <c r="BC64" s="15">
        <v>0</v>
      </c>
      <c r="BD64" s="13">
        <v>2830.188</v>
      </c>
      <c r="BE64" s="13">
        <v>9198.0692174462</v>
      </c>
    </row>
    <row r="65" s="1" customFormat="1" customHeight="1" spans="1:57">
      <c r="A65" s="2" t="s">
        <v>95</v>
      </c>
      <c r="B65" s="2"/>
      <c r="C65" s="2" t="s">
        <v>58</v>
      </c>
      <c r="D65" s="2" t="s">
        <v>59</v>
      </c>
      <c r="E65" s="2" t="s">
        <v>60</v>
      </c>
      <c r="F65" s="2" t="s">
        <v>78</v>
      </c>
      <c r="G65" s="2" t="s">
        <v>79</v>
      </c>
      <c r="H65" s="2" t="s">
        <v>63</v>
      </c>
      <c r="I65" s="2" t="s">
        <v>64</v>
      </c>
      <c r="J65" s="2" t="s">
        <v>65</v>
      </c>
      <c r="K65" s="2">
        <v>1600</v>
      </c>
      <c r="L65" s="2">
        <f t="shared" si="8"/>
        <v>1582</v>
      </c>
      <c r="M65" s="12">
        <f t="shared" si="6"/>
        <v>0.0112500000000001</v>
      </c>
      <c r="N65" s="2">
        <f t="shared" si="7"/>
        <v>0</v>
      </c>
      <c r="O65" s="2">
        <v>1400</v>
      </c>
      <c r="P65" s="2">
        <v>300</v>
      </c>
      <c r="Q65" s="13">
        <v>1100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13">
        <v>1100</v>
      </c>
      <c r="X65" s="2">
        <v>0</v>
      </c>
      <c r="Y65" s="2">
        <v>0</v>
      </c>
      <c r="Z65" s="2">
        <v>123.16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13">
        <v>123.16</v>
      </c>
      <c r="AG65" s="2">
        <v>0</v>
      </c>
      <c r="AH65" s="2">
        <v>0</v>
      </c>
      <c r="AI65" s="2">
        <v>0</v>
      </c>
      <c r="AJ65" s="13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13">
        <v>0</v>
      </c>
      <c r="AS65" s="2">
        <v>0</v>
      </c>
      <c r="AT65" s="14">
        <v>0</v>
      </c>
      <c r="AU65" s="14">
        <v>0</v>
      </c>
      <c r="AV65" s="14">
        <v>0</v>
      </c>
      <c r="AW65" s="13">
        <v>0</v>
      </c>
      <c r="AX65" s="13">
        <v>123.16</v>
      </c>
      <c r="AY65" s="13">
        <v>976.84</v>
      </c>
      <c r="AZ65" s="2">
        <v>0</v>
      </c>
      <c r="BA65" s="2">
        <v>0</v>
      </c>
      <c r="BB65" s="2">
        <v>0</v>
      </c>
      <c r="BC65" s="15">
        <v>0</v>
      </c>
      <c r="BD65" s="13">
        <v>0</v>
      </c>
      <c r="BE65" s="13">
        <v>976.84</v>
      </c>
    </row>
    <row r="66" s="1" customFormat="1" customHeight="1" spans="1:57">
      <c r="A66" s="2" t="s">
        <v>95</v>
      </c>
      <c r="B66" s="2"/>
      <c r="C66" s="2" t="s">
        <v>58</v>
      </c>
      <c r="D66" s="2" t="s">
        <v>59</v>
      </c>
      <c r="E66" s="2" t="s">
        <v>60</v>
      </c>
      <c r="F66" s="2" t="s">
        <v>70</v>
      </c>
      <c r="G66" s="2" t="s">
        <v>71</v>
      </c>
      <c r="H66" s="2" t="s">
        <v>63</v>
      </c>
      <c r="I66" s="2" t="s">
        <v>64</v>
      </c>
      <c r="J66" s="2" t="s">
        <v>65</v>
      </c>
      <c r="K66" s="2">
        <v>0</v>
      </c>
      <c r="L66" s="2">
        <f t="shared" si="8"/>
        <v>0</v>
      </c>
      <c r="M66" s="12">
        <f t="shared" si="6"/>
        <v>0</v>
      </c>
      <c r="N66" s="2">
        <f t="shared" si="7"/>
        <v>0</v>
      </c>
      <c r="O66" s="2">
        <v>0</v>
      </c>
      <c r="P66" s="2">
        <v>0</v>
      </c>
      <c r="Q66" s="13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13">
        <v>0</v>
      </c>
      <c r="X66" s="2">
        <v>0</v>
      </c>
      <c r="Y66" s="2">
        <v>0</v>
      </c>
      <c r="Z66" s="2">
        <v>16981.13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13">
        <v>16981.13</v>
      </c>
      <c r="AG66" s="2">
        <v>0</v>
      </c>
      <c r="AH66" s="2">
        <v>0</v>
      </c>
      <c r="AI66" s="2">
        <v>0</v>
      </c>
      <c r="AJ66" s="13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13">
        <v>0</v>
      </c>
      <c r="AS66" s="2">
        <v>0</v>
      </c>
      <c r="AT66" s="14">
        <v>0</v>
      </c>
      <c r="AU66" s="14">
        <v>0</v>
      </c>
      <c r="AV66" s="14">
        <v>0</v>
      </c>
      <c r="AW66" s="13">
        <v>0</v>
      </c>
      <c r="AX66" s="13">
        <v>16981.13</v>
      </c>
      <c r="AY66" s="13">
        <v>-16981.13</v>
      </c>
      <c r="AZ66" s="2">
        <v>0</v>
      </c>
      <c r="BA66" s="2">
        <v>0</v>
      </c>
      <c r="BB66" s="2">
        <v>0</v>
      </c>
      <c r="BC66" s="15">
        <v>0</v>
      </c>
      <c r="BD66" s="13">
        <v>0</v>
      </c>
      <c r="BE66" s="13">
        <v>-16981.13</v>
      </c>
    </row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惊鸿一瞥</cp:lastModifiedBy>
  <dcterms:created xsi:type="dcterms:W3CDTF">2026-06-09T03:21:00Z</dcterms:created>
  <dcterms:modified xsi:type="dcterms:W3CDTF">2026-06-22T05:41:06Z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F297CE716F124F4D834AD8513C2FD4C3_11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