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552" windowHeight="12795" activeTab="5"/>
  </bookViews>
  <sheets>
    <sheet name="资产负债表" sheetId="3" r:id="rId1"/>
    <sheet name="利润表" sheetId="2" r:id="rId2"/>
    <sheet name="现金流量表" sheetId="4" r:id="rId3"/>
    <sheet name="科余表" sheetId="5" r:id="rId4"/>
    <sheet name="六大往来" sheetId="6" r:id="rId5"/>
    <sheet name="支付明细" sheetId="7" r:id="rId6"/>
  </sheets>
  <definedNames>
    <definedName name="_xlnm._FilterDatabase" localSheetId="3" hidden="1">科余表!$A$1:$O$82</definedName>
    <definedName name="_xlnm.Print_Area" localSheetId="0">资产负债表!$A$1:$F$41</definedName>
    <definedName name="_xlnm.Print_Area" localSheetId="2">现金流量表!$A$1:$G$42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<sst xmlns="http://schemas.openxmlformats.org/spreadsheetml/2006/main" count="1606" uniqueCount="596">
  <si>
    <t>资产负债表</t>
  </si>
  <si>
    <t>编制单位：上海佰茶跳动科技有限公司</t>
  </si>
  <si>
    <t>截止日：2026.05.31</t>
  </si>
  <si>
    <t>单位：元</t>
  </si>
  <si>
    <t>项目</t>
  </si>
  <si>
    <t>期末余额</t>
  </si>
  <si>
    <t>年初余额</t>
  </si>
  <si>
    <t>流动资产：</t>
  </si>
  <si>
    <t>流动负债：</t>
  </si>
  <si>
    <t>货币资金</t>
  </si>
  <si>
    <t>短期借款</t>
  </si>
  <si>
    <t>交易性金融资产</t>
  </si>
  <si>
    <t>交易性金融负债</t>
  </si>
  <si>
    <t>应收票据</t>
  </si>
  <si>
    <t>应付票据</t>
  </si>
  <si>
    <t>应收账款</t>
  </si>
  <si>
    <t>应付账款</t>
  </si>
  <si>
    <t>应收款项融资</t>
  </si>
  <si>
    <t>预收款项</t>
  </si>
  <si>
    <t>预付款项</t>
  </si>
  <si>
    <t>合同负债</t>
  </si>
  <si>
    <t>其他应收款</t>
  </si>
  <si>
    <t>应付职工薪酬</t>
  </si>
  <si>
    <t>其中：应收利息</t>
  </si>
  <si>
    <t>应交税费</t>
  </si>
  <si>
    <t>应收股利</t>
  </si>
  <si>
    <t>其他应付款</t>
  </si>
  <si>
    <t>存货</t>
  </si>
  <si>
    <t>其中：应付利息</t>
  </si>
  <si>
    <t>合同资产</t>
  </si>
  <si>
    <t>应付股利</t>
  </si>
  <si>
    <t>一年内到期的非流动资产</t>
  </si>
  <si>
    <t>一年内到期的非流动负债</t>
  </si>
  <si>
    <t>其他流动资产</t>
  </si>
  <si>
    <t>其他流动负债</t>
  </si>
  <si>
    <t>流动资产合计</t>
  </si>
  <si>
    <t>流动负债合计</t>
  </si>
  <si>
    <t>非流动资产：</t>
  </si>
  <si>
    <t>非流动负债：</t>
  </si>
  <si>
    <t>可供出售金融资产</t>
  </si>
  <si>
    <t>长期借款</t>
  </si>
  <si>
    <t>持有至到期投资</t>
  </si>
  <si>
    <t>应付债券</t>
  </si>
  <si>
    <t>长期应收款</t>
  </si>
  <si>
    <t>租赁负债</t>
  </si>
  <si>
    <t>长期股权投资</t>
  </si>
  <si>
    <t>长期应付款</t>
  </si>
  <si>
    <t>投资性房地产</t>
  </si>
  <si>
    <t>长期应付职工薪酬</t>
  </si>
  <si>
    <t>固定资产</t>
  </si>
  <si>
    <t>预计负债</t>
  </si>
  <si>
    <t>在建工程</t>
  </si>
  <si>
    <t>递延收益</t>
  </si>
  <si>
    <t>使用权资产</t>
  </si>
  <si>
    <t>递延所得税负债</t>
  </si>
  <si>
    <t>无形资产</t>
  </si>
  <si>
    <t>其他非流动负债</t>
  </si>
  <si>
    <t>开发支出</t>
  </si>
  <si>
    <t>非流动负债合计</t>
  </si>
  <si>
    <t>商誉</t>
  </si>
  <si>
    <t>负债合计</t>
  </si>
  <si>
    <t>长期待摊费用</t>
  </si>
  <si>
    <t>股东权益：</t>
  </si>
  <si>
    <t>递延所得税资产</t>
  </si>
  <si>
    <t>股本</t>
  </si>
  <si>
    <t>其他非流动资产</t>
  </si>
  <si>
    <t>资本公积</t>
  </si>
  <si>
    <t>非流动资产合计</t>
  </si>
  <si>
    <t>减：库存股</t>
  </si>
  <si>
    <t/>
  </si>
  <si>
    <t>其他综合收益</t>
  </si>
  <si>
    <t>盈余公积</t>
  </si>
  <si>
    <t>未分配利润</t>
  </si>
  <si>
    <t>归属于母公司股东权益合计</t>
  </si>
  <si>
    <t>少数股东权益</t>
  </si>
  <si>
    <t>股东权益合计</t>
  </si>
  <si>
    <t>资产总计</t>
  </si>
  <si>
    <t>负债和股东权益总计</t>
  </si>
  <si>
    <t>利润表</t>
  </si>
  <si>
    <t>1月份</t>
  </si>
  <si>
    <t>2月份</t>
  </si>
  <si>
    <t>3月份</t>
  </si>
  <si>
    <t>4月份</t>
  </si>
  <si>
    <t>5月份</t>
  </si>
  <si>
    <t>累计</t>
  </si>
  <si>
    <t>一、营业总收入</t>
  </si>
  <si>
    <t>其中:营业收入</t>
  </si>
  <si>
    <t>二、营业总成本</t>
  </si>
  <si>
    <t>其中：营业成本</t>
  </si>
  <si>
    <t>税金及附加</t>
  </si>
  <si>
    <t>销售费用</t>
  </si>
  <si>
    <t>管理费用</t>
  </si>
  <si>
    <t>研发费用</t>
  </si>
  <si>
    <t>财务费用</t>
  </si>
  <si>
    <t>其中：利息费用</t>
  </si>
  <si>
    <t>利息收入</t>
  </si>
  <si>
    <t>加：其他收益</t>
  </si>
  <si>
    <t>投资收益（损失以“－”号填列）</t>
  </si>
  <si>
    <t>汇兑收益（损失以“－”号填列</t>
  </si>
  <si>
    <t>公允价值变动收益（损失以“－”号填列）</t>
  </si>
  <si>
    <t>信用减值损失（损失以“-”号填列）</t>
  </si>
  <si>
    <t>资产减值损失（损失以“-”号填列）</t>
  </si>
  <si>
    <t>资产处置收益（损失以“-”号填列）</t>
  </si>
  <si>
    <t>三、营业利润（亏损以“－”号填列）</t>
  </si>
  <si>
    <t>加：营业外收入</t>
  </si>
  <si>
    <t>减：营业外支出</t>
  </si>
  <si>
    <t>四、利润总额（亏损总额以“－”号填列）</t>
  </si>
  <si>
    <t>减：所得税费用</t>
  </si>
  <si>
    <t>五、净利润（净亏损以“－”号填列）</t>
  </si>
  <si>
    <t>现金流量表</t>
  </si>
  <si>
    <t>一、经营活动产生的现金流量：</t>
  </si>
  <si>
    <t>销售商品、提供劳务收到的现金</t>
  </si>
  <si>
    <t>收到的税费返还</t>
  </si>
  <si>
    <t>收到其他与经营活动有关的现金</t>
  </si>
  <si>
    <t>经营活动现金流入小计</t>
  </si>
  <si>
    <t>购买商品、接受劳务支付的现金</t>
  </si>
  <si>
    <t>支付给职工以及为职工支付的现金</t>
  </si>
  <si>
    <t>支付的各项税费</t>
  </si>
  <si>
    <t>支付其他与经营活动有关的现金</t>
  </si>
  <si>
    <t>经营活动现金流出小计</t>
  </si>
  <si>
    <t>经营活动产生的现金流量净额</t>
  </si>
  <si>
    <t>二、投资活动产生的现金流量：</t>
  </si>
  <si>
    <t>收回投资收到的现金</t>
  </si>
  <si>
    <t>取得投资收益收到的现金</t>
  </si>
  <si>
    <t>处置固定资产、无形资产和其他长期资产收回的现金净额</t>
  </si>
  <si>
    <t>处置子公司及其他营业单位收到的现金净额</t>
  </si>
  <si>
    <t>收到其他与投资活动有关的现金</t>
  </si>
  <si>
    <t>投资活动现金流入小计</t>
  </si>
  <si>
    <t>购建固定资产、无形资产和其他长期资产支付的现金</t>
  </si>
  <si>
    <t>投资支付的现金</t>
  </si>
  <si>
    <t>质押贷款净增加额</t>
  </si>
  <si>
    <t>取得子公司及其他营业单位支付的现金净额</t>
  </si>
  <si>
    <t>支付其他与投资活动有关的现金</t>
  </si>
  <si>
    <t>投资活动现金流出小计</t>
  </si>
  <si>
    <t>投资活动产生的现金流量净额</t>
  </si>
  <si>
    <t>三、筹资活动产生的现金流量：</t>
  </si>
  <si>
    <t>吸收投资收到的现金</t>
  </si>
  <si>
    <t>取得借款所收到的现金</t>
  </si>
  <si>
    <t>发行债券收到的现金</t>
  </si>
  <si>
    <t>收到其他与筹资活动有关的现金</t>
  </si>
  <si>
    <t>筹资活动现金流入小计</t>
  </si>
  <si>
    <t>偿还债务所支付的现金</t>
  </si>
  <si>
    <t>分配股利、利润或偿付利息所支付的现金</t>
  </si>
  <si>
    <t>支付其他与筹资活动有关的现金</t>
  </si>
  <si>
    <t>筹资活动现金流出小计</t>
  </si>
  <si>
    <t>筹资活动产生的现金流量净额</t>
  </si>
  <si>
    <t>四、汇率变动对现金及现金等价物的影响</t>
  </si>
  <si>
    <t>五、现金及现金等价物净增加额</t>
  </si>
  <si>
    <t>加：期初现金及现金等价物余额</t>
  </si>
  <si>
    <t>六、期末现金及现金等价物余额</t>
  </si>
  <si>
    <t>公司代码</t>
  </si>
  <si>
    <t>公司代码描述</t>
  </si>
  <si>
    <t>利润中心</t>
  </si>
  <si>
    <t>利润中心描述</t>
  </si>
  <si>
    <t>科目</t>
  </si>
  <si>
    <t>科目描述</t>
  </si>
  <si>
    <t>客户编号</t>
  </si>
  <si>
    <t>客户描述</t>
  </si>
  <si>
    <t>供应商编码</t>
  </si>
  <si>
    <t>供应商描述</t>
  </si>
  <si>
    <t>期初金额</t>
  </si>
  <si>
    <t>本期借方</t>
  </si>
  <si>
    <t>本期贷方</t>
  </si>
  <si>
    <t>期末金额</t>
  </si>
  <si>
    <t>2240</t>
  </si>
  <si>
    <t>上海佰茶跳动科技有限公司</t>
  </si>
  <si>
    <t>35I2190001</t>
  </si>
  <si>
    <t>佰茶绿雪芽线下分销</t>
  </si>
  <si>
    <t>1122010100</t>
  </si>
  <si>
    <t>应收账款:商品销售</t>
  </si>
  <si>
    <t>0000101388</t>
  </si>
  <si>
    <t>广州市简健农业科技有限公司-佰茶</t>
  </si>
  <si>
    <t>35I2030001</t>
  </si>
  <si>
    <t>佰茶绿雪芽抖音旗舰店</t>
  </si>
  <si>
    <t>0000101225</t>
  </si>
  <si>
    <t>上海璞康实业有限公司-内部往来</t>
  </si>
  <si>
    <t>9900000001</t>
  </si>
  <si>
    <t>内部往来（采销业务&amp;集团共用）</t>
  </si>
  <si>
    <t>0000602556</t>
  </si>
  <si>
    <t>上海佰茶跳动科技有限公司-内部往来</t>
  </si>
  <si>
    <t>0000101268</t>
  </si>
  <si>
    <t>汇嘉信（上海）贸易发展有限公司-绿雪芽项目</t>
  </si>
  <si>
    <t>35I2140001</t>
  </si>
  <si>
    <t>佰茶绿雪芽天猫旗舰店</t>
  </si>
  <si>
    <t>A0001</t>
  </si>
  <si>
    <t>零星客户</t>
  </si>
  <si>
    <t>0000100624</t>
  </si>
  <si>
    <t>汇嘉信(上海)贸易发展有限公司</t>
  </si>
  <si>
    <t>1122010101</t>
  </si>
  <si>
    <t>应收账款:B2C平台</t>
  </si>
  <si>
    <t>0000200392</t>
  </si>
  <si>
    <t>绿雪芽-天猫旗舰店-佰茶</t>
  </si>
  <si>
    <t>35I2060001</t>
  </si>
  <si>
    <t>佰茶绿雪芽京东POP旗舰店</t>
  </si>
  <si>
    <t>0000200384</t>
  </si>
  <si>
    <t>绿雪芽-京东POP旗舰店-佰茶</t>
  </si>
  <si>
    <t>1122020100</t>
  </si>
  <si>
    <t>应收账款:集团商品销售</t>
  </si>
  <si>
    <t>0000002100</t>
  </si>
  <si>
    <t>上海璞睿供应链管理服务有限公司</t>
  </si>
  <si>
    <t>0000002020</t>
  </si>
  <si>
    <t>上海璞康实业有限公司</t>
  </si>
  <si>
    <t>0000002050</t>
  </si>
  <si>
    <t>上海麦絮实业有限公司</t>
  </si>
  <si>
    <t>0000002250</t>
  </si>
  <si>
    <t>上海璞樾数据科技有限公司</t>
  </si>
  <si>
    <t>1122020200</t>
  </si>
  <si>
    <t>应收账款:集团服务</t>
  </si>
  <si>
    <t>1123020700</t>
  </si>
  <si>
    <t>预付账款:预付费用:直通车</t>
  </si>
  <si>
    <t>0000600144</t>
  </si>
  <si>
    <t>淘宝（中国）软件有限公司</t>
  </si>
  <si>
    <t>1123021000</t>
  </si>
  <si>
    <t>预付账款:预付费用:京准通</t>
  </si>
  <si>
    <t>0000400617</t>
  </si>
  <si>
    <t>广西京东星辰电子商务有限公司</t>
  </si>
  <si>
    <t>1221010000</t>
  </si>
  <si>
    <t>其他应收款:保证金/押金</t>
  </si>
  <si>
    <t>0000601052</t>
  </si>
  <si>
    <t>北京有竹居网络技术有限公司</t>
  </si>
  <si>
    <t>35I2200001</t>
  </si>
  <si>
    <t>佰茶绿雪芽小红书旗舰店</t>
  </si>
  <si>
    <t>0000602154</t>
  </si>
  <si>
    <t>优穗信息科技(上海)有限公司</t>
  </si>
  <si>
    <t>46I2160001</t>
  </si>
  <si>
    <t>佰茶绿雪芽微信小店</t>
  </si>
  <si>
    <t>0000200414</t>
  </si>
  <si>
    <t>绿雪芽-微信小店-佰茶</t>
  </si>
  <si>
    <t>1221999909</t>
  </si>
  <si>
    <t>其他应收款:B2B</t>
  </si>
  <si>
    <t>0000602387</t>
  </si>
  <si>
    <t>杭州照茗文化传播有限公司</t>
  </si>
  <si>
    <t>0000601940</t>
  </si>
  <si>
    <t>成都声云文化传播有限公司</t>
  </si>
  <si>
    <t>46I2070001</t>
  </si>
  <si>
    <t>佰茶绿雪芽京东自营店</t>
  </si>
  <si>
    <t>46I2ZZ0001</t>
  </si>
  <si>
    <t>佰茶绿雪芽本地生活分销</t>
  </si>
  <si>
    <t>2202010100</t>
  </si>
  <si>
    <t>应付账款:商品采购</t>
  </si>
  <si>
    <t>0000602557</t>
  </si>
  <si>
    <t>上海璞樾数据科技有限公司-内部往来</t>
  </si>
  <si>
    <t>0000602574</t>
  </si>
  <si>
    <t>福建省天湖茶业有限公司</t>
  </si>
  <si>
    <t>0000602452</t>
  </si>
  <si>
    <t>福建太姥山名茶有限公司</t>
  </si>
  <si>
    <t>0000602295</t>
  </si>
  <si>
    <t>福建绿雪芽茶业有限公司</t>
  </si>
  <si>
    <t>2202010101</t>
  </si>
  <si>
    <t>应付账款-商品采购-暂估应付款</t>
  </si>
  <si>
    <t>2202019900</t>
  </si>
  <si>
    <t>应付账款:其他费用</t>
  </si>
  <si>
    <t>0000600607</t>
  </si>
  <si>
    <t>广州悦信无线科技有限公司</t>
  </si>
  <si>
    <t>46I2250001</t>
  </si>
  <si>
    <t>佰茶绿雪芽唯品会JIT店</t>
  </si>
  <si>
    <t>0000602787</t>
  </si>
  <si>
    <t>中国检验认证集团宁波有限公司</t>
  </si>
  <si>
    <t>0000601673</t>
  </si>
  <si>
    <t>上海耘舸文化传媒有限公司</t>
  </si>
  <si>
    <t>0000400692</t>
  </si>
  <si>
    <t>上海琉影文化传播有限公司</t>
  </si>
  <si>
    <t>0000602160</t>
  </si>
  <si>
    <t>广州予之文化科技有限公司</t>
  </si>
  <si>
    <t>0000601075</t>
  </si>
  <si>
    <t>深圳市腾讯计算机系统有限公司</t>
  </si>
  <si>
    <t>0000100957</t>
  </si>
  <si>
    <t>杭州米小洛科技有限公司</t>
  </si>
  <si>
    <t>0000600629</t>
  </si>
  <si>
    <t>上海博观瑞思传媒科技有限公司</t>
  </si>
  <si>
    <t>0000602361</t>
  </si>
  <si>
    <t>上海伟略贸易有限公司</t>
  </si>
  <si>
    <t>0000602117</t>
  </si>
  <si>
    <t>薯鸿文化传媒（上海）有限公司</t>
  </si>
  <si>
    <t>0000601732</t>
  </si>
  <si>
    <t>杭州今日头条科技有限公司</t>
  </si>
  <si>
    <t>0000400006</t>
  </si>
  <si>
    <t>网银在线（北京）科技有限公司</t>
  </si>
  <si>
    <t>2202020100</t>
  </si>
  <si>
    <t>应付账款:集团商品采购</t>
  </si>
  <si>
    <t>2202020200</t>
  </si>
  <si>
    <t>应付账款:集团服务</t>
  </si>
  <si>
    <t>0000001000</t>
  </si>
  <si>
    <t>上海璞康数据科技（集团）股份有限公司</t>
  </si>
  <si>
    <t>2241041000</t>
  </si>
  <si>
    <t>其他应付款:社保中心:个人养老</t>
  </si>
  <si>
    <t>2241042000</t>
  </si>
  <si>
    <t>其他应付款:社保中心:个人医疗</t>
  </si>
  <si>
    <t>2241043000</t>
  </si>
  <si>
    <t>其他应付款:社保中心:个人失业</t>
  </si>
  <si>
    <t>2241050000</t>
  </si>
  <si>
    <t>其他应付款:公积金中心</t>
  </si>
  <si>
    <t>2241061000</t>
  </si>
  <si>
    <t>其他应付款:预提费用:仓储物流服务费</t>
  </si>
  <si>
    <t>2241061100</t>
  </si>
  <si>
    <t>其他应付款:预提费用:客服外包费用预提</t>
  </si>
  <si>
    <t>2241061200</t>
  </si>
  <si>
    <t>其他应付款:预提费用:营销费用</t>
  </si>
  <si>
    <t>H600000044</t>
  </si>
  <si>
    <t>总经办（佰茶）</t>
  </si>
  <si>
    <t>2241069900</t>
  </si>
  <si>
    <t>其他应付款:预提费用:其他预提</t>
  </si>
  <si>
    <t>0000600019</t>
  </si>
  <si>
    <t>零星供应商</t>
  </si>
  <si>
    <t>2241990000</t>
  </si>
  <si>
    <t>其他应付款:其他</t>
  </si>
  <si>
    <t>科目2</t>
  </si>
  <si>
    <t>重分类</t>
  </si>
  <si>
    <t>求和项:期末金额</t>
  </si>
  <si>
    <t>(空白)</t>
  </si>
  <si>
    <t>合计</t>
  </si>
  <si>
    <t>账号</t>
  </si>
  <si>
    <t>账号名称</t>
  </si>
  <si>
    <t>币种</t>
  </si>
  <si>
    <t>交易日</t>
  </si>
  <si>
    <t>交易时间</t>
  </si>
  <si>
    <t>起息日</t>
  </si>
  <si>
    <t>交易类型</t>
  </si>
  <si>
    <t>借方金额</t>
  </si>
  <si>
    <t>贷方金额</t>
  </si>
  <si>
    <t>余额</t>
  </si>
  <si>
    <t>摘要</t>
  </si>
  <si>
    <t>流水号</t>
  </si>
  <si>
    <t>流程实例号</t>
  </si>
  <si>
    <t>业务名称</t>
  </si>
  <si>
    <t>用途</t>
  </si>
  <si>
    <t>业务参考号</t>
  </si>
  <si>
    <t>业务摘要</t>
  </si>
  <si>
    <t>其它摘要</t>
  </si>
  <si>
    <t>收(付)方分行名</t>
  </si>
  <si>
    <t>收(付)方名称</t>
  </si>
  <si>
    <t>收(付)方账号</t>
  </si>
  <si>
    <t>收(付)方开户行行号</t>
  </si>
  <si>
    <t>收(付)方开户行名</t>
  </si>
  <si>
    <t>收(付)方开户行地址</t>
  </si>
  <si>
    <t>母(子)公司账号分行名</t>
  </si>
  <si>
    <t>母(子)公司账号</t>
  </si>
  <si>
    <t>母(子)公司名称</t>
  </si>
  <si>
    <t>信息标志</t>
  </si>
  <si>
    <t>有否附件信息</t>
  </si>
  <si>
    <t>冲账标志</t>
  </si>
  <si>
    <t>扩展摘要</t>
  </si>
  <si>
    <t>交易分析码</t>
  </si>
  <si>
    <t>票据号</t>
  </si>
  <si>
    <t>商务支付订单号</t>
  </si>
  <si>
    <t>内部编号</t>
  </si>
  <si>
    <t>公司一卡通号</t>
  </si>
  <si>
    <t>121983261710001</t>
  </si>
  <si>
    <t>人民币</t>
  </si>
  <si>
    <t>2026-06-01</t>
  </si>
  <si>
    <t>16:46:58</t>
  </si>
  <si>
    <t>对公转账正常提出</t>
  </si>
  <si>
    <t>茶叶赔偿款</t>
  </si>
  <si>
    <t>C0247G0000ZV22Z</t>
  </si>
  <si>
    <t>5204777140</t>
  </si>
  <si>
    <t>支付</t>
  </si>
  <si>
    <t>20260601162218</t>
  </si>
  <si>
    <t>戚旬璋</t>
  </si>
  <si>
    <t>6217732510417755</t>
  </si>
  <si>
    <t>中信银行济南历下支行</t>
  </si>
  <si>
    <t>山东省济南市</t>
  </si>
  <si>
    <t>受理费</t>
  </si>
  <si>
    <t>C0247G0000YXE1Z</t>
  </si>
  <si>
    <t>5204777141</t>
  </si>
  <si>
    <t>20260601162530</t>
  </si>
  <si>
    <t>梁山县人民法院</t>
  </si>
  <si>
    <t>6228401338069328664</t>
  </si>
  <si>
    <t>中国农业银行股份有限公司梁山县支行</t>
  </si>
  <si>
    <t>山东省济宁市</t>
  </si>
  <si>
    <t>货款</t>
  </si>
  <si>
    <t>C0247G0000YXE5Z</t>
  </si>
  <si>
    <t>5204777142</t>
  </si>
  <si>
    <t>20260601162651</t>
  </si>
  <si>
    <t>13230101040010702</t>
  </si>
  <si>
    <t>中国农业银行股份有限公司福鼎市支行</t>
  </si>
  <si>
    <t>福建省宁德市</t>
  </si>
  <si>
    <t>服务费</t>
  </si>
  <si>
    <t>C0247G000143W2Z</t>
  </si>
  <si>
    <t>5204777143</t>
  </si>
  <si>
    <t>20260601162757</t>
  </si>
  <si>
    <t>13230201040001493</t>
  </si>
  <si>
    <t>中国农业银行股份有限公司福鼎中汇支行</t>
  </si>
  <si>
    <t>C0247G000131OQZ</t>
  </si>
  <si>
    <t>5204777144</t>
  </si>
  <si>
    <t>20260601162917</t>
  </si>
  <si>
    <t>121935940910901</t>
  </si>
  <si>
    <t>招商银行</t>
  </si>
  <si>
    <t>上海市</t>
  </si>
  <si>
    <t>2026-06-02</t>
  </si>
  <si>
    <t>07:46:10</t>
  </si>
  <si>
    <t>企业银行各项费用</t>
  </si>
  <si>
    <t>网银支付-跨行-异地手续费</t>
  </si>
  <si>
    <t>C0247G1000K5X8Z</t>
  </si>
  <si>
    <t>网上电子汇划收入</t>
  </si>
  <si>
    <t>912156050071101810</t>
  </si>
  <si>
    <t>07:46:11</t>
  </si>
  <si>
    <t>网银支付-行内-异地手续费</t>
  </si>
  <si>
    <t>C0247G1000PINJZ</t>
  </si>
  <si>
    <t>网上企业银行-网上企业银行服务费</t>
  </si>
  <si>
    <t>C0247G1000K5XCZ</t>
  </si>
  <si>
    <t>对公中间业务收入-网上其他收入</t>
  </si>
  <si>
    <t>912156050070019810</t>
  </si>
  <si>
    <t>2026-06-03</t>
  </si>
  <si>
    <t>13:22:59</t>
  </si>
  <si>
    <t>提回对公户收款</t>
  </si>
  <si>
    <t>SPFK-20260602-0007</t>
  </si>
  <si>
    <t>C0247G200194WTZ</t>
  </si>
  <si>
    <t>7201273450</t>
  </si>
  <si>
    <t>HELIOSZF202606030385365743</t>
  </si>
  <si>
    <t>121902412710502</t>
  </si>
  <si>
    <t>招商银行上海分行营业部</t>
  </si>
  <si>
    <t>2026-06-05</t>
  </si>
  <si>
    <t>07:43:15</t>
  </si>
  <si>
    <t>银联TOKEN贷记对公户入账</t>
  </si>
  <si>
    <t>佰茶天猫店</t>
  </si>
  <si>
    <t>C0247G40001KC5Z</t>
  </si>
  <si>
    <t>支付宝支付科技有限公司</t>
  </si>
  <si>
    <t>20887704416849330156</t>
  </si>
  <si>
    <t>支付宝-备付金账户</t>
  </si>
  <si>
    <t>10:56:34</t>
  </si>
  <si>
    <t>IBPS对公提回贷记</t>
  </si>
  <si>
    <t>NJCB0202606051056320137724345064</t>
  </si>
  <si>
    <t>C0247G40009GQTZ</t>
  </si>
  <si>
    <t>南京银行-平台商户待清算资金（抖音）</t>
  </si>
  <si>
    <t>050115620120040500020</t>
  </si>
  <si>
    <t>南京银行股份有限公司</t>
  </si>
  <si>
    <t>11:50:38</t>
  </si>
  <si>
    <t>SPFK-20260428-0085</t>
  </si>
  <si>
    <t>C0247G4000JQYQZ</t>
  </si>
  <si>
    <t>7201995645</t>
  </si>
  <si>
    <t>HELIOSZF202606050569147027</t>
  </si>
  <si>
    <t>13:46:17</t>
  </si>
  <si>
    <t>SPFK-20260603-0016</t>
  </si>
  <si>
    <t>C0247G4000OOV0Z</t>
  </si>
  <si>
    <t>7202274983</t>
  </si>
  <si>
    <t>HELIOSZF202606050785319773</t>
  </si>
  <si>
    <t>2026-06-08</t>
  </si>
  <si>
    <t>13:25:53</t>
  </si>
  <si>
    <t>网联付款申请收款</t>
  </si>
  <si>
    <t>电商商家入驻代付打款验证</t>
  </si>
  <si>
    <t>C0247G7000N9ASZ</t>
  </si>
  <si>
    <t>8020220721560096</t>
  </si>
  <si>
    <t>抖音支付</t>
  </si>
  <si>
    <t>15:46:50</t>
  </si>
  <si>
    <t>SPFK-20260605-0024</t>
  </si>
  <si>
    <t>C0247G7000X8YFZ</t>
  </si>
  <si>
    <t>7202904519</t>
  </si>
  <si>
    <t>HELIOSZF202606081369591820</t>
  </si>
  <si>
    <t>2026-06-09</t>
  </si>
  <si>
    <t>16:01:05</t>
  </si>
  <si>
    <t>网联对公网关支付</t>
  </si>
  <si>
    <t>天猫店铺充值</t>
  </si>
  <si>
    <t>C0247G8000V2M7Z</t>
  </si>
  <si>
    <t>BH04220019</t>
  </si>
  <si>
    <t>商务支付</t>
  </si>
  <si>
    <t>20260609151809</t>
  </si>
  <si>
    <t>20886110899414850156</t>
  </si>
  <si>
    <t>16:02:09</t>
  </si>
  <si>
    <t>C0247G8000V33TZ</t>
  </si>
  <si>
    <t>5204777145</t>
  </si>
  <si>
    <t>20260609135102</t>
  </si>
  <si>
    <t>C0247G8000V33XZ</t>
  </si>
  <si>
    <t>5204777146</t>
  </si>
  <si>
    <t>20260609135141</t>
  </si>
  <si>
    <t>C0247G80010EIOZ</t>
  </si>
  <si>
    <t>5204777147</t>
  </si>
  <si>
    <t>20260609135224</t>
  </si>
  <si>
    <t>C0247G8000W71VZ</t>
  </si>
  <si>
    <t>5204777148</t>
  </si>
  <si>
    <t>20260609135307</t>
  </si>
  <si>
    <t>128916733510000</t>
  </si>
  <si>
    <t>四川省成都市</t>
  </si>
  <si>
    <t>2026-06-10</t>
  </si>
  <si>
    <t>16:47:32</t>
  </si>
  <si>
    <t>税款</t>
  </si>
  <si>
    <t>00TX:000990:20260610:000YST26061016EHZ6IZ:实时缴税:税单号:626061011888867167</t>
  </si>
  <si>
    <t>C0247G90019L74Z</t>
  </si>
  <si>
    <t>国库待结算款项-暂收款</t>
  </si>
  <si>
    <t>090000000002371002</t>
  </si>
  <si>
    <t>中华人民共和国国家金库上海市分库</t>
  </si>
  <si>
    <t>2026-06-11</t>
  </si>
  <si>
    <t>11:29:53</t>
  </si>
  <si>
    <t>C0247GA000G313Z</t>
  </si>
  <si>
    <t>5204777149</t>
  </si>
  <si>
    <t>20260611085309</t>
  </si>
  <si>
    <t>报销</t>
  </si>
  <si>
    <t>C0247GA000H52AZ</t>
  </si>
  <si>
    <t>5208329160</t>
  </si>
  <si>
    <t>20260611085407</t>
  </si>
  <si>
    <t>张豆豆</t>
  </si>
  <si>
    <t>6214832632751827</t>
  </si>
  <si>
    <t>11:31:03</t>
  </si>
  <si>
    <t>京东店铺充值</t>
  </si>
  <si>
    <t>C0247GA000G3N3Z</t>
  </si>
  <si>
    <t>BH04236629</t>
  </si>
  <si>
    <t>20260611085030</t>
  </si>
  <si>
    <t>118228906002</t>
  </si>
  <si>
    <t>网银在线（北京）支付科技有限公司</t>
  </si>
  <si>
    <t>15:56:59</t>
  </si>
  <si>
    <t>转账</t>
  </si>
  <si>
    <t>C0247GA0012PPNZ</t>
  </si>
  <si>
    <t>郁弘芳</t>
  </si>
  <si>
    <t>6214851830873936</t>
  </si>
  <si>
    <t>16:45:26</t>
  </si>
  <si>
    <t>报销款</t>
  </si>
  <si>
    <t>C0247GA00109HMZ</t>
  </si>
  <si>
    <t>5208329161</t>
  </si>
  <si>
    <t>20260611160518</t>
  </si>
  <si>
    <t>宋杨阳</t>
  </si>
  <si>
    <t>6214833451116035</t>
  </si>
  <si>
    <t>16:45:31</t>
  </si>
  <si>
    <t>C0247GA0016ND0Z</t>
  </si>
  <si>
    <t>5208329162</t>
  </si>
  <si>
    <t>20260611160601</t>
  </si>
  <si>
    <t>陈晓君</t>
  </si>
  <si>
    <t>6214832639085732</t>
  </si>
  <si>
    <t>C0247GA0014IMDZ</t>
  </si>
  <si>
    <t>5208329164</t>
  </si>
  <si>
    <t>20260611164331</t>
  </si>
  <si>
    <t>2026-06-12</t>
  </si>
  <si>
    <t>15:50:31</t>
  </si>
  <si>
    <t>SPFK-20260604-0020</t>
  </si>
  <si>
    <t>C0247GB0015BXSZ</t>
  </si>
  <si>
    <t>7204422003</t>
  </si>
  <si>
    <t>HELIOSZF202606120263339357</t>
  </si>
  <si>
    <t>2026-06-15</t>
  </si>
  <si>
    <t>12:01:36</t>
  </si>
  <si>
    <t>00TX:000990:20260615:000YST26061512FXI52E:实时缴税:税单号:431016260600965524</t>
  </si>
  <si>
    <t>C0247GE000MFA0Z</t>
  </si>
  <si>
    <t>1</t>
  </si>
  <si>
    <t>TXGATR</t>
  </si>
  <si>
    <t>14:27:10</t>
  </si>
  <si>
    <t>上海同城二期代收业务（公共费项）</t>
  </si>
  <si>
    <t>公积金:业务唯一编号2026061500757404</t>
  </si>
  <si>
    <t>C0247GE0015WXCZ</t>
  </si>
  <si>
    <t>上海市公积金管理中心(房改资金)</t>
  </si>
  <si>
    <t>31001502588050000452-0005</t>
  </si>
  <si>
    <t>中国建设银行股份有限公司上海市分行</t>
  </si>
  <si>
    <t>GATR</t>
  </si>
  <si>
    <t>17:19:48</t>
  </si>
  <si>
    <t>代发工资</t>
  </si>
  <si>
    <t>工资</t>
  </si>
  <si>
    <t>C0247GE001MT6KZ</t>
  </si>
  <si>
    <t>4546670419</t>
  </si>
  <si>
    <t>20260615164638</t>
  </si>
  <si>
    <t>3005J5H1ZK</t>
  </si>
  <si>
    <t>AIGATR</t>
  </si>
  <si>
    <t>17:20:00</t>
  </si>
  <si>
    <t>代发手续费</t>
  </si>
  <si>
    <t>批量代发付费</t>
  </si>
  <si>
    <t>C0247GE001MT9TZ</t>
  </si>
  <si>
    <t>19:42:45</t>
  </si>
  <si>
    <t>彩袋、不干胶款</t>
  </si>
  <si>
    <t>C0247GE0021EQFZ</t>
  </si>
  <si>
    <t>5208329166</t>
  </si>
  <si>
    <t>20260615165030</t>
  </si>
  <si>
    <t>广东优心选商业有限公司</t>
  </si>
  <si>
    <t>7559717853100000003669485</t>
  </si>
  <si>
    <t>广东省广州市</t>
  </si>
  <si>
    <t>17S037G900000K085815</t>
  </si>
  <si>
    <t>CPGATR</t>
  </si>
  <si>
    <t>20:26:51</t>
  </si>
  <si>
    <t>C0247GE0025TO3Z</t>
  </si>
  <si>
    <t>8217754292</t>
  </si>
  <si>
    <t>20260615202102</t>
  </si>
  <si>
    <t>广州市简健农业科技有限公司</t>
  </si>
  <si>
    <t>120930476910001</t>
  </si>
  <si>
    <t>招商银行广州分行广州丰兴支行</t>
  </si>
  <si>
    <t>69S037G8000005165445</t>
  </si>
  <si>
    <t>2026-06-16</t>
  </si>
  <si>
    <t>16:54:11</t>
  </si>
  <si>
    <t>C0247GF0013R7XZ</t>
  </si>
  <si>
    <t>5208329167</t>
  </si>
  <si>
    <t>20260616163855</t>
  </si>
  <si>
    <t>17S037G900000H127373</t>
  </si>
  <si>
    <t>C0247GF001A72KZ</t>
  </si>
  <si>
    <t>5208329168</t>
  </si>
  <si>
    <t>20260616163932</t>
  </si>
  <si>
    <t>17S037G900000M219982</t>
  </si>
  <si>
    <t>2026-06-18</t>
  </si>
  <si>
    <t>15:08:54</t>
  </si>
  <si>
    <t>C0247GH0011EYKZ</t>
  </si>
  <si>
    <t>5208329165</t>
  </si>
  <si>
    <t>20260615164937</t>
  </si>
  <si>
    <t>91110078801600002699</t>
  </si>
  <si>
    <t>上海浦东发展银行北京阜成支行</t>
  </si>
  <si>
    <t>北京市</t>
  </si>
  <si>
    <t>17S037GG00000A155321</t>
  </si>
  <si>
    <t>2026-06-21</t>
  </si>
  <si>
    <t>02:25:50</t>
  </si>
  <si>
    <t>账户结息</t>
  </si>
  <si>
    <t>收息，结息账号: 121983261710001</t>
  </si>
  <si>
    <t>C0247GK0006715Z</t>
  </si>
  <si>
    <t>应付利息-单位活期存款利息-自动计提</t>
  </si>
  <si>
    <t>912156020611001810</t>
  </si>
  <si>
    <t>YAIN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</si>
</sst>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b/>
      <sz val="10"/>
      <name val="Arial"/>
      <charset val="134"/>
    </font>
    <font>
      <sz val="10"/>
      <name val="Arial Light"/>
      <charset val="134"/>
    </font>
    <font>
      <sz val="10"/>
      <name val="Arial"/>
      <charset val="134"/>
    </font>
    <font>
      <sz val="10"/>
      <name val="宋体"/>
      <charset val="134"/>
    </font>
    <font>
      <b/>
      <sz val="9"/>
      <color theme="1"/>
      <name val="微软雅黑 Light"/>
      <charset val="134"/>
    </font>
    <font>
      <sz val="9"/>
      <color theme="1"/>
      <name val="微软雅黑 Light"/>
      <charset val="134"/>
    </font>
    <font>
      <sz val="9"/>
      <name val="微软雅黑 Light"/>
      <charset val="134"/>
    </font>
    <font>
      <b/>
      <sz val="9"/>
      <name val="微软雅黑 Light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EEEEEE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1">
    <border>
      <left/>
      <right/>
      <top/>
      <bottom/>
      <diagonal/>
    </border>
    <border>
      <left style="thin">
        <color rgb="FF999999"/>
      </left>
      <right style="thin">
        <color rgb="FF999999"/>
      </right>
      <top style="thin">
        <color rgb="FF999999"/>
      </top>
      <bottom style="thin">
        <color rgb="FF999999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9" fillId="0" borderId="0">
      <alignment vertical="center"/>
    </xf>
    <xf numFmtId="0" fontId="10" fillId="0" borderId="0">
      <alignment vertical="center"/>
    </xf>
    <xf numFmtId="0" fontId="0" fillId="5" borderId="3">
      <alignment vertical="center"/>
    </xf>
    <xf numFmtId="0" fontId="11" fillId="0" borderId="0">
      <alignment vertical="center"/>
    </xf>
    <xf numFmtId="0" fontId="12" fillId="0" borderId="0">
      <alignment vertical="center"/>
    </xf>
    <xf numFmtId="0" fontId="13" fillId="0" borderId="0">
      <alignment vertical="center"/>
    </xf>
    <xf numFmtId="0" fontId="14" fillId="0" borderId="4">
      <alignment vertical="center"/>
    </xf>
    <xf numFmtId="0" fontId="15" fillId="0" borderId="4">
      <alignment vertical="center"/>
    </xf>
    <xf numFmtId="0" fontId="16" fillId="0" borderId="5">
      <alignment vertical="center"/>
    </xf>
    <xf numFmtId="0" fontId="16" fillId="0" borderId="0">
      <alignment vertical="center"/>
    </xf>
    <xf numFmtId="0" fontId="17" fillId="6" borderId="6">
      <alignment vertical="center"/>
    </xf>
    <xf numFmtId="0" fontId="18" fillId="7" borderId="7">
      <alignment vertical="center"/>
    </xf>
    <xf numFmtId="0" fontId="19" fillId="7" borderId="6">
      <alignment vertical="center"/>
    </xf>
    <xf numFmtId="0" fontId="20" fillId="8" borderId="8">
      <alignment vertical="center"/>
    </xf>
    <xf numFmtId="0" fontId="21" fillId="0" borderId="9">
      <alignment vertical="center"/>
    </xf>
    <xf numFmtId="0" fontId="22" fillId="0" borderId="10">
      <alignment vertical="center"/>
    </xf>
    <xf numFmtId="0" fontId="23" fillId="9" borderId="0">
      <alignment vertical="center"/>
    </xf>
    <xf numFmtId="0" fontId="24" fillId="10" borderId="0">
      <alignment vertical="center"/>
    </xf>
    <xf numFmtId="0" fontId="25" fillId="11" borderId="0">
      <alignment vertical="center"/>
    </xf>
    <xf numFmtId="0" fontId="26" fillId="12" borderId="0">
      <alignment vertical="center"/>
    </xf>
    <xf numFmtId="0" fontId="27" fillId="13" borderId="0">
      <alignment vertical="center"/>
    </xf>
    <xf numFmtId="0" fontId="27" fillId="14" borderId="0">
      <alignment vertical="center"/>
    </xf>
    <xf numFmtId="0" fontId="26" fillId="15" borderId="0">
      <alignment vertical="center"/>
    </xf>
    <xf numFmtId="0" fontId="26" fillId="16" borderId="0">
      <alignment vertical="center"/>
    </xf>
    <xf numFmtId="0" fontId="27" fillId="17" borderId="0">
      <alignment vertical="center"/>
    </xf>
    <xf numFmtId="0" fontId="27" fillId="18" borderId="0">
      <alignment vertical="center"/>
    </xf>
    <xf numFmtId="0" fontId="26" fillId="19" borderId="0">
      <alignment vertical="center"/>
    </xf>
    <xf numFmtId="0" fontId="26" fillId="20" borderId="0">
      <alignment vertical="center"/>
    </xf>
    <xf numFmtId="0" fontId="27" fillId="21" borderId="0">
      <alignment vertical="center"/>
    </xf>
    <xf numFmtId="0" fontId="27" fillId="22" borderId="0">
      <alignment vertical="center"/>
    </xf>
    <xf numFmtId="0" fontId="26" fillId="23" borderId="0">
      <alignment vertical="center"/>
    </xf>
    <xf numFmtId="0" fontId="26" fillId="24" borderId="0">
      <alignment vertical="center"/>
    </xf>
    <xf numFmtId="0" fontId="27" fillId="25" borderId="0">
      <alignment vertical="center"/>
    </xf>
    <xf numFmtId="0" fontId="27" fillId="26" borderId="0">
      <alignment vertical="center"/>
    </xf>
    <xf numFmtId="0" fontId="26" fillId="27" borderId="0">
      <alignment vertical="center"/>
    </xf>
    <xf numFmtId="0" fontId="26" fillId="28" borderId="0">
      <alignment vertical="center"/>
    </xf>
    <xf numFmtId="0" fontId="27" fillId="29" borderId="0">
      <alignment vertical="center"/>
    </xf>
    <xf numFmtId="0" fontId="27" fillId="30" borderId="0">
      <alignment vertical="center"/>
    </xf>
    <xf numFmtId="0" fontId="26" fillId="31" borderId="0">
      <alignment vertical="center"/>
    </xf>
    <xf numFmtId="0" fontId="26" fillId="32" borderId="0">
      <alignment vertical="center"/>
    </xf>
    <xf numFmtId="0" fontId="27" fillId="33" borderId="0">
      <alignment vertical="center"/>
    </xf>
    <xf numFmtId="0" fontId="27" fillId="34" borderId="0">
      <alignment vertical="center"/>
    </xf>
    <xf numFmtId="0" fontId="26" fillId="35" borderId="0">
      <alignment vertical="center"/>
    </xf>
  </cellStyleXfs>
  <cellXfs count="33">
    <xf numFmtId="0" fontId="0" fillId="0" borderId="0" xfId="0" applyAlignment="1">
      <alignment vertical="center"/>
    </xf>
    <xf numFmtId="0" fontId="0" fillId="0" borderId="0" xfId="0" applyFill="1" applyAlignment="1"/>
    <xf numFmtId="0" fontId="1" fillId="2" borderId="1" xfId="0" applyFont="1" applyFill="1" applyBorder="1" applyAlignment="1">
      <alignment horizontal="left"/>
    </xf>
    <xf numFmtId="0" fontId="2" fillId="0" borderId="0" xfId="0" applyFont="1" applyFill="1" applyAlignment="1">
      <alignment horizontal="left"/>
    </xf>
    <xf numFmtId="4" fontId="2" fillId="0" borderId="0" xfId="0" applyNumberFormat="1" applyFont="1" applyFill="1" applyAlignment="1">
      <alignment horizontal="right"/>
    </xf>
    <xf numFmtId="0" fontId="2" fillId="2" borderId="0" xfId="0" applyFont="1" applyFill="1" applyAlignment="1">
      <alignment horizontal="left"/>
    </xf>
    <xf numFmtId="4" fontId="2" fillId="2" borderId="0" xfId="0" applyNumberFormat="1" applyFont="1" applyFill="1" applyAlignment="1">
      <alignment horizontal="right"/>
    </xf>
    <xf numFmtId="0" fontId="3" fillId="0" borderId="0" xfId="0" applyFont="1" applyFill="1" applyAlignment="1">
      <alignment vertical="top"/>
    </xf>
    <xf numFmtId="43" fontId="3" fillId="0" borderId="0" xfId="0" applyNumberFormat="1" applyFont="1" applyFill="1" applyAlignment="1">
      <alignment vertical="top"/>
    </xf>
    <xf numFmtId="0" fontId="4" fillId="0" borderId="0" xfId="0" applyFont="1" applyFill="1" applyAlignment="1">
      <alignment vertical="top"/>
    </xf>
    <xf numFmtId="0" fontId="3" fillId="3" borderId="2" xfId="0" applyFont="1" applyFill="1" applyBorder="1" applyAlignment="1">
      <alignment vertical="top"/>
    </xf>
    <xf numFmtId="4" fontId="3" fillId="0" borderId="0" xfId="0" applyNumberFormat="1" applyFont="1" applyFill="1" applyAlignment="1">
      <alignment horizontal="right" vertical="top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vertical="center"/>
    </xf>
    <xf numFmtId="43" fontId="6" fillId="0" borderId="0" xfId="0" applyNumberFormat="1" applyFont="1" applyAlignment="1">
      <alignment vertical="center"/>
    </xf>
    <xf numFmtId="0" fontId="7" fillId="0" borderId="0" xfId="0" applyFont="1" applyFill="1" applyAlignment="1">
      <alignment vertical="top"/>
    </xf>
    <xf numFmtId="0" fontId="5" fillId="0" borderId="2" xfId="0" applyFont="1" applyBorder="1" applyAlignment="1">
      <alignment vertical="center"/>
    </xf>
    <xf numFmtId="43" fontId="5" fillId="0" borderId="2" xfId="0" applyNumberFormat="1" applyFont="1" applyBorder="1" applyAlignment="1">
      <alignment vertical="center"/>
    </xf>
    <xf numFmtId="0" fontId="6" fillId="0" borderId="2" xfId="0" applyFont="1" applyBorder="1" applyAlignment="1">
      <alignment vertical="center"/>
    </xf>
    <xf numFmtId="43" fontId="6" fillId="0" borderId="2" xfId="0" applyNumberFormat="1" applyFont="1" applyBorder="1" applyAlignment="1">
      <alignment vertical="center"/>
    </xf>
    <xf numFmtId="43" fontId="0" fillId="0" borderId="0" xfId="0" applyNumberFormat="1" applyAlignment="1">
      <alignment vertical="center"/>
    </xf>
    <xf numFmtId="4" fontId="0" fillId="0" borderId="0" xfId="0" applyNumberFormat="1" applyAlignment="1">
      <alignment vertical="center"/>
    </xf>
    <xf numFmtId="0" fontId="5" fillId="0" borderId="0" xfId="0" applyFont="1" applyFill="1" applyAlignment="1">
      <alignment horizontal="center" vertical="center"/>
    </xf>
    <xf numFmtId="0" fontId="8" fillId="3" borderId="2" xfId="0" applyFont="1" applyFill="1" applyBorder="1" applyAlignment="1">
      <alignment horizontal="center" vertical="center"/>
    </xf>
    <xf numFmtId="0" fontId="7" fillId="0" borderId="2" xfId="0" applyFont="1" applyFill="1" applyBorder="1" applyAlignment="1">
      <alignment vertical="top"/>
    </xf>
    <xf numFmtId="4" fontId="7" fillId="0" borderId="2" xfId="0" applyNumberFormat="1" applyFont="1" applyFill="1" applyBorder="1" applyAlignment="1">
      <alignment horizontal="right" vertical="top"/>
    </xf>
    <xf numFmtId="0" fontId="8" fillId="0" borderId="0" xfId="0" applyFont="1" applyFill="1" applyAlignment="1">
      <alignment horizontal="center" vertical="center"/>
    </xf>
    <xf numFmtId="0" fontId="7" fillId="0" borderId="0" xfId="0" applyFont="1" applyFill="1" applyAlignment="1">
      <alignment vertical="center"/>
    </xf>
    <xf numFmtId="0" fontId="7" fillId="0" borderId="2" xfId="0" applyFont="1" applyFill="1" applyBorder="1" applyAlignment="1">
      <alignment vertical="center"/>
    </xf>
    <xf numFmtId="4" fontId="7" fillId="0" borderId="2" xfId="0" applyNumberFormat="1" applyFont="1" applyFill="1" applyBorder="1" applyAlignment="1">
      <alignment horizontal="right" vertical="center"/>
    </xf>
    <xf numFmtId="4" fontId="7" fillId="4" borderId="2" xfId="0" applyNumberFormat="1" applyFont="1" applyFill="1" applyBorder="1" applyAlignment="1">
      <alignment horizontal="right" vertical="center"/>
    </xf>
    <xf numFmtId="0" fontId="8" fillId="0" borderId="2" xfId="0" applyFont="1" applyFill="1" applyBorder="1" applyAlignment="1">
      <alignment vertical="center"/>
    </xf>
    <xf numFmtId="4" fontId="8" fillId="0" borderId="2" xfId="0" applyNumberFormat="1" applyFont="1" applyFill="1" applyBorder="1" applyAlignment="1">
      <alignment horizontal="right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tyles" Target="styles.xml"/><Relationship Id="rId8" Type="http://schemas.openxmlformats.org/officeDocument/2006/relationships/sharedStrings" Target="sharedStrings.xml"/><Relationship Id="rId7" Type="http://schemas.openxmlformats.org/officeDocument/2006/relationships/theme" Target="theme/theme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0</xdr:colOff>
      <xdr:row>0</xdr:row>
      <xdr:rowOff>0</xdr:rowOff>
    </xdr:from>
    <xdr:ext cx="1905000" cy="651510"/>
    <xdr:pic>
      <xdr:nvPicPr>
        <xdr:cNvPr id="2" name="Picture 1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0" y="0"/>
          <a:ext cx="1905000" cy="65151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3"/>
  <sheetViews>
    <sheetView view="pageBreakPreview" zoomScale="115" zoomScaleNormal="100" workbookViewId="0">
      <selection activeCell="D25" sqref="D25"/>
    </sheetView>
  </sheetViews>
  <sheetFormatPr defaultColWidth="9" defaultRowHeight="12.35"/>
  <cols>
    <col min="1" max="1" width="32.5575221238938" style="13" customWidth="1"/>
    <col min="2" max="3" width="12.7787610619469" style="13" customWidth="1"/>
    <col min="4" max="4" width="23.1150442477876" style="13" customWidth="1"/>
    <col min="5" max="6" width="12.7787610619469" style="13" customWidth="1"/>
    <col min="7" max="8" width="9" style="13"/>
    <col min="9" max="9" width="11.7787610619469" style="13"/>
    <col min="10" max="16384" width="9" style="13"/>
  </cols>
  <sheetData>
    <row r="1" spans="1:9">
      <c r="A1" s="26" t="s">
        <v>0</v>
      </c>
      <c r="B1" s="26"/>
      <c r="C1" s="26"/>
      <c r="D1" s="26"/>
      <c r="E1" s="26"/>
      <c r="F1" s="26"/>
    </row>
    <row r="2" spans="1:9">
      <c r="A2" s="27" t="s">
        <v>1</v>
      </c>
      <c r="B2" s="27"/>
      <c r="C2" s="27"/>
      <c r="D2" s="27" t="s">
        <v>2</v>
      </c>
      <c r="E2" s="27"/>
      <c r="F2" s="27" t="s">
        <v>3</v>
      </c>
    </row>
    <row r="3" spans="1:9">
      <c r="A3" s="23" t="s">
        <v>4</v>
      </c>
      <c r="B3" s="23" t="s">
        <v>5</v>
      </c>
      <c r="C3" s="23" t="s">
        <v>6</v>
      </c>
      <c r="D3" s="23" t="s">
        <v>4</v>
      </c>
      <c r="E3" s="23" t="s">
        <v>5</v>
      </c>
      <c r="F3" s="23" t="s">
        <v>6</v>
      </c>
    </row>
    <row r="4" spans="1:9">
      <c r="A4" s="28" t="s">
        <v>7</v>
      </c>
      <c r="B4" s="29">
        <v>0</v>
      </c>
      <c r="C4" s="29">
        <v>0</v>
      </c>
      <c r="D4" s="28" t="s">
        <v>8</v>
      </c>
      <c r="E4" s="29">
        <v>0</v>
      </c>
      <c r="F4" s="29">
        <v>0</v>
      </c>
    </row>
    <row r="5" spans="1:9">
      <c r="A5" s="28" t="s">
        <v>9</v>
      </c>
      <c r="B5" s="30">
        <v>1414786.95</v>
      </c>
      <c r="C5" s="29">
        <v>3615121.23</v>
      </c>
      <c r="D5" s="28" t="s">
        <v>10</v>
      </c>
      <c r="E5" s="29">
        <v>0</v>
      </c>
      <c r="F5" s="29">
        <v>0</v>
      </c>
      <c r="I5" s="14"/>
    </row>
    <row r="6" spans="1:9">
      <c r="A6" s="28" t="s">
        <v>11</v>
      </c>
      <c r="B6" s="29">
        <v>0</v>
      </c>
      <c r="C6" s="29">
        <v>0</v>
      </c>
      <c r="D6" s="28" t="s">
        <v>12</v>
      </c>
      <c r="E6" s="29">
        <v>0</v>
      </c>
      <c r="F6" s="29">
        <v>0</v>
      </c>
      <c r="I6" s="14"/>
    </row>
    <row r="7" spans="1:9">
      <c r="A7" s="28" t="s">
        <v>13</v>
      </c>
      <c r="B7" s="29">
        <v>0</v>
      </c>
      <c r="C7" s="29">
        <v>0</v>
      </c>
      <c r="D7" s="28" t="s">
        <v>14</v>
      </c>
      <c r="E7" s="29">
        <v>0</v>
      </c>
      <c r="F7" s="29">
        <v>0</v>
      </c>
      <c r="I7" s="14"/>
    </row>
    <row r="8" spans="1:9">
      <c r="A8" s="28" t="s">
        <v>15</v>
      </c>
      <c r="B8" s="30">
        <v>908206.67</v>
      </c>
      <c r="C8" s="29">
        <v>55611.33</v>
      </c>
      <c r="D8" s="28" t="s">
        <v>16</v>
      </c>
      <c r="E8" s="30">
        <v>1260096.12</v>
      </c>
      <c r="F8" s="29">
        <v>1197402.05</v>
      </c>
      <c r="I8" s="14"/>
    </row>
    <row r="9" spans="1:9">
      <c r="A9" s="28" t="s">
        <v>17</v>
      </c>
      <c r="B9" s="29">
        <v>0</v>
      </c>
      <c r="C9" s="29">
        <v>0</v>
      </c>
      <c r="D9" s="28" t="s">
        <v>18</v>
      </c>
      <c r="E9" s="29">
        <v>12790.19</v>
      </c>
      <c r="F9" s="29">
        <v>20191.36</v>
      </c>
      <c r="I9" s="14"/>
    </row>
    <row r="10" spans="1:9">
      <c r="A10" s="28" t="s">
        <v>19</v>
      </c>
      <c r="B10" s="29">
        <v>0</v>
      </c>
      <c r="C10" s="29">
        <v>241200</v>
      </c>
      <c r="D10" s="28" t="s">
        <v>20</v>
      </c>
      <c r="E10" s="29">
        <v>0</v>
      </c>
      <c r="F10" s="29">
        <v>0</v>
      </c>
      <c r="I10" s="14"/>
    </row>
    <row r="11" spans="1:9">
      <c r="A11" s="28" t="s">
        <v>21</v>
      </c>
      <c r="B11" s="30">
        <v>81886.46</v>
      </c>
      <c r="C11" s="29">
        <v>101587.28</v>
      </c>
      <c r="D11" s="28" t="s">
        <v>22</v>
      </c>
      <c r="E11" s="30">
        <v>137555.76</v>
      </c>
      <c r="F11" s="29">
        <v>76142.06</v>
      </c>
    </row>
    <row r="12" spans="1:9">
      <c r="A12" s="28" t="s">
        <v>23</v>
      </c>
      <c r="B12" s="29">
        <v>0</v>
      </c>
      <c r="C12" s="29">
        <v>0</v>
      </c>
      <c r="D12" s="28" t="s">
        <v>24</v>
      </c>
      <c r="E12" s="29">
        <v>-73098.3</v>
      </c>
      <c r="F12" s="29">
        <v>72075.4</v>
      </c>
    </row>
    <row r="13" spans="1:9">
      <c r="A13" s="28" t="s">
        <v>25</v>
      </c>
      <c r="B13" s="29">
        <v>0</v>
      </c>
      <c r="C13" s="29">
        <v>0</v>
      </c>
      <c r="D13" s="28" t="s">
        <v>26</v>
      </c>
      <c r="E13" s="30">
        <v>709403.01</v>
      </c>
      <c r="F13" s="29">
        <v>224895.94</v>
      </c>
    </row>
    <row r="14" spans="1:9">
      <c r="A14" s="28" t="s">
        <v>27</v>
      </c>
      <c r="B14" s="30">
        <v>2346633.08</v>
      </c>
      <c r="C14" s="29">
        <v>1321803.02</v>
      </c>
      <c r="D14" s="28" t="s">
        <v>28</v>
      </c>
      <c r="E14" s="29">
        <v>0</v>
      </c>
      <c r="F14" s="29">
        <v>0</v>
      </c>
    </row>
    <row r="15" spans="1:9">
      <c r="A15" s="28" t="s">
        <v>29</v>
      </c>
      <c r="B15" s="29">
        <v>0</v>
      </c>
      <c r="C15" s="29">
        <v>0</v>
      </c>
      <c r="D15" s="28" t="s">
        <v>30</v>
      </c>
      <c r="E15" s="29">
        <v>0</v>
      </c>
      <c r="F15" s="29">
        <v>0</v>
      </c>
    </row>
    <row r="16" spans="1:9">
      <c r="A16" s="28" t="s">
        <v>31</v>
      </c>
      <c r="B16" s="29">
        <v>0</v>
      </c>
      <c r="C16" s="29">
        <v>0</v>
      </c>
      <c r="D16" s="28" t="s">
        <v>32</v>
      </c>
      <c r="E16" s="29">
        <v>0</v>
      </c>
      <c r="F16" s="29">
        <v>0</v>
      </c>
    </row>
    <row r="17" spans="1:6">
      <c r="A17" s="28" t="s">
        <v>33</v>
      </c>
      <c r="B17" s="29">
        <v>0</v>
      </c>
      <c r="C17" s="29">
        <v>0</v>
      </c>
      <c r="D17" s="28" t="s">
        <v>34</v>
      </c>
      <c r="E17" s="29">
        <v>0</v>
      </c>
      <c r="F17" s="29">
        <v>0</v>
      </c>
    </row>
    <row r="18" spans="1:6">
      <c r="A18" s="31" t="s">
        <v>35</v>
      </c>
      <c r="B18" s="32">
        <f>SUM(B4:B17)-B12</f>
        <v>4751513.16</v>
      </c>
      <c r="C18" s="32">
        <f>SUM(C4:C17)-C12</f>
        <v>5335322.86</v>
      </c>
      <c r="D18" s="31" t="s">
        <v>36</v>
      </c>
      <c r="E18" s="32">
        <f>SUM(E4:E17)-E14</f>
        <v>2046746.78</v>
      </c>
      <c r="F18" s="32">
        <f>SUM(F4:F17)-F14</f>
        <v>1590706.81</v>
      </c>
    </row>
    <row r="19" spans="1:6">
      <c r="A19" s="28" t="s">
        <v>37</v>
      </c>
      <c r="B19" s="29">
        <v>0</v>
      </c>
      <c r="C19" s="29">
        <v>0</v>
      </c>
      <c r="D19" s="28" t="s">
        <v>38</v>
      </c>
      <c r="E19" s="29">
        <v>0</v>
      </c>
      <c r="F19" s="29">
        <v>0</v>
      </c>
    </row>
    <row r="20" spans="1:6">
      <c r="A20" s="28" t="s">
        <v>39</v>
      </c>
      <c r="B20" s="29">
        <v>0</v>
      </c>
      <c r="C20" s="29">
        <v>0</v>
      </c>
      <c r="D20" s="28" t="s">
        <v>40</v>
      </c>
      <c r="E20" s="29">
        <v>0</v>
      </c>
      <c r="F20" s="29">
        <v>0</v>
      </c>
    </row>
    <row r="21" spans="1:6">
      <c r="A21" s="28" t="s">
        <v>41</v>
      </c>
      <c r="B21" s="29">
        <v>0</v>
      </c>
      <c r="C21" s="29">
        <v>0</v>
      </c>
      <c r="D21" s="28" t="s">
        <v>42</v>
      </c>
      <c r="E21" s="29">
        <v>0</v>
      </c>
      <c r="F21" s="29">
        <v>0</v>
      </c>
    </row>
    <row r="22" spans="1:6">
      <c r="A22" s="28" t="s">
        <v>43</v>
      </c>
      <c r="B22" s="29">
        <v>0</v>
      </c>
      <c r="C22" s="29">
        <v>0</v>
      </c>
      <c r="D22" s="28" t="s">
        <v>44</v>
      </c>
      <c r="E22" s="29">
        <v>0</v>
      </c>
      <c r="F22" s="29">
        <v>0</v>
      </c>
    </row>
    <row r="23" spans="1:6">
      <c r="A23" s="28" t="s">
        <v>45</v>
      </c>
      <c r="B23" s="29">
        <v>0</v>
      </c>
      <c r="C23" s="29">
        <v>0</v>
      </c>
      <c r="D23" s="28" t="s">
        <v>46</v>
      </c>
      <c r="E23" s="29">
        <v>0</v>
      </c>
      <c r="F23" s="29">
        <v>0</v>
      </c>
    </row>
    <row r="24" spans="1:6">
      <c r="A24" s="28" t="s">
        <v>47</v>
      </c>
      <c r="B24" s="29">
        <v>0</v>
      </c>
      <c r="C24" s="29">
        <v>0</v>
      </c>
      <c r="D24" s="28" t="s">
        <v>48</v>
      </c>
      <c r="E24" s="29">
        <v>0</v>
      </c>
      <c r="F24" s="29">
        <v>0</v>
      </c>
    </row>
    <row r="25" spans="1:6">
      <c r="A25" s="28" t="s">
        <v>49</v>
      </c>
      <c r="B25" s="29">
        <v>0</v>
      </c>
      <c r="C25" s="29">
        <v>0</v>
      </c>
      <c r="D25" s="28" t="s">
        <v>50</v>
      </c>
      <c r="E25" s="29">
        <v>0</v>
      </c>
      <c r="F25" s="29">
        <v>0</v>
      </c>
    </row>
    <row r="26" spans="1:6">
      <c r="A26" s="28" t="s">
        <v>51</v>
      </c>
      <c r="B26" s="29">
        <v>0</v>
      </c>
      <c r="C26" s="29">
        <v>0</v>
      </c>
      <c r="D26" s="28" t="s">
        <v>52</v>
      </c>
      <c r="E26" s="29">
        <v>0</v>
      </c>
      <c r="F26" s="29">
        <v>0</v>
      </c>
    </row>
    <row r="27" spans="1:6">
      <c r="A27" s="28" t="s">
        <v>53</v>
      </c>
      <c r="B27" s="29">
        <v>0</v>
      </c>
      <c r="C27" s="29">
        <v>0</v>
      </c>
      <c r="D27" s="28" t="s">
        <v>54</v>
      </c>
      <c r="E27" s="29">
        <v>0</v>
      </c>
      <c r="F27" s="29">
        <v>0</v>
      </c>
    </row>
    <row r="28" spans="1:6">
      <c r="A28" s="28" t="s">
        <v>55</v>
      </c>
      <c r="B28" s="29">
        <v>0</v>
      </c>
      <c r="C28" s="29">
        <v>0</v>
      </c>
      <c r="D28" s="28" t="s">
        <v>56</v>
      </c>
      <c r="E28" s="29">
        <v>0</v>
      </c>
      <c r="F28" s="29">
        <v>0</v>
      </c>
    </row>
    <row r="29" spans="1:6">
      <c r="A29" s="28" t="s">
        <v>57</v>
      </c>
      <c r="B29" s="29">
        <v>0</v>
      </c>
      <c r="C29" s="29">
        <v>0</v>
      </c>
      <c r="D29" s="31" t="s">
        <v>58</v>
      </c>
      <c r="E29" s="32">
        <f>SUM(E19:E28)</f>
        <v>0</v>
      </c>
      <c r="F29" s="32">
        <f>SUM(F19:F28)</f>
        <v>0</v>
      </c>
    </row>
    <row r="30" spans="1:6">
      <c r="A30" s="28" t="s">
        <v>59</v>
      </c>
      <c r="B30" s="29">
        <v>0</v>
      </c>
      <c r="C30" s="29">
        <v>0</v>
      </c>
      <c r="D30" s="31" t="s">
        <v>60</v>
      </c>
      <c r="E30" s="32">
        <f>E29+E18</f>
        <v>2046746.78</v>
      </c>
      <c r="F30" s="32">
        <f>F29+F18</f>
        <v>1590706.81</v>
      </c>
    </row>
    <row r="31" spans="1:6">
      <c r="A31" s="28" t="s">
        <v>61</v>
      </c>
      <c r="B31" s="29">
        <v>0</v>
      </c>
      <c r="C31" s="29">
        <v>0</v>
      </c>
      <c r="D31" s="28" t="s">
        <v>62</v>
      </c>
      <c r="E31" s="29">
        <v>0</v>
      </c>
      <c r="F31" s="29">
        <v>0</v>
      </c>
    </row>
    <row r="32" spans="1:6">
      <c r="A32" s="28" t="s">
        <v>63</v>
      </c>
      <c r="B32" s="29">
        <v>0</v>
      </c>
      <c r="C32" s="29">
        <v>0</v>
      </c>
      <c r="D32" s="28" t="s">
        <v>64</v>
      </c>
      <c r="E32" s="29">
        <v>5000000</v>
      </c>
      <c r="F32" s="29">
        <v>5000000</v>
      </c>
    </row>
    <row r="33" spans="1:6">
      <c r="A33" s="28" t="s">
        <v>65</v>
      </c>
      <c r="B33" s="29">
        <v>0</v>
      </c>
      <c r="C33" s="29">
        <v>0</v>
      </c>
      <c r="D33" s="28" t="s">
        <v>66</v>
      </c>
      <c r="E33" s="29">
        <v>0</v>
      </c>
      <c r="F33" s="29">
        <v>0</v>
      </c>
    </row>
    <row r="34" spans="1:6">
      <c r="A34" s="31" t="s">
        <v>67</v>
      </c>
      <c r="B34" s="32">
        <f>SUM(B19:B33)</f>
        <v>0</v>
      </c>
      <c r="C34" s="32">
        <v>0</v>
      </c>
      <c r="D34" s="28" t="s">
        <v>68</v>
      </c>
      <c r="E34" s="29">
        <v>0</v>
      </c>
      <c r="F34" s="29">
        <v>0</v>
      </c>
    </row>
    <row r="35" spans="1:6">
      <c r="A35" s="28" t="s">
        <v>69</v>
      </c>
      <c r="B35" s="29">
        <v>0</v>
      </c>
      <c r="C35" s="29">
        <v>0</v>
      </c>
      <c r="D35" s="28" t="s">
        <v>70</v>
      </c>
      <c r="E35" s="29">
        <v>0</v>
      </c>
      <c r="F35" s="29">
        <v>0</v>
      </c>
    </row>
    <row r="36" spans="1:6">
      <c r="A36" s="28" t="s">
        <v>69</v>
      </c>
      <c r="B36" s="29">
        <v>0</v>
      </c>
      <c r="C36" s="29">
        <v>0</v>
      </c>
      <c r="D36" s="28" t="s">
        <v>71</v>
      </c>
      <c r="E36" s="29">
        <v>0</v>
      </c>
      <c r="F36" s="29">
        <v>0</v>
      </c>
    </row>
    <row r="37" spans="1:6">
      <c r="A37" s="28" t="s">
        <v>69</v>
      </c>
      <c r="B37" s="29">
        <v>0</v>
      </c>
      <c r="C37" s="29">
        <v>0</v>
      </c>
      <c r="D37" s="28" t="s">
        <v>72</v>
      </c>
      <c r="E37" s="30">
        <v>-2295233.62</v>
      </c>
      <c r="F37" s="29">
        <v>-1255383.95</v>
      </c>
    </row>
    <row r="38" spans="1:6">
      <c r="A38" s="28" t="s">
        <v>69</v>
      </c>
      <c r="B38" s="29">
        <v>0</v>
      </c>
      <c r="C38" s="29">
        <v>0</v>
      </c>
      <c r="D38" s="28" t="s">
        <v>73</v>
      </c>
      <c r="E38" s="29">
        <v>0</v>
      </c>
      <c r="F38" s="29">
        <v>0</v>
      </c>
    </row>
    <row r="39" spans="1:6">
      <c r="A39" s="28" t="s">
        <v>69</v>
      </c>
      <c r="B39" s="29">
        <v>0</v>
      </c>
      <c r="C39" s="29">
        <v>0</v>
      </c>
      <c r="D39" s="28" t="s">
        <v>74</v>
      </c>
      <c r="E39" s="29">
        <v>0</v>
      </c>
      <c r="F39" s="29">
        <v>0</v>
      </c>
    </row>
    <row r="40" spans="1:6">
      <c r="A40" s="28" t="s">
        <v>69</v>
      </c>
      <c r="B40" s="29">
        <v>0</v>
      </c>
      <c r="C40" s="29">
        <v>0</v>
      </c>
      <c r="D40" s="31" t="s">
        <v>75</v>
      </c>
      <c r="E40" s="32">
        <f>E32+E33-E34+E35+E36+E37</f>
        <v>2704766.38</v>
      </c>
      <c r="F40" s="32">
        <f>F32+F33-F34+F35+F36+F37</f>
        <v>3744616.05</v>
      </c>
    </row>
    <row r="41" spans="1:6">
      <c r="A41" s="31" t="s">
        <v>76</v>
      </c>
      <c r="B41" s="32">
        <f>B34+B18</f>
        <v>4751513.16</v>
      </c>
      <c r="C41" s="32">
        <f>C34+C18</f>
        <v>5335322.86</v>
      </c>
      <c r="D41" s="31" t="s">
        <v>77</v>
      </c>
      <c r="E41" s="32">
        <f>E40+E30</f>
        <v>4751513.16</v>
      </c>
      <c r="F41" s="32">
        <f>F40+F30</f>
        <v>5335322.86</v>
      </c>
    </row>
    <row r="42" spans="1:6">
      <c r="E42" s="14">
        <f>E41-B41</f>
        <v>0</v>
      </c>
      <c r="F42" s="14">
        <f>F41-C41</f>
        <v>0</v>
      </c>
    </row>
    <row r="43" spans="1:6">
      <c r="E43" s="14">
        <f>F37+利润表!G27-E37</f>
        <v>0</v>
      </c>
    </row>
  </sheetData>
  <mergeCells count="1">
    <mergeCell ref="A1:F1"/>
  </mergeCells>
  <pageMargins left="0.7" right="0.7" top="0.75" bottom="0.75" header="0.3" footer="0.3"/>
  <pageSetup paperSize="9" scale="71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27"/>
  <sheetViews>
    <sheetView view="pageBreakPreview" zoomScaleNormal="100" workbookViewId="0">
      <selection activeCell="E30" sqref="E30"/>
    </sheetView>
  </sheetViews>
  <sheetFormatPr defaultColWidth="9" defaultRowHeight="13.5" outlineLevelCol="6"/>
  <cols>
    <col min="1" max="1" width="33.7787610619469" customWidth="1"/>
    <col min="2" max="2" width="10" customWidth="1"/>
    <col min="3" max="3" width="10.1150442477876" customWidth="1"/>
    <col min="4" max="4" width="9.88495575221239" customWidth="1"/>
    <col min="5" max="5" width="10.4424778761062" customWidth="1"/>
    <col min="6" max="6" width="10" customWidth="1"/>
    <col min="7" max="7" width="11" customWidth="1"/>
  </cols>
  <sheetData>
    <row r="1" spans="1:7">
      <c r="A1" s="12" t="s">
        <v>78</v>
      </c>
      <c r="B1" s="12"/>
      <c r="C1" s="22"/>
      <c r="D1" s="22"/>
      <c r="E1" s="22"/>
      <c r="F1" s="22"/>
      <c r="G1" s="22"/>
    </row>
    <row r="2" spans="1:7">
      <c r="A2" s="13" t="str">
        <f>资产负债表!A2</f>
        <v>编制单位：上海佰茶跳动科技有限公司</v>
      </c>
      <c r="B2" s="13"/>
      <c r="C2" s="15"/>
      <c r="D2" s="15"/>
      <c r="E2" s="15"/>
      <c r="F2" s="15"/>
      <c r="G2" s="15" t="s">
        <v>3</v>
      </c>
    </row>
    <row r="3" spans="1:7">
      <c r="A3" s="23" t="s">
        <v>4</v>
      </c>
      <c r="B3" s="23" t="s">
        <v>79</v>
      </c>
      <c r="C3" s="23" t="s">
        <v>80</v>
      </c>
      <c r="D3" s="23" t="s">
        <v>81</v>
      </c>
      <c r="E3" s="23" t="s">
        <v>82</v>
      </c>
      <c r="F3" s="23" t="s">
        <v>83</v>
      </c>
      <c r="G3" s="23" t="s">
        <v>84</v>
      </c>
    </row>
    <row r="4" spans="1:7">
      <c r="A4" s="24" t="s">
        <v>85</v>
      </c>
      <c r="B4" s="25">
        <v>1351569.14</v>
      </c>
      <c r="C4" s="25">
        <v>1427666.07</v>
      </c>
      <c r="D4" s="25">
        <v>1169553.33</v>
      </c>
      <c r="E4" s="25">
        <v>876722.98</v>
      </c>
      <c r="F4" s="25">
        <v>1587416.78</v>
      </c>
      <c r="G4" s="25">
        <v>6412928.3</v>
      </c>
    </row>
    <row r="5" spans="1:7">
      <c r="A5" s="24" t="s">
        <v>86</v>
      </c>
      <c r="B5" s="25">
        <v>1351569.14</v>
      </c>
      <c r="C5" s="25">
        <v>1427666.07</v>
      </c>
      <c r="D5" s="25">
        <v>1169553.33</v>
      </c>
      <c r="E5" s="25">
        <v>876722.98</v>
      </c>
      <c r="F5" s="25">
        <v>1587416.78</v>
      </c>
      <c r="G5" s="25">
        <v>6412928.3</v>
      </c>
    </row>
    <row r="6" spans="1:7">
      <c r="A6" s="24" t="s">
        <v>87</v>
      </c>
      <c r="B6" s="25">
        <v>1585828.49</v>
      </c>
      <c r="C6" s="25">
        <v>1481607.48</v>
      </c>
      <c r="D6" s="25">
        <v>1547738.04</v>
      </c>
      <c r="E6" s="25">
        <v>1145871.58</v>
      </c>
      <c r="F6" s="25">
        <v>1691767.06</v>
      </c>
      <c r="G6" s="25">
        <v>7452812.65</v>
      </c>
    </row>
    <row r="7" spans="1:7">
      <c r="A7" s="24" t="s">
        <v>88</v>
      </c>
      <c r="B7" s="25">
        <v>605760.8</v>
      </c>
      <c r="C7" s="25">
        <v>668063.05</v>
      </c>
      <c r="D7" s="25">
        <v>667605.55</v>
      </c>
      <c r="E7" s="25">
        <v>497465.29</v>
      </c>
      <c r="F7" s="25">
        <v>1036063.65</v>
      </c>
      <c r="G7" s="25">
        <v>3474958.34</v>
      </c>
    </row>
    <row r="8" spans="1:7">
      <c r="A8" s="24" t="s">
        <v>89</v>
      </c>
      <c r="B8" s="25">
        <v>6142.97</v>
      </c>
      <c r="C8" s="25">
        <v>6195.63</v>
      </c>
      <c r="D8" s="25">
        <v>3609.92</v>
      </c>
      <c r="E8" s="25">
        <v>-439.47</v>
      </c>
      <c r="F8" s="25">
        <v>0</v>
      </c>
      <c r="G8" s="25">
        <v>15509.05</v>
      </c>
    </row>
    <row r="9" spans="1:7">
      <c r="A9" s="24" t="s">
        <v>90</v>
      </c>
      <c r="B9" s="25">
        <v>973805.6</v>
      </c>
      <c r="C9" s="25">
        <v>807236.75</v>
      </c>
      <c r="D9" s="25">
        <v>876775.3</v>
      </c>
      <c r="E9" s="25">
        <v>648702.18</v>
      </c>
      <c r="F9" s="25">
        <v>655609.19</v>
      </c>
      <c r="G9" s="25">
        <v>3962129.02</v>
      </c>
    </row>
    <row r="10" spans="1:7">
      <c r="A10" s="24" t="s">
        <v>91</v>
      </c>
      <c r="B10" s="25">
        <v>0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</row>
    <row r="11" spans="1:7">
      <c r="A11" s="24" t="s">
        <v>92</v>
      </c>
      <c r="B11" s="25">
        <v>0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</row>
    <row r="12" spans="1:7">
      <c r="A12" s="24" t="s">
        <v>93</v>
      </c>
      <c r="B12" s="25">
        <v>119.12</v>
      </c>
      <c r="C12" s="25">
        <v>112.05</v>
      </c>
      <c r="D12" s="25">
        <v>-252.73</v>
      </c>
      <c r="E12" s="25">
        <v>143.58</v>
      </c>
      <c r="F12" s="25">
        <v>94.22</v>
      </c>
      <c r="G12" s="25">
        <v>216.24</v>
      </c>
    </row>
    <row r="13" spans="1:7">
      <c r="A13" s="24" t="s">
        <v>94</v>
      </c>
      <c r="B13" s="25">
        <v>0</v>
      </c>
      <c r="C13" s="25">
        <v>0</v>
      </c>
      <c r="D13" s="25">
        <v>0</v>
      </c>
      <c r="E13" s="25">
        <v>0</v>
      </c>
      <c r="F13" s="25">
        <v>0</v>
      </c>
      <c r="G13" s="25">
        <v>0</v>
      </c>
    </row>
    <row r="14" spans="1:7">
      <c r="A14" s="24" t="s">
        <v>95</v>
      </c>
      <c r="B14" s="25">
        <v>0</v>
      </c>
      <c r="C14" s="25">
        <v>0</v>
      </c>
      <c r="D14" s="25">
        <v>0</v>
      </c>
      <c r="E14" s="25">
        <v>0</v>
      </c>
      <c r="F14" s="25">
        <v>0</v>
      </c>
      <c r="G14" s="25">
        <v>0</v>
      </c>
    </row>
    <row r="15" spans="1:7">
      <c r="A15" s="24" t="s">
        <v>96</v>
      </c>
      <c r="B15" s="25">
        <v>0</v>
      </c>
      <c r="C15" s="25">
        <v>0</v>
      </c>
      <c r="D15" s="25">
        <v>34.68</v>
      </c>
      <c r="E15" s="25">
        <v>0</v>
      </c>
      <c r="F15" s="25">
        <v>0</v>
      </c>
      <c r="G15" s="25">
        <v>34.68</v>
      </c>
    </row>
    <row r="16" spans="1:7">
      <c r="A16" s="24" t="s">
        <v>97</v>
      </c>
      <c r="B16" s="25">
        <v>0</v>
      </c>
      <c r="C16" s="25">
        <v>0</v>
      </c>
      <c r="D16" s="25">
        <v>0</v>
      </c>
      <c r="E16" s="25">
        <v>0</v>
      </c>
      <c r="F16" s="25">
        <v>0</v>
      </c>
      <c r="G16" s="25">
        <v>0</v>
      </c>
    </row>
    <row r="17" spans="1:7">
      <c r="A17" s="24" t="s">
        <v>98</v>
      </c>
      <c r="B17" s="25">
        <v>0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</row>
    <row r="18" spans="1:7">
      <c r="A18" s="24" t="s">
        <v>99</v>
      </c>
      <c r="B18" s="25">
        <v>0</v>
      </c>
      <c r="C18" s="25">
        <v>0</v>
      </c>
      <c r="D18" s="25">
        <v>0</v>
      </c>
      <c r="E18" s="25">
        <v>0</v>
      </c>
      <c r="F18" s="25">
        <v>0</v>
      </c>
      <c r="G18" s="25">
        <v>0</v>
      </c>
    </row>
    <row r="19" spans="1:7">
      <c r="A19" s="24" t="s">
        <v>100</v>
      </c>
      <c r="B19" s="25">
        <v>0</v>
      </c>
      <c r="C19" s="25">
        <v>0</v>
      </c>
      <c r="D19" s="25">
        <v>0</v>
      </c>
      <c r="E19" s="25">
        <v>0</v>
      </c>
      <c r="F19" s="25">
        <v>0</v>
      </c>
      <c r="G19" s="25">
        <v>0</v>
      </c>
    </row>
    <row r="20" spans="1:7">
      <c r="A20" s="24" t="s">
        <v>101</v>
      </c>
      <c r="B20" s="25">
        <v>0</v>
      </c>
      <c r="C20" s="25">
        <v>0</v>
      </c>
      <c r="D20" s="25">
        <v>0</v>
      </c>
      <c r="E20" s="25">
        <v>0</v>
      </c>
      <c r="F20" s="25">
        <v>0</v>
      </c>
      <c r="G20" s="25">
        <v>0</v>
      </c>
    </row>
    <row r="21" spans="1:7">
      <c r="A21" s="24" t="s">
        <v>102</v>
      </c>
      <c r="B21" s="25">
        <v>0</v>
      </c>
      <c r="C21" s="25">
        <v>0</v>
      </c>
      <c r="D21" s="25">
        <v>0</v>
      </c>
      <c r="E21" s="25">
        <v>0</v>
      </c>
      <c r="F21" s="25">
        <v>0</v>
      </c>
      <c r="G21" s="25">
        <v>0</v>
      </c>
    </row>
    <row r="22" spans="1:7">
      <c r="A22" s="24" t="s">
        <v>103</v>
      </c>
      <c r="B22" s="25">
        <v>-234259.35</v>
      </c>
      <c r="C22" s="25">
        <v>-53941.41</v>
      </c>
      <c r="D22" s="25">
        <v>-378150.03</v>
      </c>
      <c r="E22" s="25">
        <v>-269148.6</v>
      </c>
      <c r="F22" s="25">
        <v>-104350.28</v>
      </c>
      <c r="G22" s="25">
        <v>-1039849.67</v>
      </c>
    </row>
    <row r="23" spans="1:7">
      <c r="A23" s="24" t="s">
        <v>104</v>
      </c>
      <c r="B23" s="25">
        <v>0</v>
      </c>
      <c r="C23" s="25">
        <v>0</v>
      </c>
      <c r="D23" s="25">
        <v>0</v>
      </c>
      <c r="E23" s="25">
        <v>0</v>
      </c>
      <c r="F23" s="25">
        <v>0</v>
      </c>
      <c r="G23" s="25">
        <v>0</v>
      </c>
    </row>
    <row r="24" spans="1:7">
      <c r="A24" s="24" t="s">
        <v>105</v>
      </c>
      <c r="B24" s="25">
        <v>0</v>
      </c>
      <c r="C24" s="25">
        <v>0</v>
      </c>
      <c r="D24" s="25">
        <v>0</v>
      </c>
      <c r="E24" s="25">
        <v>0</v>
      </c>
      <c r="F24" s="25">
        <v>0</v>
      </c>
      <c r="G24" s="25">
        <v>0</v>
      </c>
    </row>
    <row r="25" spans="1:7">
      <c r="A25" s="24" t="s">
        <v>106</v>
      </c>
      <c r="B25" s="25">
        <v>-234259.35</v>
      </c>
      <c r="C25" s="25">
        <v>-53941.41</v>
      </c>
      <c r="D25" s="25">
        <v>-378150.03</v>
      </c>
      <c r="E25" s="25">
        <v>-269148.6</v>
      </c>
      <c r="F25" s="25">
        <v>-104350.28</v>
      </c>
      <c r="G25" s="25">
        <v>-1039849.67</v>
      </c>
    </row>
    <row r="26" spans="1:7">
      <c r="A26" s="24" t="s">
        <v>107</v>
      </c>
      <c r="B26" s="25">
        <v>0</v>
      </c>
      <c r="C26" s="25">
        <v>0</v>
      </c>
      <c r="D26" s="25">
        <v>0</v>
      </c>
      <c r="E26" s="25">
        <v>0</v>
      </c>
      <c r="F26" s="25">
        <v>0</v>
      </c>
      <c r="G26" s="25">
        <v>0</v>
      </c>
    </row>
    <row r="27" spans="1:7">
      <c r="A27" s="24" t="s">
        <v>108</v>
      </c>
      <c r="B27" s="25">
        <v>-234259.35</v>
      </c>
      <c r="C27" s="25">
        <v>-53941.41</v>
      </c>
      <c r="D27" s="25">
        <v>-378150.03</v>
      </c>
      <c r="E27" s="25">
        <v>-269148.6</v>
      </c>
      <c r="F27" s="25">
        <v>-104350.28</v>
      </c>
      <c r="G27" s="25">
        <v>-1039849.67</v>
      </c>
    </row>
  </sheetData>
  <mergeCells count="1">
    <mergeCell ref="A1:G1"/>
  </mergeCells>
  <pageMargins left="0.7" right="0.7" top="0.75" bottom="0.75" header="0.3" footer="0.3"/>
  <pageSetup paperSize="9" scale="85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48"/>
  <sheetViews>
    <sheetView view="pageBreakPreview" zoomScaleNormal="100" workbookViewId="0">
      <selection activeCell="A2" sqref="A2"/>
    </sheetView>
  </sheetViews>
  <sheetFormatPr defaultColWidth="8.88495575221239" defaultRowHeight="13.5" outlineLevelCol="6"/>
  <cols>
    <col min="1" max="1" width="47.5575221238938" customWidth="1"/>
    <col min="2" max="3" width="13.4424778761062" customWidth="1"/>
    <col min="4" max="5" width="15.2212389380531" customWidth="1"/>
    <col min="6" max="6" width="13.6637168141593" customWidth="1"/>
    <col min="7" max="7" width="13.8849557522124" customWidth="1"/>
  </cols>
  <sheetData>
    <row r="1" spans="1:7">
      <c r="A1" s="12" t="s">
        <v>109</v>
      </c>
      <c r="B1" s="12"/>
      <c r="C1" s="12"/>
      <c r="D1" s="12"/>
      <c r="E1" s="12"/>
      <c r="F1" s="12"/>
      <c r="G1" s="12"/>
    </row>
    <row r="2" spans="1:7">
      <c r="A2" s="13" t="str">
        <f>资产负债表!A2</f>
        <v>编制单位：上海佰茶跳动科技有限公司</v>
      </c>
      <c r="B2" s="14"/>
      <c r="C2" s="14"/>
      <c r="D2" s="14"/>
      <c r="E2" s="14"/>
      <c r="F2" s="14"/>
      <c r="G2" s="15" t="s">
        <v>3</v>
      </c>
    </row>
    <row r="3" spans="1:7">
      <c r="A3" s="16" t="s">
        <v>110</v>
      </c>
      <c r="B3" s="17" t="s">
        <v>79</v>
      </c>
      <c r="C3" s="17" t="s">
        <v>80</v>
      </c>
      <c r="D3" s="17" t="s">
        <v>81</v>
      </c>
      <c r="E3" s="17" t="s">
        <v>82</v>
      </c>
      <c r="F3" s="17" t="s">
        <v>83</v>
      </c>
      <c r="G3" s="17" t="s">
        <v>84</v>
      </c>
    </row>
    <row r="4" spans="1:7">
      <c r="A4" s="18" t="s">
        <v>111</v>
      </c>
      <c r="B4" s="19">
        <v>1274434.66</v>
      </c>
      <c r="C4" s="19">
        <v>1333212.18</v>
      </c>
      <c r="D4" s="19">
        <v>1020203.89</v>
      </c>
      <c r="E4" s="19">
        <v>711025.47</v>
      </c>
      <c r="F4" s="19">
        <v>1046680.64</v>
      </c>
      <c r="G4" s="19">
        <f t="shared" ref="G4:G6" si="0">B4+C4+D4+E4+F4</f>
        <v>5385556.84</v>
      </c>
    </row>
    <row r="5" spans="1:7">
      <c r="A5" s="18" t="s">
        <v>112</v>
      </c>
      <c r="B5" s="19">
        <v>0</v>
      </c>
      <c r="C5" s="19">
        <v>0</v>
      </c>
      <c r="D5" s="19">
        <v>0</v>
      </c>
      <c r="E5" s="19">
        <v>0</v>
      </c>
      <c r="F5" s="19">
        <v>0</v>
      </c>
      <c r="G5" s="19">
        <f t="shared" si="0"/>
        <v>0</v>
      </c>
    </row>
    <row r="6" spans="1:7">
      <c r="A6" s="18" t="s">
        <v>113</v>
      </c>
      <c r="B6" s="19">
        <v>53266.5</v>
      </c>
      <c r="C6" s="19">
        <v>0.65</v>
      </c>
      <c r="D6" s="19">
        <v>392.72</v>
      </c>
      <c r="E6" s="19">
        <v>670498.25</v>
      </c>
      <c r="F6" s="19">
        <v>0</v>
      </c>
      <c r="G6" s="19">
        <f t="shared" si="0"/>
        <v>724158.12</v>
      </c>
    </row>
    <row r="7" spans="1:7">
      <c r="A7" s="16" t="s">
        <v>114</v>
      </c>
      <c r="B7" s="17">
        <f t="shared" ref="B7:G7" si="1">SUM(B4:B6)</f>
        <v>1327701.16</v>
      </c>
      <c r="C7" s="17">
        <f t="shared" si="1"/>
        <v>1333212.83</v>
      </c>
      <c r="D7" s="17">
        <f t="shared" si="1"/>
        <v>1020596.61</v>
      </c>
      <c r="E7" s="17">
        <f t="shared" si="1"/>
        <v>1381523.72</v>
      </c>
      <c r="F7" s="17">
        <f t="shared" si="1"/>
        <v>1046680.64</v>
      </c>
      <c r="G7" s="17">
        <f t="shared" si="1"/>
        <v>6109714.96</v>
      </c>
    </row>
    <row r="8" spans="1:7">
      <c r="A8" s="18" t="s">
        <v>115</v>
      </c>
      <c r="B8" s="19">
        <v>1208706.98</v>
      </c>
      <c r="C8" s="19">
        <v>1352906.28</v>
      </c>
      <c r="D8" s="19">
        <v>1405925.24</v>
      </c>
      <c r="E8" s="19">
        <v>1660774.27</v>
      </c>
      <c r="F8" s="19">
        <v>1778040.82</v>
      </c>
      <c r="G8" s="19">
        <f t="shared" ref="G8:G11" si="2">B8+C8+D8+E8+F8</f>
        <v>7406353.59</v>
      </c>
    </row>
    <row r="9" spans="1:7">
      <c r="A9" s="18" t="s">
        <v>116</v>
      </c>
      <c r="B9" s="19">
        <v>76247.13</v>
      </c>
      <c r="C9" s="19">
        <v>99930.68</v>
      </c>
      <c r="D9" s="19">
        <v>94379.87</v>
      </c>
      <c r="E9" s="19">
        <v>112451.12</v>
      </c>
      <c r="F9" s="19">
        <v>117913.87</v>
      </c>
      <c r="G9" s="19">
        <f t="shared" si="2"/>
        <v>500922.67</v>
      </c>
    </row>
    <row r="10" spans="1:7">
      <c r="A10" s="18" t="s">
        <v>117</v>
      </c>
      <c r="B10" s="19">
        <v>72743.1</v>
      </c>
      <c r="C10" s="19">
        <v>79724.35</v>
      </c>
      <c r="D10" s="19">
        <v>121710.89</v>
      </c>
      <c r="E10" s="19">
        <v>83814.23</v>
      </c>
      <c r="F10" s="19">
        <v>0</v>
      </c>
      <c r="G10" s="19">
        <f t="shared" si="2"/>
        <v>357992.57</v>
      </c>
    </row>
    <row r="11" spans="1:7">
      <c r="A11" s="18" t="s">
        <v>118</v>
      </c>
      <c r="B11" s="19">
        <v>14498.89</v>
      </c>
      <c r="C11" s="19">
        <v>112.7</v>
      </c>
      <c r="D11" s="19">
        <v>103.23</v>
      </c>
      <c r="E11" s="19">
        <v>28706.37</v>
      </c>
      <c r="F11" s="19">
        <v>1359.22</v>
      </c>
      <c r="G11" s="19">
        <f t="shared" si="2"/>
        <v>44780.41</v>
      </c>
    </row>
    <row r="12" spans="1:7">
      <c r="A12" s="16" t="s">
        <v>119</v>
      </c>
      <c r="B12" s="17">
        <f t="shared" ref="B12:G12" si="3">SUM(B8:B11)</f>
        <v>1372196.1</v>
      </c>
      <c r="C12" s="17">
        <f t="shared" si="3"/>
        <v>1532674.01</v>
      </c>
      <c r="D12" s="17">
        <f t="shared" si="3"/>
        <v>1622119.23</v>
      </c>
      <c r="E12" s="17">
        <f t="shared" si="3"/>
        <v>1885745.99</v>
      </c>
      <c r="F12" s="17">
        <f t="shared" si="3"/>
        <v>1897313.91</v>
      </c>
      <c r="G12" s="17">
        <f t="shared" si="3"/>
        <v>8310049.24</v>
      </c>
    </row>
    <row r="13" spans="1:7">
      <c r="A13" s="16" t="s">
        <v>120</v>
      </c>
      <c r="B13" s="17">
        <f t="shared" ref="B13:G13" si="4">B7-B12</f>
        <v>-44494.9399999999</v>
      </c>
      <c r="C13" s="17">
        <f t="shared" si="4"/>
        <v>-199461.18</v>
      </c>
      <c r="D13" s="17">
        <f t="shared" si="4"/>
        <v>-601522.62</v>
      </c>
      <c r="E13" s="17">
        <f t="shared" si="4"/>
        <v>-504222.27</v>
      </c>
      <c r="F13" s="17">
        <f t="shared" si="4"/>
        <v>-850633.27</v>
      </c>
      <c r="G13" s="17">
        <f t="shared" si="4"/>
        <v>-2200334.28</v>
      </c>
    </row>
    <row r="14" spans="1:7">
      <c r="A14" s="16" t="s">
        <v>121</v>
      </c>
      <c r="B14" s="17"/>
      <c r="C14" s="17"/>
      <c r="D14" s="17"/>
      <c r="E14" s="17"/>
      <c r="F14" s="17"/>
      <c r="G14" s="19">
        <f t="shared" ref="G14:G19" si="5">B14+C14+D14+E14+F14</f>
        <v>0</v>
      </c>
    </row>
    <row r="15" spans="1:7">
      <c r="A15" s="18" t="s">
        <v>122</v>
      </c>
      <c r="B15" s="19"/>
      <c r="C15" s="19"/>
      <c r="D15" s="19"/>
      <c r="E15" s="19"/>
      <c r="F15" s="19"/>
      <c r="G15" s="19">
        <f t="shared" si="5"/>
        <v>0</v>
      </c>
    </row>
    <row r="16" spans="1:7">
      <c r="A16" s="18" t="s">
        <v>123</v>
      </c>
      <c r="B16" s="19"/>
      <c r="C16" s="19"/>
      <c r="D16" s="19"/>
      <c r="E16" s="19"/>
      <c r="F16" s="19"/>
      <c r="G16" s="19">
        <f t="shared" si="5"/>
        <v>0</v>
      </c>
    </row>
    <row r="17" spans="1:7">
      <c r="A17" s="18" t="s">
        <v>124</v>
      </c>
      <c r="B17" s="19"/>
      <c r="C17" s="19"/>
      <c r="D17" s="19"/>
      <c r="E17" s="19"/>
      <c r="F17" s="19"/>
      <c r="G17" s="19">
        <f t="shared" si="5"/>
        <v>0</v>
      </c>
    </row>
    <row r="18" spans="1:7">
      <c r="A18" s="18" t="s">
        <v>125</v>
      </c>
      <c r="B18" s="19"/>
      <c r="C18" s="19"/>
      <c r="D18" s="19"/>
      <c r="E18" s="19"/>
      <c r="F18" s="19"/>
      <c r="G18" s="19">
        <f t="shared" si="5"/>
        <v>0</v>
      </c>
    </row>
    <row r="19" spans="1:7">
      <c r="A19" s="18" t="s">
        <v>126</v>
      </c>
      <c r="B19" s="19"/>
      <c r="C19" s="19"/>
      <c r="D19" s="19"/>
      <c r="E19" s="19"/>
      <c r="F19" s="19"/>
      <c r="G19" s="19">
        <f t="shared" si="5"/>
        <v>0</v>
      </c>
    </row>
    <row r="20" spans="1:7">
      <c r="A20" s="16" t="s">
        <v>127</v>
      </c>
      <c r="B20" s="17">
        <f t="shared" ref="B20:G20" si="6">SUM(B15:B19)</f>
        <v>0</v>
      </c>
      <c r="C20" s="17">
        <f t="shared" si="6"/>
        <v>0</v>
      </c>
      <c r="D20" s="17">
        <f t="shared" si="6"/>
        <v>0</v>
      </c>
      <c r="E20" s="17">
        <f t="shared" si="6"/>
        <v>0</v>
      </c>
      <c r="F20" s="17">
        <f t="shared" si="6"/>
        <v>0</v>
      </c>
      <c r="G20" s="17">
        <f t="shared" si="6"/>
        <v>0</v>
      </c>
    </row>
    <row r="21" spans="1:7">
      <c r="A21" s="18" t="s">
        <v>128</v>
      </c>
      <c r="B21" s="19"/>
      <c r="C21" s="19"/>
      <c r="D21" s="19"/>
      <c r="E21" s="19"/>
      <c r="F21" s="19"/>
      <c r="G21" s="19">
        <f t="shared" ref="G21:G25" si="7">B21+C21+D21+E21+F21</f>
        <v>0</v>
      </c>
    </row>
    <row r="22" spans="1:7">
      <c r="A22" s="18" t="s">
        <v>129</v>
      </c>
      <c r="B22" s="19"/>
      <c r="C22" s="19"/>
      <c r="D22" s="19"/>
      <c r="E22" s="19"/>
      <c r="F22" s="19"/>
      <c r="G22" s="19">
        <f t="shared" si="7"/>
        <v>0</v>
      </c>
    </row>
    <row r="23" spans="1:7">
      <c r="A23" s="18" t="s">
        <v>130</v>
      </c>
      <c r="B23" s="19"/>
      <c r="C23" s="19"/>
      <c r="D23" s="19"/>
      <c r="E23" s="19"/>
      <c r="F23" s="19"/>
      <c r="G23" s="19">
        <f t="shared" si="7"/>
        <v>0</v>
      </c>
    </row>
    <row r="24" spans="1:7">
      <c r="A24" s="18" t="s">
        <v>131</v>
      </c>
      <c r="B24" s="19"/>
      <c r="C24" s="19"/>
      <c r="D24" s="19"/>
      <c r="E24" s="19"/>
      <c r="F24" s="19"/>
      <c r="G24" s="19">
        <f t="shared" si="7"/>
        <v>0</v>
      </c>
    </row>
    <row r="25" spans="1:7">
      <c r="A25" s="18" t="s">
        <v>132</v>
      </c>
      <c r="B25" s="19"/>
      <c r="C25" s="19"/>
      <c r="D25" s="19"/>
      <c r="E25" s="19"/>
      <c r="F25" s="19"/>
      <c r="G25" s="19">
        <f t="shared" si="7"/>
        <v>0</v>
      </c>
    </row>
    <row r="26" spans="1:7">
      <c r="A26" s="16" t="s">
        <v>133</v>
      </c>
      <c r="B26" s="17">
        <f t="shared" ref="B26:G26" si="8">SUM(B21:B25)</f>
        <v>0</v>
      </c>
      <c r="C26" s="17">
        <f t="shared" si="8"/>
        <v>0</v>
      </c>
      <c r="D26" s="17">
        <f t="shared" si="8"/>
        <v>0</v>
      </c>
      <c r="E26" s="17">
        <f t="shared" si="8"/>
        <v>0</v>
      </c>
      <c r="F26" s="17">
        <f t="shared" si="8"/>
        <v>0</v>
      </c>
      <c r="G26" s="17">
        <f t="shared" si="8"/>
        <v>0</v>
      </c>
    </row>
    <row r="27" spans="1:7">
      <c r="A27" s="16" t="s">
        <v>134</v>
      </c>
      <c r="B27" s="17">
        <f t="shared" ref="B27:G27" si="9">B20-B26</f>
        <v>0</v>
      </c>
      <c r="C27" s="17">
        <f t="shared" si="9"/>
        <v>0</v>
      </c>
      <c r="D27" s="17">
        <f t="shared" si="9"/>
        <v>0</v>
      </c>
      <c r="E27" s="17">
        <f t="shared" si="9"/>
        <v>0</v>
      </c>
      <c r="F27" s="17">
        <f t="shared" si="9"/>
        <v>0</v>
      </c>
      <c r="G27" s="17">
        <f t="shared" si="9"/>
        <v>0</v>
      </c>
    </row>
    <row r="28" spans="1:7">
      <c r="A28" s="16" t="s">
        <v>135</v>
      </c>
      <c r="B28" s="17"/>
      <c r="C28" s="17"/>
      <c r="D28" s="17"/>
      <c r="E28" s="17"/>
      <c r="F28" s="17"/>
      <c r="G28" s="19">
        <f t="shared" ref="G28:G32" si="10">B28+C28+D28+E28+F28</f>
        <v>0</v>
      </c>
    </row>
    <row r="29" spans="1:7">
      <c r="A29" s="18" t="s">
        <v>136</v>
      </c>
      <c r="B29" s="19"/>
      <c r="C29" s="19"/>
      <c r="D29" s="19"/>
      <c r="E29" s="19"/>
      <c r="F29" s="19"/>
      <c r="G29" s="19">
        <f t="shared" si="10"/>
        <v>0</v>
      </c>
    </row>
    <row r="30" spans="1:7">
      <c r="A30" s="18" t="s">
        <v>137</v>
      </c>
      <c r="B30" s="19"/>
      <c r="C30" s="19"/>
      <c r="D30" s="19"/>
      <c r="E30" s="19"/>
      <c r="F30" s="19"/>
      <c r="G30" s="19">
        <f t="shared" si="10"/>
        <v>0</v>
      </c>
    </row>
    <row r="31" spans="1:7">
      <c r="A31" s="18" t="s">
        <v>138</v>
      </c>
      <c r="B31" s="19"/>
      <c r="C31" s="19"/>
      <c r="D31" s="19"/>
      <c r="E31" s="19"/>
      <c r="F31" s="19"/>
      <c r="G31" s="19">
        <f t="shared" si="10"/>
        <v>0</v>
      </c>
    </row>
    <row r="32" spans="1:7">
      <c r="A32" s="18" t="s">
        <v>139</v>
      </c>
      <c r="B32" s="19"/>
      <c r="C32" s="19"/>
      <c r="D32" s="19"/>
      <c r="E32" s="19"/>
      <c r="F32" s="19"/>
      <c r="G32" s="19">
        <f t="shared" si="10"/>
        <v>0</v>
      </c>
    </row>
    <row r="33" spans="1:7">
      <c r="A33" s="16" t="s">
        <v>140</v>
      </c>
      <c r="B33" s="17">
        <f t="shared" ref="B33:G33" si="11">SUM(B29:B32)</f>
        <v>0</v>
      </c>
      <c r="C33" s="17">
        <f t="shared" si="11"/>
        <v>0</v>
      </c>
      <c r="D33" s="17">
        <f t="shared" si="11"/>
        <v>0</v>
      </c>
      <c r="E33" s="17">
        <f t="shared" si="11"/>
        <v>0</v>
      </c>
      <c r="F33" s="17">
        <f t="shared" si="11"/>
        <v>0</v>
      </c>
      <c r="G33" s="17">
        <f t="shared" si="11"/>
        <v>0</v>
      </c>
    </row>
    <row r="34" spans="1:7">
      <c r="A34" s="18" t="s">
        <v>141</v>
      </c>
      <c r="B34" s="19"/>
      <c r="C34" s="19"/>
      <c r="D34" s="19"/>
      <c r="E34" s="19"/>
      <c r="F34" s="19"/>
      <c r="G34" s="19">
        <f t="shared" ref="G34:G36" si="12">B34+C34+D34+E34+F34</f>
        <v>0</v>
      </c>
    </row>
    <row r="35" spans="1:7">
      <c r="A35" s="18" t="s">
        <v>142</v>
      </c>
      <c r="B35" s="19"/>
      <c r="C35" s="19"/>
      <c r="D35" s="19"/>
      <c r="E35" s="19"/>
      <c r="F35" s="19"/>
      <c r="G35" s="19">
        <f t="shared" si="12"/>
        <v>0</v>
      </c>
    </row>
    <row r="36" spans="1:7">
      <c r="A36" s="18" t="s">
        <v>143</v>
      </c>
      <c r="B36" s="19"/>
      <c r="C36" s="19"/>
      <c r="D36" s="19"/>
      <c r="E36" s="19"/>
      <c r="F36" s="19"/>
      <c r="G36" s="19">
        <f t="shared" si="12"/>
        <v>0</v>
      </c>
    </row>
    <row r="37" spans="1:7">
      <c r="A37" s="16" t="s">
        <v>144</v>
      </c>
      <c r="B37" s="17">
        <f t="shared" ref="B37:G37" si="13">SUM(B34:B36)</f>
        <v>0</v>
      </c>
      <c r="C37" s="17">
        <f t="shared" si="13"/>
        <v>0</v>
      </c>
      <c r="D37" s="17">
        <f t="shared" si="13"/>
        <v>0</v>
      </c>
      <c r="E37" s="17">
        <f t="shared" si="13"/>
        <v>0</v>
      </c>
      <c r="F37" s="17">
        <f t="shared" si="13"/>
        <v>0</v>
      </c>
      <c r="G37" s="17">
        <f t="shared" si="13"/>
        <v>0</v>
      </c>
    </row>
    <row r="38" spans="1:7">
      <c r="A38" s="16" t="s">
        <v>145</v>
      </c>
      <c r="B38" s="17">
        <f t="shared" ref="B38:G38" si="14">B33-B37</f>
        <v>0</v>
      </c>
      <c r="C38" s="17">
        <f t="shared" si="14"/>
        <v>0</v>
      </c>
      <c r="D38" s="17">
        <f t="shared" si="14"/>
        <v>0</v>
      </c>
      <c r="E38" s="17">
        <f t="shared" si="14"/>
        <v>0</v>
      </c>
      <c r="F38" s="17">
        <f t="shared" si="14"/>
        <v>0</v>
      </c>
      <c r="G38" s="17">
        <f t="shared" si="14"/>
        <v>0</v>
      </c>
    </row>
    <row r="39" spans="1:7">
      <c r="A39" s="16" t="s">
        <v>146</v>
      </c>
      <c r="B39" s="17"/>
      <c r="C39" s="17"/>
      <c r="D39" s="17"/>
      <c r="E39" s="17"/>
      <c r="F39" s="17"/>
      <c r="G39" s="19">
        <f>B39+C39+D39+E39+F39</f>
        <v>0</v>
      </c>
    </row>
    <row r="40" spans="1:7">
      <c r="A40" s="16" t="s">
        <v>147</v>
      </c>
      <c r="B40" s="17">
        <f t="shared" ref="B40:G40" si="15">B38+B39+B27+B13</f>
        <v>-44494.9399999999</v>
      </c>
      <c r="C40" s="17">
        <f t="shared" si="15"/>
        <v>-199461.18</v>
      </c>
      <c r="D40" s="17">
        <f t="shared" si="15"/>
        <v>-601522.62</v>
      </c>
      <c r="E40" s="17">
        <f t="shared" si="15"/>
        <v>-504222.27</v>
      </c>
      <c r="F40" s="17">
        <f t="shared" si="15"/>
        <v>-850633.27</v>
      </c>
      <c r="G40" s="17">
        <f t="shared" si="15"/>
        <v>-2200334.28</v>
      </c>
    </row>
    <row r="41" spans="1:7">
      <c r="A41" s="16" t="s">
        <v>148</v>
      </c>
      <c r="B41" s="17">
        <f>资产负债表!C5</f>
        <v>3615121.23</v>
      </c>
      <c r="C41" s="17">
        <f>B42</f>
        <v>3570626.29</v>
      </c>
      <c r="D41" s="17">
        <f>C42</f>
        <v>3371165.11</v>
      </c>
      <c r="E41" s="17">
        <f>D42</f>
        <v>2769642.49</v>
      </c>
      <c r="F41" s="17">
        <f>E42</f>
        <v>2265420.22</v>
      </c>
      <c r="G41" s="17">
        <f>B41</f>
        <v>3615121.23</v>
      </c>
    </row>
    <row r="42" spans="1:7">
      <c r="A42" s="16" t="s">
        <v>149</v>
      </c>
      <c r="B42" s="17">
        <f t="shared" ref="B42:G42" si="16">B40+B41</f>
        <v>3570626.29</v>
      </c>
      <c r="C42" s="17">
        <f t="shared" si="16"/>
        <v>3371165.11</v>
      </c>
      <c r="D42" s="17">
        <f t="shared" si="16"/>
        <v>2769642.49</v>
      </c>
      <c r="E42" s="17">
        <f t="shared" si="16"/>
        <v>2265420.22</v>
      </c>
      <c r="F42" s="17">
        <f t="shared" si="16"/>
        <v>1414786.95</v>
      </c>
      <c r="G42" s="17">
        <f t="shared" si="16"/>
        <v>1414786.95</v>
      </c>
    </row>
    <row r="43" spans="1:7">
      <c r="G43" s="20">
        <f>G42-资产负债表!B5</f>
        <v>0</v>
      </c>
    </row>
    <row r="46" spans="1:7">
      <c r="B46" s="21"/>
      <c r="C46" s="21"/>
      <c r="D46" s="21"/>
      <c r="E46" s="21"/>
      <c r="F46" s="21"/>
    </row>
    <row r="47" spans="1:7">
      <c r="B47" s="21"/>
      <c r="C47" s="21"/>
      <c r="D47" s="21"/>
      <c r="E47" s="21"/>
      <c r="F47" s="21"/>
    </row>
    <row r="48" spans="1:7">
      <c r="B48" s="20"/>
      <c r="C48" s="20"/>
      <c r="D48" s="20"/>
      <c r="E48" s="20"/>
      <c r="F48" s="20"/>
    </row>
  </sheetData>
  <mergeCells count="1">
    <mergeCell ref="A1:G1"/>
  </mergeCells>
  <pageMargins left="0.75" right="0.75" top="1" bottom="1" header="0.5" footer="0.5"/>
  <pageSetup paperSize="9" scale="60" orientation="portrait"/>
  <headerFooter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O82"/>
  <sheetViews>
    <sheetView workbookViewId="0">
      <selection activeCell="B48" sqref="B48"/>
    </sheetView>
  </sheetViews>
  <sheetFormatPr defaultColWidth="8.88495575221239" defaultRowHeight="12.75"/>
  <cols>
    <col min="1" max="9" width="8.88495575221239" style="7"/>
    <col min="10" max="10" width="36.3805309734513" style="7" customWidth="1"/>
    <col min="11" max="11" width="13.7522123893805" style="7" customWidth="1"/>
    <col min="12" max="12" width="12.6637168141593" style="7"/>
    <col min="13" max="13" width="13.4424778761062" style="7"/>
    <col min="14" max="14" width="17.7964601769912" style="7" customWidth="1"/>
    <col min="15" max="16384" width="8.88495575221239" style="7"/>
  </cols>
  <sheetData>
    <row r="1" s="7" customFormat="1" spans="1:15">
      <c r="A1" s="10" t="s">
        <v>150</v>
      </c>
      <c r="B1" s="10" t="s">
        <v>151</v>
      </c>
      <c r="C1" s="10" t="s">
        <v>152</v>
      </c>
      <c r="D1" s="10" t="s">
        <v>153</v>
      </c>
      <c r="E1" s="10" t="s">
        <v>154</v>
      </c>
      <c r="F1" s="10" t="s">
        <v>155</v>
      </c>
      <c r="G1" s="10" t="s">
        <v>156</v>
      </c>
      <c r="H1" s="10" t="s">
        <v>157</v>
      </c>
      <c r="I1" s="10" t="s">
        <v>158</v>
      </c>
      <c r="J1" s="10" t="s">
        <v>159</v>
      </c>
      <c r="K1" s="10" t="s">
        <v>160</v>
      </c>
      <c r="L1" s="10" t="s">
        <v>161</v>
      </c>
      <c r="M1" s="10" t="s">
        <v>162</v>
      </c>
      <c r="N1" s="10" t="s">
        <v>163</v>
      </c>
      <c r="O1" s="9" t="s">
        <v>154</v>
      </c>
    </row>
    <row r="2" s="7" customFormat="1" spans="1:15">
      <c r="A2" s="7" t="s">
        <v>164</v>
      </c>
      <c r="B2" s="7" t="s">
        <v>165</v>
      </c>
      <c r="C2" s="7" t="s">
        <v>166</v>
      </c>
      <c r="D2" s="7" t="s">
        <v>167</v>
      </c>
      <c r="E2" s="7" t="s">
        <v>168</v>
      </c>
      <c r="F2" s="7" t="s">
        <v>169</v>
      </c>
      <c r="G2" s="7" t="s">
        <v>170</v>
      </c>
      <c r="H2" s="7" t="s">
        <v>171</v>
      </c>
      <c r="K2" s="11">
        <v>0</v>
      </c>
      <c r="L2" s="11">
        <v>255484.6</v>
      </c>
      <c r="M2" s="11">
        <v>-255484.6</v>
      </c>
      <c r="N2" s="11">
        <v>0</v>
      </c>
      <c r="O2" s="7" t="s">
        <v>15</v>
      </c>
    </row>
    <row r="3" s="7" customFormat="1" spans="1:15">
      <c r="A3" s="7" t="s">
        <v>164</v>
      </c>
      <c r="B3" s="7" t="s">
        <v>165</v>
      </c>
      <c r="C3" s="7" t="s">
        <v>172</v>
      </c>
      <c r="D3" s="7" t="s">
        <v>173</v>
      </c>
      <c r="E3" s="7" t="s">
        <v>168</v>
      </c>
      <c r="F3" s="7" t="s">
        <v>169</v>
      </c>
      <c r="G3" s="7" t="s">
        <v>174</v>
      </c>
      <c r="H3" s="7" t="s">
        <v>175</v>
      </c>
      <c r="K3" s="11">
        <v>0</v>
      </c>
      <c r="L3" s="11">
        <v>2107.35</v>
      </c>
      <c r="M3" s="11">
        <v>0</v>
      </c>
      <c r="N3" s="11">
        <v>2107.35</v>
      </c>
      <c r="O3" s="7" t="s">
        <v>15</v>
      </c>
    </row>
    <row r="4" s="7" customFormat="1" spans="1:15">
      <c r="A4" s="7" t="s">
        <v>164</v>
      </c>
      <c r="B4" s="7" t="s">
        <v>165</v>
      </c>
      <c r="C4" s="7" t="s">
        <v>176</v>
      </c>
      <c r="D4" s="7" t="s">
        <v>177</v>
      </c>
      <c r="E4" s="7" t="s">
        <v>168</v>
      </c>
      <c r="F4" s="7" t="s">
        <v>169</v>
      </c>
      <c r="G4" s="7" t="s">
        <v>178</v>
      </c>
      <c r="H4" s="7" t="s">
        <v>179</v>
      </c>
      <c r="K4" s="11">
        <v>0</v>
      </c>
      <c r="L4" s="11">
        <v>2870</v>
      </c>
      <c r="M4" s="11">
        <v>-2870</v>
      </c>
      <c r="N4" s="11">
        <v>0</v>
      </c>
      <c r="O4" s="7" t="s">
        <v>15</v>
      </c>
    </row>
    <row r="5" s="7" customFormat="1" spans="1:15">
      <c r="A5" s="7" t="s">
        <v>164</v>
      </c>
      <c r="B5" s="7" t="s">
        <v>165</v>
      </c>
      <c r="C5" s="7" t="s">
        <v>166</v>
      </c>
      <c r="D5" s="7" t="s">
        <v>167</v>
      </c>
      <c r="E5" s="7" t="s">
        <v>168</v>
      </c>
      <c r="F5" s="7" t="s">
        <v>169</v>
      </c>
      <c r="G5" s="7" t="s">
        <v>180</v>
      </c>
      <c r="H5" s="7" t="s">
        <v>181</v>
      </c>
      <c r="K5" s="11">
        <v>0</v>
      </c>
      <c r="L5" s="11">
        <v>16266.6</v>
      </c>
      <c r="M5" s="11">
        <v>-16266.6</v>
      </c>
      <c r="N5" s="11">
        <v>0</v>
      </c>
      <c r="O5" s="7" t="s">
        <v>15</v>
      </c>
    </row>
    <row r="6" s="7" customFormat="1" spans="1:15">
      <c r="A6" s="7" t="s">
        <v>164</v>
      </c>
      <c r="B6" s="7" t="s">
        <v>165</v>
      </c>
      <c r="C6" s="7" t="s">
        <v>182</v>
      </c>
      <c r="D6" s="7" t="s">
        <v>183</v>
      </c>
      <c r="E6" s="7" t="s">
        <v>168</v>
      </c>
      <c r="F6" s="7" t="s">
        <v>169</v>
      </c>
      <c r="G6" s="7" t="s">
        <v>174</v>
      </c>
      <c r="H6" s="7" t="s">
        <v>175</v>
      </c>
      <c r="K6" s="11">
        <v>2735</v>
      </c>
      <c r="L6" s="11">
        <v>131244.45</v>
      </c>
      <c r="M6" s="11">
        <v>-133979.45</v>
      </c>
      <c r="N6" s="11">
        <v>0</v>
      </c>
      <c r="O6" s="7" t="s">
        <v>15</v>
      </c>
    </row>
    <row r="7" s="7" customFormat="1" spans="1:15">
      <c r="A7" s="7" t="s">
        <v>164</v>
      </c>
      <c r="B7" s="7" t="s">
        <v>165</v>
      </c>
      <c r="C7" s="7" t="s">
        <v>166</v>
      </c>
      <c r="D7" s="7" t="s">
        <v>167</v>
      </c>
      <c r="E7" s="7" t="s">
        <v>168</v>
      </c>
      <c r="F7" s="7" t="s">
        <v>169</v>
      </c>
      <c r="G7" s="7" t="s">
        <v>184</v>
      </c>
      <c r="H7" s="7" t="s">
        <v>185</v>
      </c>
      <c r="K7" s="11">
        <v>0</v>
      </c>
      <c r="L7" s="11">
        <v>101322.85</v>
      </c>
      <c r="M7" s="11">
        <v>-101322.85</v>
      </c>
      <c r="N7" s="11">
        <v>0</v>
      </c>
      <c r="O7" s="7" t="s">
        <v>15</v>
      </c>
    </row>
    <row r="8" s="7" customFormat="1" spans="1:15">
      <c r="A8" s="7" t="s">
        <v>164</v>
      </c>
      <c r="B8" s="7" t="s">
        <v>165</v>
      </c>
      <c r="C8" s="7" t="s">
        <v>166</v>
      </c>
      <c r="D8" s="7" t="s">
        <v>167</v>
      </c>
      <c r="E8" s="7" t="s">
        <v>168</v>
      </c>
      <c r="F8" s="7" t="s">
        <v>169</v>
      </c>
      <c r="G8" s="7" t="s">
        <v>174</v>
      </c>
      <c r="H8" s="7" t="s">
        <v>175</v>
      </c>
      <c r="K8" s="11">
        <v>-1288.1</v>
      </c>
      <c r="L8" s="11">
        <v>143086.05</v>
      </c>
      <c r="M8" s="11">
        <v>-136815.15</v>
      </c>
      <c r="N8" s="11">
        <v>4982.8</v>
      </c>
      <c r="O8" s="7" t="s">
        <v>15</v>
      </c>
    </row>
    <row r="9" s="7" customFormat="1" spans="1:15">
      <c r="A9" s="7" t="s">
        <v>164</v>
      </c>
      <c r="B9" s="7" t="s">
        <v>165</v>
      </c>
      <c r="C9" s="7" t="s">
        <v>166</v>
      </c>
      <c r="D9" s="7" t="s">
        <v>167</v>
      </c>
      <c r="E9" s="7" t="s">
        <v>168</v>
      </c>
      <c r="F9" s="7" t="s">
        <v>169</v>
      </c>
      <c r="G9" s="7" t="s">
        <v>186</v>
      </c>
      <c r="H9" s="7" t="s">
        <v>187</v>
      </c>
      <c r="K9" s="11">
        <v>-16266.6</v>
      </c>
      <c r="L9" s="11">
        <v>16266.6</v>
      </c>
      <c r="M9" s="11">
        <v>0</v>
      </c>
      <c r="N9" s="11">
        <v>0</v>
      </c>
      <c r="O9" s="7" t="s">
        <v>15</v>
      </c>
    </row>
    <row r="10" s="7" customFormat="1" spans="1:15">
      <c r="A10" s="7" t="s">
        <v>164</v>
      </c>
      <c r="B10" s="7" t="s">
        <v>165</v>
      </c>
      <c r="C10" s="7" t="s">
        <v>182</v>
      </c>
      <c r="D10" s="7" t="s">
        <v>183</v>
      </c>
      <c r="E10" s="7" t="s">
        <v>168</v>
      </c>
      <c r="F10" s="7" t="s">
        <v>169</v>
      </c>
      <c r="G10" s="7" t="s">
        <v>184</v>
      </c>
      <c r="H10" s="7" t="s">
        <v>185</v>
      </c>
      <c r="K10" s="11">
        <v>0</v>
      </c>
      <c r="L10" s="11">
        <v>40558.65</v>
      </c>
      <c r="M10" s="11">
        <v>-40558.65</v>
      </c>
      <c r="N10" s="11">
        <v>0</v>
      </c>
      <c r="O10" s="7" t="s">
        <v>15</v>
      </c>
    </row>
    <row r="11" s="7" customFormat="1" spans="1:15">
      <c r="A11" s="7" t="s">
        <v>164</v>
      </c>
      <c r="B11" s="7" t="s">
        <v>165</v>
      </c>
      <c r="C11" s="7" t="s">
        <v>182</v>
      </c>
      <c r="D11" s="7" t="s">
        <v>183</v>
      </c>
      <c r="E11" s="7" t="s">
        <v>188</v>
      </c>
      <c r="F11" s="7" t="s">
        <v>189</v>
      </c>
      <c r="G11" s="7" t="s">
        <v>190</v>
      </c>
      <c r="H11" s="7" t="s">
        <v>191</v>
      </c>
      <c r="K11" s="11">
        <v>-3924.76</v>
      </c>
      <c r="L11" s="11">
        <v>2821170.09</v>
      </c>
      <c r="M11" s="11">
        <v>-2817235.32</v>
      </c>
      <c r="N11" s="11">
        <v>10.01</v>
      </c>
      <c r="O11" s="7" t="s">
        <v>15</v>
      </c>
    </row>
    <row r="12" s="7" customFormat="1" spans="1:15">
      <c r="A12" s="7" t="s">
        <v>164</v>
      </c>
      <c r="B12" s="7" t="s">
        <v>165</v>
      </c>
      <c r="C12" s="7" t="s">
        <v>192</v>
      </c>
      <c r="D12" s="7" t="s">
        <v>193</v>
      </c>
      <c r="E12" s="7" t="s">
        <v>188</v>
      </c>
      <c r="F12" s="7" t="s">
        <v>189</v>
      </c>
      <c r="G12" s="7" t="s">
        <v>194</v>
      </c>
      <c r="H12" s="7" t="s">
        <v>195</v>
      </c>
      <c r="K12" s="11">
        <v>0</v>
      </c>
      <c r="L12" s="11">
        <v>246250.79</v>
      </c>
      <c r="M12" s="11">
        <v>-246250.79</v>
      </c>
      <c r="N12" s="11">
        <v>0</v>
      </c>
      <c r="O12" s="7" t="s">
        <v>15</v>
      </c>
    </row>
    <row r="13" s="7" customFormat="1" spans="1:15">
      <c r="A13" s="7" t="s">
        <v>164</v>
      </c>
      <c r="B13" s="7" t="s">
        <v>165</v>
      </c>
      <c r="C13" s="7" t="s">
        <v>176</v>
      </c>
      <c r="D13" s="7" t="s">
        <v>177</v>
      </c>
      <c r="E13" s="7" t="s">
        <v>196</v>
      </c>
      <c r="F13" s="7" t="s">
        <v>197</v>
      </c>
      <c r="G13" s="7" t="s">
        <v>198</v>
      </c>
      <c r="H13" s="7" t="s">
        <v>199</v>
      </c>
      <c r="K13" s="11">
        <v>41504.22</v>
      </c>
      <c r="L13" s="11">
        <v>1737802.53</v>
      </c>
      <c r="M13" s="11">
        <v>-878200.24</v>
      </c>
      <c r="N13" s="11">
        <v>901106.51</v>
      </c>
      <c r="O13" s="7" t="s">
        <v>15</v>
      </c>
    </row>
    <row r="14" s="7" customFormat="1" spans="1:15">
      <c r="A14" s="7" t="s">
        <v>164</v>
      </c>
      <c r="B14" s="7" t="s">
        <v>165</v>
      </c>
      <c r="C14" s="7" t="s">
        <v>176</v>
      </c>
      <c r="D14" s="7" t="s">
        <v>177</v>
      </c>
      <c r="E14" s="7" t="s">
        <v>196</v>
      </c>
      <c r="F14" s="7" t="s">
        <v>197</v>
      </c>
      <c r="G14" s="7" t="s">
        <v>200</v>
      </c>
      <c r="H14" s="7" t="s">
        <v>201</v>
      </c>
      <c r="K14" s="11">
        <v>2218.2</v>
      </c>
      <c r="L14" s="11">
        <v>-11424.45</v>
      </c>
      <c r="M14" s="11">
        <v>9206.25</v>
      </c>
      <c r="N14" s="11">
        <v>0</v>
      </c>
      <c r="O14" s="7" t="s">
        <v>15</v>
      </c>
    </row>
    <row r="15" s="7" customFormat="1" spans="1:15">
      <c r="A15" s="7" t="s">
        <v>164</v>
      </c>
      <c r="B15" s="7" t="s">
        <v>165</v>
      </c>
      <c r="C15" s="7" t="s">
        <v>176</v>
      </c>
      <c r="D15" s="7" t="s">
        <v>177</v>
      </c>
      <c r="E15" s="7" t="s">
        <v>196</v>
      </c>
      <c r="F15" s="7" t="s">
        <v>197</v>
      </c>
      <c r="G15" s="7" t="s">
        <v>202</v>
      </c>
      <c r="H15" s="7" t="s">
        <v>203</v>
      </c>
      <c r="K15" s="11">
        <v>442.01</v>
      </c>
      <c r="L15" s="11">
        <v>698.69</v>
      </c>
      <c r="M15" s="11">
        <v>-1140.7</v>
      </c>
      <c r="N15" s="11">
        <v>0</v>
      </c>
      <c r="O15" s="7" t="s">
        <v>15</v>
      </c>
    </row>
    <row r="16" s="7" customFormat="1" spans="1:15">
      <c r="A16" s="7" t="s">
        <v>164</v>
      </c>
      <c r="B16" s="7" t="s">
        <v>165</v>
      </c>
      <c r="C16" s="7" t="s">
        <v>176</v>
      </c>
      <c r="D16" s="7" t="s">
        <v>177</v>
      </c>
      <c r="E16" s="7" t="s">
        <v>196</v>
      </c>
      <c r="F16" s="7" t="s">
        <v>197</v>
      </c>
      <c r="G16" s="7" t="s">
        <v>204</v>
      </c>
      <c r="H16" s="7" t="s">
        <v>205</v>
      </c>
      <c r="K16" s="11">
        <v>0</v>
      </c>
      <c r="L16" s="11">
        <v>12790.21</v>
      </c>
      <c r="M16" s="11">
        <v>-25580.4</v>
      </c>
      <c r="N16" s="11">
        <v>-12790.19</v>
      </c>
      <c r="O16" s="7" t="s">
        <v>15</v>
      </c>
    </row>
    <row r="17" s="7" customFormat="1" spans="1:15">
      <c r="A17" s="7" t="s">
        <v>164</v>
      </c>
      <c r="B17" s="7" t="s">
        <v>165</v>
      </c>
      <c r="C17" s="7" t="s">
        <v>176</v>
      </c>
      <c r="D17" s="7" t="s">
        <v>177</v>
      </c>
      <c r="E17" s="7" t="s">
        <v>206</v>
      </c>
      <c r="F17" s="7" t="s">
        <v>207</v>
      </c>
      <c r="G17" s="7" t="s">
        <v>204</v>
      </c>
      <c r="H17" s="7" t="s">
        <v>205</v>
      </c>
      <c r="K17" s="11">
        <v>0</v>
      </c>
      <c r="L17" s="11">
        <v>20000</v>
      </c>
      <c r="M17" s="11">
        <v>-20000</v>
      </c>
      <c r="N17" s="11">
        <v>0</v>
      </c>
      <c r="O17" s="7" t="s">
        <v>15</v>
      </c>
    </row>
    <row r="18" s="7" customFormat="1" spans="1:15">
      <c r="A18" s="7" t="s">
        <v>164</v>
      </c>
      <c r="B18" s="7" t="s">
        <v>165</v>
      </c>
      <c r="C18" s="7" t="s">
        <v>182</v>
      </c>
      <c r="D18" s="7" t="s">
        <v>183</v>
      </c>
      <c r="E18" s="7" t="s">
        <v>206</v>
      </c>
      <c r="F18" s="7" t="s">
        <v>207</v>
      </c>
      <c r="G18" s="7" t="s">
        <v>204</v>
      </c>
      <c r="H18" s="7" t="s">
        <v>205</v>
      </c>
      <c r="K18" s="11">
        <v>10000</v>
      </c>
      <c r="L18" s="11">
        <v>10000</v>
      </c>
      <c r="M18" s="11">
        <v>-20000</v>
      </c>
      <c r="N18" s="11">
        <v>0</v>
      </c>
      <c r="O18" s="7" t="s">
        <v>15</v>
      </c>
    </row>
    <row r="19" s="7" customFormat="1" spans="1:15">
      <c r="A19" s="7" t="s">
        <v>164</v>
      </c>
      <c r="B19" s="7" t="s">
        <v>165</v>
      </c>
      <c r="C19" s="7" t="s">
        <v>182</v>
      </c>
      <c r="D19" s="7" t="s">
        <v>183</v>
      </c>
      <c r="E19" s="7" t="s">
        <v>208</v>
      </c>
      <c r="F19" s="7" t="s">
        <v>209</v>
      </c>
      <c r="I19" s="7" t="s">
        <v>210</v>
      </c>
      <c r="J19" s="7" t="s">
        <v>211</v>
      </c>
      <c r="K19" s="11">
        <v>204000</v>
      </c>
      <c r="L19" s="11">
        <v>70000</v>
      </c>
      <c r="M19" s="11">
        <v>-274000</v>
      </c>
      <c r="N19" s="11">
        <v>0</v>
      </c>
      <c r="O19" s="7" t="s">
        <v>19</v>
      </c>
    </row>
    <row r="20" s="7" customFormat="1" spans="1:15">
      <c r="A20" s="7" t="s">
        <v>164</v>
      </c>
      <c r="B20" s="7" t="s">
        <v>165</v>
      </c>
      <c r="C20" s="7" t="s">
        <v>192</v>
      </c>
      <c r="D20" s="7" t="s">
        <v>193</v>
      </c>
      <c r="E20" s="7" t="s">
        <v>212</v>
      </c>
      <c r="F20" s="7" t="s">
        <v>213</v>
      </c>
      <c r="I20" s="7" t="s">
        <v>214</v>
      </c>
      <c r="J20" s="7" t="s">
        <v>215</v>
      </c>
      <c r="K20" s="11">
        <v>36000</v>
      </c>
      <c r="L20" s="11">
        <v>0</v>
      </c>
      <c r="M20" s="11">
        <v>-36000</v>
      </c>
      <c r="N20" s="11">
        <v>0</v>
      </c>
      <c r="O20" s="7" t="s">
        <v>19</v>
      </c>
    </row>
    <row r="21" s="7" customFormat="1" spans="1:15">
      <c r="A21" s="7" t="s">
        <v>164</v>
      </c>
      <c r="B21" s="7" t="s">
        <v>165</v>
      </c>
      <c r="C21" s="7" t="s">
        <v>192</v>
      </c>
      <c r="D21" s="7" t="s">
        <v>193</v>
      </c>
      <c r="E21" s="7" t="s">
        <v>216</v>
      </c>
      <c r="F21" s="7" t="s">
        <v>217</v>
      </c>
      <c r="G21" s="7" t="s">
        <v>194</v>
      </c>
      <c r="H21" s="7" t="s">
        <v>195</v>
      </c>
      <c r="K21" s="11">
        <v>500</v>
      </c>
      <c r="L21" s="11">
        <v>4500</v>
      </c>
      <c r="M21" s="11">
        <v>0</v>
      </c>
      <c r="N21" s="11">
        <v>5000</v>
      </c>
      <c r="O21" s="7" t="s">
        <v>21</v>
      </c>
    </row>
    <row r="22" s="7" customFormat="1" spans="1:15">
      <c r="A22" s="7" t="s">
        <v>164</v>
      </c>
      <c r="B22" s="7" t="s">
        <v>165</v>
      </c>
      <c r="C22" s="7" t="s">
        <v>182</v>
      </c>
      <c r="D22" s="7" t="s">
        <v>183</v>
      </c>
      <c r="E22" s="7" t="s">
        <v>216</v>
      </c>
      <c r="F22" s="7" t="s">
        <v>217</v>
      </c>
      <c r="G22" s="7" t="s">
        <v>190</v>
      </c>
      <c r="H22" s="7" t="s">
        <v>191</v>
      </c>
      <c r="K22" s="11">
        <v>50000</v>
      </c>
      <c r="L22" s="11">
        <v>0</v>
      </c>
      <c r="M22" s="11">
        <v>0</v>
      </c>
      <c r="N22" s="11">
        <v>50000</v>
      </c>
      <c r="O22" s="7" t="s">
        <v>21</v>
      </c>
    </row>
    <row r="23" s="7" customFormat="1" spans="1:15">
      <c r="A23" s="7" t="s">
        <v>164</v>
      </c>
      <c r="B23" s="7" t="s">
        <v>165</v>
      </c>
      <c r="C23" s="7" t="s">
        <v>172</v>
      </c>
      <c r="D23" s="7" t="s">
        <v>173</v>
      </c>
      <c r="E23" s="7" t="s">
        <v>216</v>
      </c>
      <c r="F23" s="7" t="s">
        <v>217</v>
      </c>
      <c r="G23" s="7" t="s">
        <v>218</v>
      </c>
      <c r="H23" s="7" t="s">
        <v>219</v>
      </c>
      <c r="K23" s="11">
        <v>500</v>
      </c>
      <c r="L23" s="11">
        <v>0</v>
      </c>
      <c r="M23" s="11">
        <v>0</v>
      </c>
      <c r="N23" s="11">
        <v>500</v>
      </c>
      <c r="O23" s="7" t="s">
        <v>21</v>
      </c>
    </row>
    <row r="24" s="7" customFormat="1" spans="1:15">
      <c r="A24" s="7" t="s">
        <v>164</v>
      </c>
      <c r="B24" s="7" t="s">
        <v>165</v>
      </c>
      <c r="C24" s="7" t="s">
        <v>220</v>
      </c>
      <c r="D24" s="7" t="s">
        <v>221</v>
      </c>
      <c r="E24" s="7" t="s">
        <v>216</v>
      </c>
      <c r="F24" s="7" t="s">
        <v>217</v>
      </c>
      <c r="G24" s="7" t="s">
        <v>222</v>
      </c>
      <c r="H24" s="7" t="s">
        <v>223</v>
      </c>
      <c r="K24" s="11">
        <v>10000</v>
      </c>
      <c r="L24" s="11">
        <v>0</v>
      </c>
      <c r="M24" s="11">
        <v>0</v>
      </c>
      <c r="N24" s="11">
        <v>10000</v>
      </c>
      <c r="O24" s="7" t="s">
        <v>21</v>
      </c>
    </row>
    <row r="25" s="7" customFormat="1" spans="1:15">
      <c r="A25" s="7" t="s">
        <v>164</v>
      </c>
      <c r="B25" s="7" t="s">
        <v>165</v>
      </c>
      <c r="C25" s="7" t="s">
        <v>224</v>
      </c>
      <c r="D25" s="7" t="s">
        <v>225</v>
      </c>
      <c r="E25" s="7" t="s">
        <v>216</v>
      </c>
      <c r="F25" s="7" t="s">
        <v>217</v>
      </c>
      <c r="G25" s="7" t="s">
        <v>226</v>
      </c>
      <c r="H25" s="7" t="s">
        <v>227</v>
      </c>
      <c r="K25" s="11">
        <v>2000</v>
      </c>
      <c r="L25" s="11">
        <v>0</v>
      </c>
      <c r="M25" s="11">
        <v>0</v>
      </c>
      <c r="N25" s="11">
        <v>2000</v>
      </c>
      <c r="O25" s="7" t="s">
        <v>21</v>
      </c>
    </row>
    <row r="26" s="7" customFormat="1" spans="1:15">
      <c r="A26" s="7" t="s">
        <v>164</v>
      </c>
      <c r="B26" s="7" t="s">
        <v>165</v>
      </c>
      <c r="C26" s="7" t="s">
        <v>172</v>
      </c>
      <c r="D26" s="7" t="s">
        <v>173</v>
      </c>
      <c r="E26" s="7" t="s">
        <v>228</v>
      </c>
      <c r="F26" s="7" t="s">
        <v>229</v>
      </c>
      <c r="G26" s="7" t="s">
        <v>230</v>
      </c>
      <c r="H26" s="7" t="s">
        <v>231</v>
      </c>
      <c r="K26" s="11">
        <v>0</v>
      </c>
      <c r="L26" s="11">
        <v>2838.19</v>
      </c>
      <c r="M26" s="11">
        <v>0</v>
      </c>
      <c r="N26" s="11">
        <v>2838.19</v>
      </c>
      <c r="O26" s="7" t="s">
        <v>21</v>
      </c>
    </row>
    <row r="27" s="7" customFormat="1" spans="1:15">
      <c r="A27" s="7" t="s">
        <v>164</v>
      </c>
      <c r="B27" s="7" t="s">
        <v>165</v>
      </c>
      <c r="C27" s="7" t="s">
        <v>172</v>
      </c>
      <c r="D27" s="7" t="s">
        <v>173</v>
      </c>
      <c r="E27" s="7" t="s">
        <v>228</v>
      </c>
      <c r="F27" s="7" t="s">
        <v>229</v>
      </c>
      <c r="G27" s="7" t="s">
        <v>232</v>
      </c>
      <c r="H27" s="7" t="s">
        <v>233</v>
      </c>
      <c r="K27" s="11">
        <v>0</v>
      </c>
      <c r="L27" s="11">
        <v>9369.77</v>
      </c>
      <c r="M27" s="11">
        <v>-9369.77</v>
      </c>
      <c r="N27" s="11">
        <v>0</v>
      </c>
      <c r="O27" s="7" t="s">
        <v>21</v>
      </c>
    </row>
    <row r="28" s="7" customFormat="1" spans="1:15">
      <c r="A28" s="7" t="s">
        <v>164</v>
      </c>
      <c r="B28" s="7" t="s">
        <v>165</v>
      </c>
      <c r="C28" s="7" t="s">
        <v>182</v>
      </c>
      <c r="D28" s="7" t="s">
        <v>183</v>
      </c>
      <c r="E28" s="7" t="s">
        <v>228</v>
      </c>
      <c r="F28" s="7" t="s">
        <v>229</v>
      </c>
      <c r="G28" s="7" t="s">
        <v>230</v>
      </c>
      <c r="H28" s="7" t="s">
        <v>231</v>
      </c>
      <c r="K28" s="11">
        <v>0</v>
      </c>
      <c r="L28" s="11">
        <v>3794.12</v>
      </c>
      <c r="M28" s="11">
        <v>-3794.12</v>
      </c>
      <c r="N28" s="11">
        <v>0</v>
      </c>
      <c r="O28" s="7" t="s">
        <v>21</v>
      </c>
    </row>
    <row r="29" s="7" customFormat="1" spans="1:15">
      <c r="A29" s="7" t="s">
        <v>164</v>
      </c>
      <c r="B29" s="7" t="s">
        <v>165</v>
      </c>
      <c r="C29" s="7" t="s">
        <v>234</v>
      </c>
      <c r="D29" s="7" t="s">
        <v>235</v>
      </c>
      <c r="E29" s="7" t="s">
        <v>228</v>
      </c>
      <c r="F29" s="7" t="s">
        <v>229</v>
      </c>
      <c r="G29" s="7" t="s">
        <v>184</v>
      </c>
      <c r="H29" s="7" t="s">
        <v>185</v>
      </c>
      <c r="K29" s="11">
        <v>0</v>
      </c>
      <c r="L29" s="11">
        <v>28.14</v>
      </c>
      <c r="M29" s="11">
        <v>-27.05</v>
      </c>
      <c r="N29" s="11">
        <v>1.09</v>
      </c>
      <c r="O29" s="7" t="s">
        <v>21</v>
      </c>
    </row>
    <row r="30" s="7" customFormat="1" spans="1:15">
      <c r="A30" s="7" t="s">
        <v>164</v>
      </c>
      <c r="B30" s="7" t="s">
        <v>165</v>
      </c>
      <c r="C30" s="7" t="s">
        <v>172</v>
      </c>
      <c r="D30" s="7" t="s">
        <v>173</v>
      </c>
      <c r="E30" s="7" t="s">
        <v>228</v>
      </c>
      <c r="F30" s="7" t="s">
        <v>229</v>
      </c>
      <c r="G30" s="7" t="s">
        <v>184</v>
      </c>
      <c r="H30" s="7" t="s">
        <v>185</v>
      </c>
      <c r="K30" s="11">
        <v>566.04</v>
      </c>
      <c r="L30" s="11">
        <v>6509.46</v>
      </c>
      <c r="M30" s="11">
        <v>-6226.44</v>
      </c>
      <c r="N30" s="11">
        <v>849.06</v>
      </c>
      <c r="O30" s="7" t="s">
        <v>21</v>
      </c>
    </row>
    <row r="31" s="7" customFormat="1" spans="1:15">
      <c r="A31" s="7" t="s">
        <v>164</v>
      </c>
      <c r="B31" s="7" t="s">
        <v>165</v>
      </c>
      <c r="C31" s="7" t="s">
        <v>236</v>
      </c>
      <c r="D31" s="7" t="s">
        <v>237</v>
      </c>
      <c r="E31" s="7" t="s">
        <v>228</v>
      </c>
      <c r="F31" s="7" t="s">
        <v>229</v>
      </c>
      <c r="G31" s="7" t="s">
        <v>184</v>
      </c>
      <c r="H31" s="7" t="s">
        <v>185</v>
      </c>
      <c r="K31" s="11">
        <v>2037.74</v>
      </c>
      <c r="L31" s="11">
        <v>5094.35</v>
      </c>
      <c r="M31" s="11">
        <v>-4075.48</v>
      </c>
      <c r="N31" s="11">
        <v>3056.61</v>
      </c>
      <c r="O31" s="7" t="s">
        <v>21</v>
      </c>
    </row>
    <row r="32" s="7" customFormat="1" spans="1:15">
      <c r="A32" s="7" t="s">
        <v>164</v>
      </c>
      <c r="B32" s="7" t="s">
        <v>165</v>
      </c>
      <c r="C32" s="7" t="s">
        <v>182</v>
      </c>
      <c r="D32" s="7" t="s">
        <v>183</v>
      </c>
      <c r="E32" s="7" t="s">
        <v>228</v>
      </c>
      <c r="F32" s="7" t="s">
        <v>229</v>
      </c>
      <c r="G32" s="7" t="s">
        <v>184</v>
      </c>
      <c r="H32" s="7" t="s">
        <v>185</v>
      </c>
      <c r="K32" s="11">
        <v>35983.5</v>
      </c>
      <c r="L32" s="11">
        <v>34720.77</v>
      </c>
      <c r="M32" s="11">
        <v>-63062.76</v>
      </c>
      <c r="N32" s="11">
        <v>7641.51</v>
      </c>
      <c r="O32" s="7" t="s">
        <v>21</v>
      </c>
    </row>
    <row r="33" s="7" customFormat="1" spans="1:15">
      <c r="A33" s="7" t="s">
        <v>164</v>
      </c>
      <c r="B33" s="7" t="s">
        <v>165</v>
      </c>
      <c r="C33" s="7" t="s">
        <v>166</v>
      </c>
      <c r="D33" s="7" t="s">
        <v>167</v>
      </c>
      <c r="E33" s="7" t="s">
        <v>238</v>
      </c>
      <c r="F33" s="7" t="s">
        <v>239</v>
      </c>
      <c r="I33" s="7" t="s">
        <v>240</v>
      </c>
      <c r="J33" s="7" t="s">
        <v>241</v>
      </c>
      <c r="K33" s="11">
        <v>0</v>
      </c>
      <c r="L33" s="11">
        <v>1670</v>
      </c>
      <c r="M33" s="11">
        <v>-1670</v>
      </c>
      <c r="N33" s="11">
        <v>0</v>
      </c>
      <c r="O33" s="7" t="s">
        <v>16</v>
      </c>
    </row>
    <row r="34" s="7" customFormat="1" spans="1:15">
      <c r="A34" s="7" t="s">
        <v>164</v>
      </c>
      <c r="B34" s="7" t="s">
        <v>165</v>
      </c>
      <c r="C34" s="7" t="s">
        <v>172</v>
      </c>
      <c r="D34" s="7" t="s">
        <v>173</v>
      </c>
      <c r="E34" s="7" t="s">
        <v>238</v>
      </c>
      <c r="F34" s="7" t="s">
        <v>239</v>
      </c>
      <c r="I34" s="7" t="s">
        <v>242</v>
      </c>
      <c r="J34" s="7" t="s">
        <v>243</v>
      </c>
      <c r="K34" s="11">
        <v>0</v>
      </c>
      <c r="L34" s="11">
        <v>48084.93</v>
      </c>
      <c r="M34" s="11">
        <v>-48084.93</v>
      </c>
      <c r="N34" s="11">
        <v>0</v>
      </c>
      <c r="O34" s="7" t="s">
        <v>16</v>
      </c>
    </row>
    <row r="35" s="7" customFormat="1" spans="1:15">
      <c r="A35" s="7" t="s">
        <v>164</v>
      </c>
      <c r="B35" s="7" t="s">
        <v>165</v>
      </c>
      <c r="C35" s="7" t="s">
        <v>182</v>
      </c>
      <c r="D35" s="7" t="s">
        <v>183</v>
      </c>
      <c r="E35" s="7" t="s">
        <v>238</v>
      </c>
      <c r="F35" s="7" t="s">
        <v>239</v>
      </c>
      <c r="I35" s="7" t="s">
        <v>244</v>
      </c>
      <c r="J35" s="7" t="s">
        <v>245</v>
      </c>
      <c r="K35" s="11">
        <v>0</v>
      </c>
      <c r="L35" s="11">
        <v>3000</v>
      </c>
      <c r="M35" s="11">
        <v>-3000</v>
      </c>
      <c r="N35" s="11">
        <v>0</v>
      </c>
      <c r="O35" s="7" t="s">
        <v>16</v>
      </c>
    </row>
    <row r="36" s="7" customFormat="1" spans="1:15">
      <c r="A36" s="7" t="s">
        <v>164</v>
      </c>
      <c r="B36" s="7" t="s">
        <v>165</v>
      </c>
      <c r="C36" s="7" t="s">
        <v>166</v>
      </c>
      <c r="D36" s="7" t="s">
        <v>167</v>
      </c>
      <c r="E36" s="7" t="s">
        <v>238</v>
      </c>
      <c r="F36" s="7" t="s">
        <v>239</v>
      </c>
      <c r="I36" s="7" t="s">
        <v>244</v>
      </c>
      <c r="J36" s="7" t="s">
        <v>245</v>
      </c>
      <c r="K36" s="11">
        <v>0</v>
      </c>
      <c r="L36" s="11">
        <v>3000</v>
      </c>
      <c r="M36" s="11">
        <v>-3000</v>
      </c>
      <c r="N36" s="11">
        <v>0</v>
      </c>
      <c r="O36" s="7" t="s">
        <v>16</v>
      </c>
    </row>
    <row r="37" s="7" customFormat="1" spans="1:15">
      <c r="A37" s="7" t="s">
        <v>164</v>
      </c>
      <c r="B37" s="7" t="s">
        <v>165</v>
      </c>
      <c r="C37" s="7" t="s">
        <v>166</v>
      </c>
      <c r="D37" s="7" t="s">
        <v>167</v>
      </c>
      <c r="E37" s="7" t="s">
        <v>238</v>
      </c>
      <c r="F37" s="7" t="s">
        <v>239</v>
      </c>
      <c r="I37" s="7" t="s">
        <v>184</v>
      </c>
      <c r="J37" s="7" t="s">
        <v>185</v>
      </c>
      <c r="K37" s="11">
        <v>1200</v>
      </c>
      <c r="L37" s="11">
        <v>470</v>
      </c>
      <c r="M37" s="11">
        <v>-1670</v>
      </c>
      <c r="N37" s="11">
        <v>0</v>
      </c>
      <c r="O37" s="7" t="s">
        <v>16</v>
      </c>
    </row>
    <row r="38" s="7" customFormat="1" spans="1:15">
      <c r="A38" s="7" t="s">
        <v>164</v>
      </c>
      <c r="B38" s="7" t="s">
        <v>165</v>
      </c>
      <c r="C38" s="7" t="s">
        <v>182</v>
      </c>
      <c r="D38" s="7" t="s">
        <v>183</v>
      </c>
      <c r="E38" s="7" t="s">
        <v>238</v>
      </c>
      <c r="F38" s="7" t="s">
        <v>239</v>
      </c>
      <c r="I38" s="7" t="s">
        <v>246</v>
      </c>
      <c r="J38" s="7" t="s">
        <v>247</v>
      </c>
      <c r="K38" s="11">
        <v>428652</v>
      </c>
      <c r="L38" s="11">
        <v>5139238.6</v>
      </c>
      <c r="M38" s="11">
        <v>-4033364.96</v>
      </c>
      <c r="N38" s="11">
        <v>1534525.64</v>
      </c>
      <c r="O38" s="7" t="s">
        <v>16</v>
      </c>
    </row>
    <row r="39" s="7" customFormat="1" spans="1:15">
      <c r="A39" s="7" t="s">
        <v>164</v>
      </c>
      <c r="B39" s="7" t="s">
        <v>165</v>
      </c>
      <c r="C39" s="7" t="s">
        <v>182</v>
      </c>
      <c r="D39" s="7" t="s">
        <v>183</v>
      </c>
      <c r="E39" s="7" t="s">
        <v>248</v>
      </c>
      <c r="F39" s="7" t="s">
        <v>249</v>
      </c>
      <c r="I39" s="7" t="s">
        <v>246</v>
      </c>
      <c r="J39" s="7" t="s">
        <v>247</v>
      </c>
      <c r="K39" s="11">
        <v>-924033.89</v>
      </c>
      <c r="L39" s="11">
        <v>3177784.74</v>
      </c>
      <c r="M39" s="11">
        <v>-4421691.53</v>
      </c>
      <c r="N39" s="11">
        <v>-2167940.68</v>
      </c>
      <c r="O39" s="7" t="s">
        <v>16</v>
      </c>
    </row>
    <row r="40" s="7" customFormat="1" spans="1:15">
      <c r="A40" s="7" t="s">
        <v>164</v>
      </c>
      <c r="B40" s="7" t="s">
        <v>165</v>
      </c>
      <c r="C40" s="7" t="s">
        <v>176</v>
      </c>
      <c r="D40" s="7" t="s">
        <v>177</v>
      </c>
      <c r="E40" s="7" t="s">
        <v>248</v>
      </c>
      <c r="F40" s="7" t="s">
        <v>249</v>
      </c>
      <c r="I40" s="7" t="s">
        <v>69</v>
      </c>
      <c r="J40" s="7" t="s">
        <v>69</v>
      </c>
      <c r="K40" s="11">
        <v>0</v>
      </c>
      <c r="L40" s="11">
        <v>76320.9</v>
      </c>
      <c r="M40" s="11">
        <v>-76320.9</v>
      </c>
      <c r="N40" s="11">
        <v>0</v>
      </c>
      <c r="O40" s="7" t="s">
        <v>16</v>
      </c>
    </row>
    <row r="41" s="7" customFormat="1" spans="1:15">
      <c r="A41" s="7" t="s">
        <v>164</v>
      </c>
      <c r="B41" s="7" t="s">
        <v>165</v>
      </c>
      <c r="C41" s="7" t="s">
        <v>166</v>
      </c>
      <c r="D41" s="7" t="s">
        <v>167</v>
      </c>
      <c r="E41" s="7" t="s">
        <v>248</v>
      </c>
      <c r="F41" s="7" t="s">
        <v>249</v>
      </c>
      <c r="I41" s="7" t="s">
        <v>240</v>
      </c>
      <c r="J41" s="7" t="s">
        <v>241</v>
      </c>
      <c r="K41" s="11">
        <v>-1061.95</v>
      </c>
      <c r="L41" s="11">
        <v>1477.88</v>
      </c>
      <c r="M41" s="11">
        <v>-415.93</v>
      </c>
      <c r="N41" s="11">
        <v>0</v>
      </c>
      <c r="O41" s="7" t="s">
        <v>16</v>
      </c>
    </row>
    <row r="42" s="7" customFormat="1" spans="1:15">
      <c r="A42" s="7" t="s">
        <v>164</v>
      </c>
      <c r="B42" s="7" t="s">
        <v>165</v>
      </c>
      <c r="C42" s="7" t="s">
        <v>192</v>
      </c>
      <c r="D42" s="7" t="s">
        <v>193</v>
      </c>
      <c r="E42" s="7" t="s">
        <v>248</v>
      </c>
      <c r="F42" s="7" t="s">
        <v>249</v>
      </c>
      <c r="I42" s="7" t="s">
        <v>246</v>
      </c>
      <c r="J42" s="7" t="s">
        <v>247</v>
      </c>
      <c r="K42" s="11">
        <v>-18349.56</v>
      </c>
      <c r="L42" s="11">
        <v>18349.56</v>
      </c>
      <c r="M42" s="11">
        <v>0</v>
      </c>
      <c r="N42" s="11">
        <v>0</v>
      </c>
      <c r="O42" s="7" t="s">
        <v>16</v>
      </c>
    </row>
    <row r="43" s="7" customFormat="1" spans="1:15">
      <c r="A43" s="7" t="s">
        <v>164</v>
      </c>
      <c r="B43" s="7" t="s">
        <v>165</v>
      </c>
      <c r="C43" s="7" t="s">
        <v>166</v>
      </c>
      <c r="D43" s="7" t="s">
        <v>167</v>
      </c>
      <c r="E43" s="7" t="s">
        <v>248</v>
      </c>
      <c r="F43" s="7" t="s">
        <v>249</v>
      </c>
      <c r="I43" s="7" t="s">
        <v>244</v>
      </c>
      <c r="J43" s="7" t="s">
        <v>245</v>
      </c>
      <c r="K43" s="11">
        <v>0</v>
      </c>
      <c r="L43" s="11">
        <v>2654.87</v>
      </c>
      <c r="M43" s="11">
        <v>-2654.87</v>
      </c>
      <c r="N43" s="11">
        <v>0</v>
      </c>
      <c r="O43" s="7" t="s">
        <v>16</v>
      </c>
    </row>
    <row r="44" s="7" customFormat="1" spans="1:15">
      <c r="A44" s="7" t="s">
        <v>164</v>
      </c>
      <c r="B44" s="7" t="s">
        <v>165</v>
      </c>
      <c r="C44" s="7" t="s">
        <v>234</v>
      </c>
      <c r="D44" s="7" t="s">
        <v>235</v>
      </c>
      <c r="E44" s="7" t="s">
        <v>248</v>
      </c>
      <c r="F44" s="7" t="s">
        <v>249</v>
      </c>
      <c r="I44" s="7" t="s">
        <v>246</v>
      </c>
      <c r="J44" s="7" t="s">
        <v>247</v>
      </c>
      <c r="K44" s="11">
        <v>0</v>
      </c>
      <c r="L44" s="11">
        <v>10475.61</v>
      </c>
      <c r="M44" s="11">
        <v>-10475.61</v>
      </c>
      <c r="N44" s="11">
        <v>0</v>
      </c>
      <c r="O44" s="7" t="s">
        <v>16</v>
      </c>
    </row>
    <row r="45" s="7" customFormat="1" spans="1:15">
      <c r="A45" s="7" t="s">
        <v>164</v>
      </c>
      <c r="B45" s="7" t="s">
        <v>165</v>
      </c>
      <c r="C45" s="7" t="s">
        <v>176</v>
      </c>
      <c r="D45" s="7" t="s">
        <v>177</v>
      </c>
      <c r="E45" s="7" t="s">
        <v>248</v>
      </c>
      <c r="F45" s="7" t="s">
        <v>249</v>
      </c>
      <c r="I45" s="7" t="s">
        <v>198</v>
      </c>
      <c r="J45" s="7" t="s">
        <v>199</v>
      </c>
      <c r="K45" s="11">
        <v>0</v>
      </c>
      <c r="L45" s="11">
        <v>152641.8</v>
      </c>
      <c r="M45" s="11">
        <v>-152641.8</v>
      </c>
      <c r="N45" s="11">
        <v>0</v>
      </c>
      <c r="O45" s="7" t="s">
        <v>16</v>
      </c>
    </row>
    <row r="46" s="7" customFormat="1" spans="1:15">
      <c r="A46" s="7" t="s">
        <v>164</v>
      </c>
      <c r="B46" s="7" t="s">
        <v>165</v>
      </c>
      <c r="C46" s="7" t="s">
        <v>182</v>
      </c>
      <c r="D46" s="7" t="s">
        <v>183</v>
      </c>
      <c r="E46" s="7" t="s">
        <v>250</v>
      </c>
      <c r="F46" s="7" t="s">
        <v>251</v>
      </c>
      <c r="I46" s="7" t="s">
        <v>252</v>
      </c>
      <c r="J46" s="7" t="s">
        <v>253</v>
      </c>
      <c r="K46" s="11">
        <v>0</v>
      </c>
      <c r="L46" s="11">
        <v>6930</v>
      </c>
      <c r="M46" s="11">
        <v>-6930</v>
      </c>
      <c r="N46" s="11">
        <v>0</v>
      </c>
      <c r="O46" s="7" t="s">
        <v>16</v>
      </c>
    </row>
    <row r="47" s="7" customFormat="1" spans="1:15">
      <c r="A47" s="7" t="s">
        <v>164</v>
      </c>
      <c r="B47" s="7" t="s">
        <v>165</v>
      </c>
      <c r="C47" s="7" t="s">
        <v>172</v>
      </c>
      <c r="D47" s="7" t="s">
        <v>173</v>
      </c>
      <c r="E47" s="7" t="s">
        <v>250</v>
      </c>
      <c r="F47" s="7" t="s">
        <v>251</v>
      </c>
      <c r="I47" s="7" t="s">
        <v>230</v>
      </c>
      <c r="J47" s="7" t="s">
        <v>231</v>
      </c>
      <c r="K47" s="11">
        <v>0</v>
      </c>
      <c r="L47" s="11">
        <v>0</v>
      </c>
      <c r="M47" s="11">
        <v>-50141.39</v>
      </c>
      <c r="N47" s="11">
        <v>-50141.39</v>
      </c>
      <c r="O47" s="7" t="s">
        <v>16</v>
      </c>
    </row>
    <row r="48" s="7" customFormat="1" spans="1:15">
      <c r="A48" s="7" t="s">
        <v>164</v>
      </c>
      <c r="B48" s="7" t="s">
        <v>165</v>
      </c>
      <c r="C48" s="7" t="s">
        <v>254</v>
      </c>
      <c r="D48" s="7" t="s">
        <v>255</v>
      </c>
      <c r="E48" s="7" t="s">
        <v>250</v>
      </c>
      <c r="F48" s="7" t="s">
        <v>251</v>
      </c>
      <c r="I48" s="7" t="s">
        <v>256</v>
      </c>
      <c r="J48" s="7" t="s">
        <v>257</v>
      </c>
      <c r="K48" s="11">
        <v>0</v>
      </c>
      <c r="L48" s="11">
        <v>750</v>
      </c>
      <c r="M48" s="11">
        <v>-750</v>
      </c>
      <c r="N48" s="11">
        <v>0</v>
      </c>
      <c r="O48" s="7" t="s">
        <v>16</v>
      </c>
    </row>
    <row r="49" s="7" customFormat="1" spans="1:15">
      <c r="A49" s="7" t="s">
        <v>164</v>
      </c>
      <c r="B49" s="7" t="s">
        <v>165</v>
      </c>
      <c r="C49" s="7" t="s">
        <v>234</v>
      </c>
      <c r="D49" s="7" t="s">
        <v>235</v>
      </c>
      <c r="E49" s="7" t="s">
        <v>250</v>
      </c>
      <c r="F49" s="7" t="s">
        <v>251</v>
      </c>
      <c r="I49" s="7" t="s">
        <v>258</v>
      </c>
      <c r="J49" s="7" t="s">
        <v>259</v>
      </c>
      <c r="K49" s="11">
        <v>0</v>
      </c>
      <c r="L49" s="11">
        <v>6443</v>
      </c>
      <c r="M49" s="11">
        <v>-6443</v>
      </c>
      <c r="N49" s="11">
        <v>0</v>
      </c>
      <c r="O49" s="7" t="s">
        <v>16</v>
      </c>
    </row>
    <row r="50" s="7" customFormat="1" spans="1:15">
      <c r="A50" s="7" t="s">
        <v>164</v>
      </c>
      <c r="B50" s="7" t="s">
        <v>165</v>
      </c>
      <c r="C50" s="7" t="s">
        <v>234</v>
      </c>
      <c r="D50" s="7" t="s">
        <v>235</v>
      </c>
      <c r="E50" s="7" t="s">
        <v>250</v>
      </c>
      <c r="F50" s="7" t="s">
        <v>251</v>
      </c>
      <c r="I50" s="7" t="s">
        <v>260</v>
      </c>
      <c r="J50" s="7" t="s">
        <v>261</v>
      </c>
      <c r="K50" s="11">
        <v>0</v>
      </c>
      <c r="L50" s="11">
        <v>21600</v>
      </c>
      <c r="M50" s="11">
        <v>-21600</v>
      </c>
      <c r="N50" s="11">
        <v>0</v>
      </c>
      <c r="O50" s="7" t="s">
        <v>16</v>
      </c>
    </row>
    <row r="51" s="7" customFormat="1" spans="1:15">
      <c r="A51" s="7" t="s">
        <v>164</v>
      </c>
      <c r="B51" s="7" t="s">
        <v>165</v>
      </c>
      <c r="C51" s="7" t="s">
        <v>220</v>
      </c>
      <c r="D51" s="7" t="s">
        <v>221</v>
      </c>
      <c r="E51" s="7" t="s">
        <v>250</v>
      </c>
      <c r="F51" s="7" t="s">
        <v>251</v>
      </c>
      <c r="I51" s="7" t="s">
        <v>262</v>
      </c>
      <c r="J51" s="7" t="s">
        <v>263</v>
      </c>
      <c r="K51" s="11">
        <v>0</v>
      </c>
      <c r="L51" s="11">
        <v>18479.38</v>
      </c>
      <c r="M51" s="11">
        <v>-18479.38</v>
      </c>
      <c r="N51" s="11">
        <v>0</v>
      </c>
      <c r="O51" s="7" t="s">
        <v>16</v>
      </c>
    </row>
    <row r="52" s="7" customFormat="1" spans="1:15">
      <c r="A52" s="7" t="s">
        <v>164</v>
      </c>
      <c r="B52" s="7" t="s">
        <v>165</v>
      </c>
      <c r="C52" s="7" t="s">
        <v>172</v>
      </c>
      <c r="D52" s="7" t="s">
        <v>173</v>
      </c>
      <c r="E52" s="7" t="s">
        <v>250</v>
      </c>
      <c r="F52" s="7" t="s">
        <v>251</v>
      </c>
      <c r="I52" s="7" t="s">
        <v>232</v>
      </c>
      <c r="J52" s="7" t="s">
        <v>233</v>
      </c>
      <c r="K52" s="11">
        <v>0</v>
      </c>
      <c r="L52" s="11">
        <v>408913.14</v>
      </c>
      <c r="M52" s="11">
        <v>-408913.14</v>
      </c>
      <c r="N52" s="11">
        <v>0</v>
      </c>
      <c r="O52" s="7" t="s">
        <v>16</v>
      </c>
    </row>
    <row r="53" s="7" customFormat="1" spans="1:15">
      <c r="A53" s="7" t="s">
        <v>164</v>
      </c>
      <c r="B53" s="7" t="s">
        <v>165</v>
      </c>
      <c r="C53" s="7" t="s">
        <v>182</v>
      </c>
      <c r="D53" s="7" t="s">
        <v>183</v>
      </c>
      <c r="E53" s="7" t="s">
        <v>250</v>
      </c>
      <c r="F53" s="7" t="s">
        <v>251</v>
      </c>
      <c r="I53" s="7" t="s">
        <v>264</v>
      </c>
      <c r="J53" s="7" t="s">
        <v>265</v>
      </c>
      <c r="K53" s="11">
        <v>0</v>
      </c>
      <c r="L53" s="11">
        <v>300</v>
      </c>
      <c r="M53" s="11">
        <v>-300</v>
      </c>
      <c r="N53" s="11">
        <v>0</v>
      </c>
      <c r="O53" s="7" t="s">
        <v>16</v>
      </c>
    </row>
    <row r="54" s="7" customFormat="1" spans="1:15">
      <c r="A54" s="7" t="s">
        <v>164</v>
      </c>
      <c r="B54" s="7" t="s">
        <v>165</v>
      </c>
      <c r="C54" s="7" t="s">
        <v>182</v>
      </c>
      <c r="D54" s="7" t="s">
        <v>183</v>
      </c>
      <c r="E54" s="7" t="s">
        <v>250</v>
      </c>
      <c r="F54" s="7" t="s">
        <v>251</v>
      </c>
      <c r="I54" s="7" t="s">
        <v>266</v>
      </c>
      <c r="J54" s="7" t="s">
        <v>267</v>
      </c>
      <c r="K54" s="11">
        <v>0</v>
      </c>
      <c r="L54" s="11">
        <v>2800</v>
      </c>
      <c r="M54" s="11">
        <v>-2800</v>
      </c>
      <c r="N54" s="11">
        <v>0</v>
      </c>
      <c r="O54" s="7" t="s">
        <v>16</v>
      </c>
    </row>
    <row r="55" s="7" customFormat="1" spans="1:15">
      <c r="A55" s="7" t="s">
        <v>164</v>
      </c>
      <c r="B55" s="7" t="s">
        <v>165</v>
      </c>
      <c r="C55" s="7" t="s">
        <v>172</v>
      </c>
      <c r="D55" s="7" t="s">
        <v>173</v>
      </c>
      <c r="E55" s="7" t="s">
        <v>250</v>
      </c>
      <c r="F55" s="7" t="s">
        <v>251</v>
      </c>
      <c r="I55" s="7" t="s">
        <v>268</v>
      </c>
      <c r="J55" s="7" t="s">
        <v>269</v>
      </c>
      <c r="K55" s="11">
        <v>0</v>
      </c>
      <c r="L55" s="11">
        <v>419439.57</v>
      </c>
      <c r="M55" s="11">
        <v>-419439.57</v>
      </c>
      <c r="N55" s="11">
        <v>0</v>
      </c>
      <c r="O55" s="7" t="s">
        <v>16</v>
      </c>
    </row>
    <row r="56" s="7" customFormat="1" spans="1:15">
      <c r="A56" s="7" t="s">
        <v>164</v>
      </c>
      <c r="B56" s="7" t="s">
        <v>165</v>
      </c>
      <c r="C56" s="7" t="s">
        <v>182</v>
      </c>
      <c r="D56" s="7" t="s">
        <v>183</v>
      </c>
      <c r="E56" s="7" t="s">
        <v>250</v>
      </c>
      <c r="F56" s="7" t="s">
        <v>251</v>
      </c>
      <c r="I56" s="7" t="s">
        <v>230</v>
      </c>
      <c r="J56" s="7" t="s">
        <v>231</v>
      </c>
      <c r="K56" s="11">
        <v>0</v>
      </c>
      <c r="L56" s="11">
        <v>67029.48</v>
      </c>
      <c r="M56" s="11">
        <v>-67029.48</v>
      </c>
      <c r="N56" s="11">
        <v>0</v>
      </c>
      <c r="O56" s="7" t="s">
        <v>16</v>
      </c>
    </row>
    <row r="57" s="7" customFormat="1" spans="1:15">
      <c r="A57" s="7" t="s">
        <v>164</v>
      </c>
      <c r="B57" s="7" t="s">
        <v>165</v>
      </c>
      <c r="C57" s="7" t="s">
        <v>182</v>
      </c>
      <c r="D57" s="7" t="s">
        <v>183</v>
      </c>
      <c r="E57" s="7" t="s">
        <v>250</v>
      </c>
      <c r="F57" s="7" t="s">
        <v>251</v>
      </c>
      <c r="I57" s="7" t="s">
        <v>270</v>
      </c>
      <c r="J57" s="7" t="s">
        <v>271</v>
      </c>
      <c r="K57" s="11">
        <v>0</v>
      </c>
      <c r="L57" s="11">
        <v>3000</v>
      </c>
      <c r="M57" s="11">
        <v>-3000</v>
      </c>
      <c r="N57" s="11">
        <v>0</v>
      </c>
      <c r="O57" s="7" t="s">
        <v>16</v>
      </c>
    </row>
    <row r="58" s="7" customFormat="1" spans="1:15">
      <c r="A58" s="7" t="s">
        <v>164</v>
      </c>
      <c r="B58" s="7" t="s">
        <v>165</v>
      </c>
      <c r="C58" s="7" t="s">
        <v>182</v>
      </c>
      <c r="D58" s="7" t="s">
        <v>183</v>
      </c>
      <c r="E58" s="7" t="s">
        <v>250</v>
      </c>
      <c r="F58" s="7" t="s">
        <v>251</v>
      </c>
      <c r="I58" s="7" t="s">
        <v>242</v>
      </c>
      <c r="J58" s="7" t="s">
        <v>243</v>
      </c>
      <c r="K58" s="11">
        <v>0</v>
      </c>
      <c r="L58" s="11">
        <v>73828.79</v>
      </c>
      <c r="M58" s="11">
        <v>-73828.79</v>
      </c>
      <c r="N58" s="11">
        <v>0</v>
      </c>
      <c r="O58" s="7" t="s">
        <v>16</v>
      </c>
    </row>
    <row r="59" s="7" customFormat="1" spans="1:15">
      <c r="A59" s="7" t="s">
        <v>164</v>
      </c>
      <c r="B59" s="7" t="s">
        <v>165</v>
      </c>
      <c r="C59" s="7" t="s">
        <v>182</v>
      </c>
      <c r="D59" s="7" t="s">
        <v>183</v>
      </c>
      <c r="E59" s="7" t="s">
        <v>250</v>
      </c>
      <c r="F59" s="7" t="s">
        <v>251</v>
      </c>
      <c r="I59" s="7" t="s">
        <v>246</v>
      </c>
      <c r="J59" s="7" t="s">
        <v>247</v>
      </c>
      <c r="K59" s="11">
        <v>0</v>
      </c>
      <c r="L59" s="11">
        <v>338787.4</v>
      </c>
      <c r="M59" s="11">
        <v>-338787.4</v>
      </c>
      <c r="N59" s="11">
        <v>0</v>
      </c>
      <c r="O59" s="7" t="s">
        <v>16</v>
      </c>
    </row>
    <row r="60" s="7" customFormat="1" spans="1:15">
      <c r="A60" s="7" t="s">
        <v>164</v>
      </c>
      <c r="B60" s="7" t="s">
        <v>165</v>
      </c>
      <c r="C60" s="7" t="s">
        <v>220</v>
      </c>
      <c r="D60" s="7" t="s">
        <v>221</v>
      </c>
      <c r="E60" s="7" t="s">
        <v>250</v>
      </c>
      <c r="F60" s="7" t="s">
        <v>251</v>
      </c>
      <c r="I60" s="7" t="s">
        <v>272</v>
      </c>
      <c r="J60" s="7" t="s">
        <v>273</v>
      </c>
      <c r="K60" s="11">
        <v>0</v>
      </c>
      <c r="L60" s="11">
        <v>4000</v>
      </c>
      <c r="M60" s="11">
        <v>-4000</v>
      </c>
      <c r="N60" s="11">
        <v>0</v>
      </c>
      <c r="O60" s="7" t="s">
        <v>16</v>
      </c>
    </row>
    <row r="61" s="7" customFormat="1" spans="1:15">
      <c r="A61" s="7" t="s">
        <v>164</v>
      </c>
      <c r="B61" s="7" t="s">
        <v>165</v>
      </c>
      <c r="C61" s="7" t="s">
        <v>192</v>
      </c>
      <c r="D61" s="7" t="s">
        <v>193</v>
      </c>
      <c r="E61" s="7" t="s">
        <v>250</v>
      </c>
      <c r="F61" s="7" t="s">
        <v>251</v>
      </c>
      <c r="I61" s="7" t="s">
        <v>214</v>
      </c>
      <c r="J61" s="7" t="s">
        <v>215</v>
      </c>
      <c r="K61" s="11">
        <v>0</v>
      </c>
      <c r="L61" s="11">
        <v>25000</v>
      </c>
      <c r="M61" s="11">
        <v>-25000</v>
      </c>
      <c r="N61" s="11">
        <v>0</v>
      </c>
      <c r="O61" s="7" t="s">
        <v>16</v>
      </c>
    </row>
    <row r="62" s="7" customFormat="1" spans="1:15">
      <c r="A62" s="7" t="s">
        <v>164</v>
      </c>
      <c r="B62" s="7" t="s">
        <v>165</v>
      </c>
      <c r="C62" s="7" t="s">
        <v>172</v>
      </c>
      <c r="D62" s="7" t="s">
        <v>173</v>
      </c>
      <c r="E62" s="7" t="s">
        <v>250</v>
      </c>
      <c r="F62" s="7" t="s">
        <v>251</v>
      </c>
      <c r="I62" s="7" t="s">
        <v>274</v>
      </c>
      <c r="J62" s="7" t="s">
        <v>275</v>
      </c>
      <c r="K62" s="11">
        <v>0</v>
      </c>
      <c r="L62" s="11">
        <v>5000</v>
      </c>
      <c r="M62" s="11">
        <v>-5000</v>
      </c>
      <c r="N62" s="11">
        <v>0</v>
      </c>
      <c r="O62" s="7" t="s">
        <v>16</v>
      </c>
    </row>
    <row r="63" s="7" customFormat="1" spans="1:15">
      <c r="A63" s="7" t="s">
        <v>164</v>
      </c>
      <c r="B63" s="7" t="s">
        <v>165</v>
      </c>
      <c r="C63" s="7" t="s">
        <v>182</v>
      </c>
      <c r="D63" s="7" t="s">
        <v>183</v>
      </c>
      <c r="E63" s="7" t="s">
        <v>250</v>
      </c>
      <c r="F63" s="7" t="s">
        <v>251</v>
      </c>
      <c r="I63" s="7" t="s">
        <v>210</v>
      </c>
      <c r="J63" s="7" t="s">
        <v>211</v>
      </c>
      <c r="K63" s="11">
        <v>0</v>
      </c>
      <c r="L63" s="11">
        <v>415493</v>
      </c>
      <c r="M63" s="11">
        <v>-415493</v>
      </c>
      <c r="N63" s="11">
        <v>0</v>
      </c>
      <c r="O63" s="7" t="s">
        <v>16</v>
      </c>
    </row>
    <row r="64" s="7" customFormat="1" spans="1:15">
      <c r="A64" s="7" t="s">
        <v>164</v>
      </c>
      <c r="B64" s="7" t="s">
        <v>165</v>
      </c>
      <c r="C64" s="7" t="s">
        <v>192</v>
      </c>
      <c r="D64" s="7" t="s">
        <v>193</v>
      </c>
      <c r="E64" s="7" t="s">
        <v>250</v>
      </c>
      <c r="F64" s="7" t="s">
        <v>251</v>
      </c>
      <c r="I64" s="7" t="s">
        <v>276</v>
      </c>
      <c r="J64" s="7" t="s">
        <v>277</v>
      </c>
      <c r="K64" s="11">
        <v>0</v>
      </c>
      <c r="L64" s="11">
        <v>5976</v>
      </c>
      <c r="M64" s="11">
        <v>-5976</v>
      </c>
      <c r="N64" s="11">
        <v>0</v>
      </c>
      <c r="O64" s="7" t="s">
        <v>16</v>
      </c>
    </row>
    <row r="65" s="7" customFormat="1" spans="1:15">
      <c r="A65" s="7" t="s">
        <v>164</v>
      </c>
      <c r="B65" s="7" t="s">
        <v>165</v>
      </c>
      <c r="C65" s="7" t="s">
        <v>176</v>
      </c>
      <c r="D65" s="7" t="s">
        <v>177</v>
      </c>
      <c r="E65" s="7" t="s">
        <v>278</v>
      </c>
      <c r="F65" s="7" t="s">
        <v>279</v>
      </c>
      <c r="I65" s="7" t="s">
        <v>204</v>
      </c>
      <c r="J65" s="7" t="s">
        <v>205</v>
      </c>
      <c r="K65" s="11">
        <v>-900</v>
      </c>
      <c r="L65" s="11">
        <v>4200.01</v>
      </c>
      <c r="M65" s="11">
        <v>-3300.01</v>
      </c>
      <c r="N65" s="11">
        <v>0</v>
      </c>
      <c r="O65" s="7" t="s">
        <v>16</v>
      </c>
    </row>
    <row r="66" s="7" customFormat="1" spans="1:15">
      <c r="A66" s="7" t="s">
        <v>164</v>
      </c>
      <c r="B66" s="7" t="s">
        <v>165</v>
      </c>
      <c r="C66" s="7" t="s">
        <v>176</v>
      </c>
      <c r="D66" s="7" t="s">
        <v>177</v>
      </c>
      <c r="E66" s="7" t="s">
        <v>278</v>
      </c>
      <c r="F66" s="7" t="s">
        <v>279</v>
      </c>
      <c r="I66" s="7" t="s">
        <v>198</v>
      </c>
      <c r="J66" s="7" t="s">
        <v>199</v>
      </c>
      <c r="K66" s="11">
        <v>0</v>
      </c>
      <c r="L66" s="11">
        <v>86242.61</v>
      </c>
      <c r="M66" s="11">
        <v>-172485.22</v>
      </c>
      <c r="N66" s="11">
        <v>-86242.61</v>
      </c>
      <c r="O66" s="7" t="s">
        <v>16</v>
      </c>
    </row>
    <row r="67" s="7" customFormat="1" spans="1:15">
      <c r="A67" s="7" t="s">
        <v>164</v>
      </c>
      <c r="B67" s="7" t="s">
        <v>165</v>
      </c>
      <c r="C67" s="7" t="s">
        <v>234</v>
      </c>
      <c r="D67" s="7" t="s">
        <v>235</v>
      </c>
      <c r="E67" s="7" t="s">
        <v>280</v>
      </c>
      <c r="F67" s="7" t="s">
        <v>281</v>
      </c>
      <c r="I67" s="7" t="s">
        <v>282</v>
      </c>
      <c r="J67" s="7" t="s">
        <v>283</v>
      </c>
      <c r="K67" s="11">
        <v>0</v>
      </c>
      <c r="L67" s="11">
        <v>0</v>
      </c>
      <c r="M67" s="11">
        <v>-497.08</v>
      </c>
      <c r="N67" s="11">
        <v>-497.08</v>
      </c>
      <c r="O67" s="7" t="s">
        <v>16</v>
      </c>
    </row>
    <row r="68" s="7" customFormat="1" spans="1:15">
      <c r="A68" s="7" t="s">
        <v>164</v>
      </c>
      <c r="B68" s="7" t="s">
        <v>165</v>
      </c>
      <c r="C68" s="7" t="s">
        <v>172</v>
      </c>
      <c r="D68" s="7" t="s">
        <v>173</v>
      </c>
      <c r="E68" s="7" t="s">
        <v>280</v>
      </c>
      <c r="F68" s="7" t="s">
        <v>281</v>
      </c>
      <c r="I68" s="7" t="s">
        <v>282</v>
      </c>
      <c r="J68" s="7" t="s">
        <v>283</v>
      </c>
      <c r="K68" s="11">
        <v>-10000</v>
      </c>
      <c r="L68" s="11">
        <v>60000</v>
      </c>
      <c r="M68" s="11">
        <v>-105000</v>
      </c>
      <c r="N68" s="11">
        <v>-55000</v>
      </c>
      <c r="O68" s="7" t="s">
        <v>16</v>
      </c>
    </row>
    <row r="69" s="7" customFormat="1" spans="1:15">
      <c r="A69" s="7" t="s">
        <v>164</v>
      </c>
      <c r="B69" s="7" t="s">
        <v>165</v>
      </c>
      <c r="C69" s="7" t="s">
        <v>236</v>
      </c>
      <c r="D69" s="7" t="s">
        <v>237</v>
      </c>
      <c r="E69" s="7" t="s">
        <v>280</v>
      </c>
      <c r="F69" s="7" t="s">
        <v>281</v>
      </c>
      <c r="I69" s="7" t="s">
        <v>282</v>
      </c>
      <c r="J69" s="7" t="s">
        <v>283</v>
      </c>
      <c r="K69" s="11">
        <v>-36000</v>
      </c>
      <c r="L69" s="11">
        <v>36000</v>
      </c>
      <c r="M69" s="11">
        <v>-90000</v>
      </c>
      <c r="N69" s="11">
        <v>-90000</v>
      </c>
      <c r="O69" s="7" t="s">
        <v>16</v>
      </c>
    </row>
    <row r="70" s="7" customFormat="1" spans="1:15">
      <c r="A70" s="7" t="s">
        <v>164</v>
      </c>
      <c r="B70" s="7" t="s">
        <v>165</v>
      </c>
      <c r="C70" s="7" t="s">
        <v>182</v>
      </c>
      <c r="D70" s="7" t="s">
        <v>183</v>
      </c>
      <c r="E70" s="7" t="s">
        <v>280</v>
      </c>
      <c r="F70" s="7" t="s">
        <v>281</v>
      </c>
      <c r="I70" s="7" t="s">
        <v>282</v>
      </c>
      <c r="J70" s="7" t="s">
        <v>283</v>
      </c>
      <c r="K70" s="11">
        <v>-635708.65</v>
      </c>
      <c r="L70" s="11">
        <v>972758.65</v>
      </c>
      <c r="M70" s="11">
        <v>-681850</v>
      </c>
      <c r="N70" s="11">
        <v>-344800</v>
      </c>
      <c r="O70" s="7" t="s">
        <v>16</v>
      </c>
    </row>
    <row r="71" s="7" customFormat="1" spans="1:15">
      <c r="A71" s="7" t="s">
        <v>164</v>
      </c>
      <c r="B71" s="7" t="s">
        <v>165</v>
      </c>
      <c r="C71" s="7" t="s">
        <v>69</v>
      </c>
      <c r="D71" s="7" t="s">
        <v>69</v>
      </c>
      <c r="E71" s="7" t="s">
        <v>284</v>
      </c>
      <c r="F71" s="7" t="s">
        <v>285</v>
      </c>
      <c r="I71" s="7" t="s">
        <v>69</v>
      </c>
      <c r="J71" s="7" t="s">
        <v>69</v>
      </c>
      <c r="K71" s="11">
        <v>0</v>
      </c>
      <c r="L71" s="11">
        <v>21168</v>
      </c>
      <c r="M71" s="11">
        <v>-21168</v>
      </c>
      <c r="N71" s="11">
        <v>0</v>
      </c>
      <c r="O71" s="7" t="s">
        <v>26</v>
      </c>
    </row>
    <row r="72" s="7" customFormat="1" spans="1:15">
      <c r="A72" s="7" t="s">
        <v>164</v>
      </c>
      <c r="B72" s="7" t="s">
        <v>165</v>
      </c>
      <c r="C72" s="7" t="s">
        <v>69</v>
      </c>
      <c r="D72" s="7" t="s">
        <v>69</v>
      </c>
      <c r="E72" s="7" t="s">
        <v>286</v>
      </c>
      <c r="F72" s="7" t="s">
        <v>287</v>
      </c>
      <c r="I72" s="7" t="s">
        <v>69</v>
      </c>
      <c r="J72" s="7" t="s">
        <v>69</v>
      </c>
      <c r="K72" s="11">
        <v>0</v>
      </c>
      <c r="L72" s="11">
        <v>5292</v>
      </c>
      <c r="M72" s="11">
        <v>-5292</v>
      </c>
      <c r="N72" s="11">
        <v>0</v>
      </c>
      <c r="O72" s="7" t="s">
        <v>26</v>
      </c>
    </row>
    <row r="73" s="7" customFormat="1" spans="1:15">
      <c r="A73" s="7" t="s">
        <v>164</v>
      </c>
      <c r="B73" s="7" t="s">
        <v>165</v>
      </c>
      <c r="C73" s="7" t="s">
        <v>69</v>
      </c>
      <c r="D73" s="7" t="s">
        <v>69</v>
      </c>
      <c r="E73" s="7" t="s">
        <v>288</v>
      </c>
      <c r="F73" s="7" t="s">
        <v>289</v>
      </c>
      <c r="I73" s="7" t="s">
        <v>69</v>
      </c>
      <c r="J73" s="7" t="s">
        <v>69</v>
      </c>
      <c r="K73" s="11">
        <v>0</v>
      </c>
      <c r="L73" s="11">
        <v>1323</v>
      </c>
      <c r="M73" s="11">
        <v>-1323</v>
      </c>
      <c r="N73" s="11">
        <v>0</v>
      </c>
      <c r="O73" s="7" t="s">
        <v>26</v>
      </c>
    </row>
    <row r="74" s="7" customFormat="1" spans="1:15">
      <c r="A74" s="7" t="s">
        <v>164</v>
      </c>
      <c r="B74" s="7" t="s">
        <v>165</v>
      </c>
      <c r="C74" s="7" t="s">
        <v>69</v>
      </c>
      <c r="D74" s="7" t="s">
        <v>69</v>
      </c>
      <c r="E74" s="7" t="s">
        <v>290</v>
      </c>
      <c r="F74" s="7" t="s">
        <v>291</v>
      </c>
      <c r="I74" s="7" t="s">
        <v>69</v>
      </c>
      <c r="J74" s="7" t="s">
        <v>69</v>
      </c>
      <c r="K74" s="11">
        <v>0</v>
      </c>
      <c r="L74" s="11">
        <v>18522</v>
      </c>
      <c r="M74" s="11">
        <v>-18522</v>
      </c>
      <c r="N74" s="11">
        <v>0</v>
      </c>
      <c r="O74" s="7" t="s">
        <v>26</v>
      </c>
    </row>
    <row r="75" s="7" customFormat="1" spans="1:15">
      <c r="A75" s="7" t="s">
        <v>164</v>
      </c>
      <c r="B75" s="7" t="s">
        <v>165</v>
      </c>
      <c r="C75" s="7" t="s">
        <v>182</v>
      </c>
      <c r="D75" s="7" t="s">
        <v>183</v>
      </c>
      <c r="E75" s="7" t="s">
        <v>292</v>
      </c>
      <c r="F75" s="7" t="s">
        <v>293</v>
      </c>
      <c r="I75" s="7" t="s">
        <v>246</v>
      </c>
      <c r="J75" s="7" t="s">
        <v>247</v>
      </c>
      <c r="K75" s="11">
        <v>-74905.66</v>
      </c>
      <c r="L75" s="11">
        <v>300309.05</v>
      </c>
      <c r="M75" s="11">
        <v>-317249.95</v>
      </c>
      <c r="N75" s="11">
        <v>-91846.56</v>
      </c>
      <c r="O75" s="7" t="s">
        <v>26</v>
      </c>
    </row>
    <row r="76" s="7" customFormat="1" spans="1:15">
      <c r="A76" s="7" t="s">
        <v>164</v>
      </c>
      <c r="B76" s="7" t="s">
        <v>165</v>
      </c>
      <c r="C76" s="7" t="s">
        <v>172</v>
      </c>
      <c r="D76" s="7" t="s">
        <v>173</v>
      </c>
      <c r="E76" s="7" t="s">
        <v>292</v>
      </c>
      <c r="F76" s="7" t="s">
        <v>293</v>
      </c>
      <c r="I76" s="7" t="s">
        <v>242</v>
      </c>
      <c r="J76" s="7" t="s">
        <v>243</v>
      </c>
      <c r="K76" s="11">
        <v>0</v>
      </c>
      <c r="L76" s="11">
        <v>0</v>
      </c>
      <c r="M76" s="11">
        <v>-57547.16</v>
      </c>
      <c r="N76" s="11">
        <v>-57547.16</v>
      </c>
      <c r="O76" s="7" t="s">
        <v>26</v>
      </c>
    </row>
    <row r="77" s="7" customFormat="1" spans="1:15">
      <c r="A77" s="7" t="s">
        <v>164</v>
      </c>
      <c r="B77" s="7" t="s">
        <v>165</v>
      </c>
      <c r="C77" s="7" t="s">
        <v>182</v>
      </c>
      <c r="D77" s="7" t="s">
        <v>183</v>
      </c>
      <c r="E77" s="7" t="s">
        <v>292</v>
      </c>
      <c r="F77" s="7" t="s">
        <v>293</v>
      </c>
      <c r="I77" s="7" t="s">
        <v>242</v>
      </c>
      <c r="J77" s="7" t="s">
        <v>243</v>
      </c>
      <c r="K77" s="11">
        <v>0</v>
      </c>
      <c r="L77" s="11">
        <v>0</v>
      </c>
      <c r="M77" s="11">
        <v>-54716.97</v>
      </c>
      <c r="N77" s="11">
        <v>-54716.97</v>
      </c>
      <c r="O77" s="7" t="s">
        <v>26</v>
      </c>
    </row>
    <row r="78" s="7" customFormat="1" spans="1:15">
      <c r="A78" s="7" t="s">
        <v>164</v>
      </c>
      <c r="B78" s="7" t="s">
        <v>165</v>
      </c>
      <c r="C78" s="7" t="s">
        <v>182</v>
      </c>
      <c r="D78" s="7" t="s">
        <v>183</v>
      </c>
      <c r="E78" s="7" t="s">
        <v>294</v>
      </c>
      <c r="F78" s="7" t="s">
        <v>295</v>
      </c>
      <c r="I78" s="7" t="s">
        <v>246</v>
      </c>
      <c r="J78" s="7" t="s">
        <v>247</v>
      </c>
      <c r="K78" s="11">
        <v>0</v>
      </c>
      <c r="L78" s="11">
        <v>18301.89</v>
      </c>
      <c r="M78" s="11">
        <v>-54905.67</v>
      </c>
      <c r="N78" s="11">
        <v>-36603.78</v>
      </c>
      <c r="O78" s="7" t="s">
        <v>26</v>
      </c>
    </row>
    <row r="79" s="7" customFormat="1" spans="1:15">
      <c r="A79" s="7" t="s">
        <v>164</v>
      </c>
      <c r="B79" s="7" t="s">
        <v>165</v>
      </c>
      <c r="C79" s="7" t="s">
        <v>172</v>
      </c>
      <c r="D79" s="7" t="s">
        <v>173</v>
      </c>
      <c r="E79" s="7" t="s">
        <v>296</v>
      </c>
      <c r="F79" s="7" t="s">
        <v>297</v>
      </c>
      <c r="I79" s="7" t="s">
        <v>232</v>
      </c>
      <c r="J79" s="7" t="s">
        <v>233</v>
      </c>
      <c r="K79" s="11">
        <v>-113207.55</v>
      </c>
      <c r="L79" s="11">
        <v>355121.82</v>
      </c>
      <c r="M79" s="11">
        <v>-582379.27</v>
      </c>
      <c r="N79" s="11">
        <v>-340465</v>
      </c>
      <c r="O79" s="7" t="s">
        <v>26</v>
      </c>
    </row>
    <row r="80" s="7" customFormat="1" spans="1:15">
      <c r="A80" s="7" t="s">
        <v>164</v>
      </c>
      <c r="B80" s="7" t="s">
        <v>165</v>
      </c>
      <c r="C80" s="7" t="s">
        <v>172</v>
      </c>
      <c r="D80" s="7" t="s">
        <v>173</v>
      </c>
      <c r="E80" s="7" t="s">
        <v>296</v>
      </c>
      <c r="F80" s="7" t="s">
        <v>297</v>
      </c>
      <c r="I80" s="7" t="s">
        <v>268</v>
      </c>
      <c r="J80" s="7" t="s">
        <v>269</v>
      </c>
      <c r="K80" s="11">
        <v>0</v>
      </c>
      <c r="L80" s="11">
        <v>348527.9</v>
      </c>
      <c r="M80" s="11">
        <v>-454838.31</v>
      </c>
      <c r="N80" s="11">
        <v>-106310.41</v>
      </c>
      <c r="O80" s="7" t="s">
        <v>26</v>
      </c>
    </row>
    <row r="81" s="7" customFormat="1" spans="1:15">
      <c r="A81" s="7" t="s">
        <v>164</v>
      </c>
      <c r="B81" s="7" t="s">
        <v>165</v>
      </c>
      <c r="C81" s="7" t="s">
        <v>298</v>
      </c>
      <c r="D81" s="7" t="s">
        <v>299</v>
      </c>
      <c r="E81" s="7" t="s">
        <v>300</v>
      </c>
      <c r="F81" s="7" t="s">
        <v>301</v>
      </c>
      <c r="I81" s="7" t="s">
        <v>302</v>
      </c>
      <c r="J81" s="7" t="s">
        <v>303</v>
      </c>
      <c r="K81" s="11">
        <v>-14869.6</v>
      </c>
      <c r="L81" s="11">
        <v>14869.6</v>
      </c>
      <c r="M81" s="11">
        <v>0</v>
      </c>
      <c r="N81" s="11">
        <v>0</v>
      </c>
      <c r="O81" s="7" t="s">
        <v>26</v>
      </c>
    </row>
    <row r="82" s="7" customFormat="1" spans="1:15">
      <c r="A82" s="7" t="s">
        <v>164</v>
      </c>
      <c r="B82" s="7" t="s">
        <v>165</v>
      </c>
      <c r="C82" s="7" t="s">
        <v>182</v>
      </c>
      <c r="D82" s="7" t="s">
        <v>183</v>
      </c>
      <c r="E82" s="7" t="s">
        <v>304</v>
      </c>
      <c r="F82" s="7" t="s">
        <v>305</v>
      </c>
      <c r="I82" s="7" t="s">
        <v>246</v>
      </c>
      <c r="J82" s="7" t="s">
        <v>247</v>
      </c>
      <c r="K82" s="11">
        <v>-21913.13</v>
      </c>
      <c r="L82" s="11">
        <v>0</v>
      </c>
      <c r="M82" s="11">
        <v>0</v>
      </c>
      <c r="N82" s="11">
        <v>-21913.13</v>
      </c>
      <c r="O82" s="7" t="s">
        <v>26</v>
      </c>
    </row>
  </sheetData>
  <autoFilter xmlns:etc="http://www.wps.cn/officeDocument/2017/etCustomData" ref="A1:O82" etc:filterBottomFollowUsedRange="0">
    <extLst/>
  </autoFilter>
  <pageMargins left="0.75" right="0.75" top="1" bottom="1" header="0.5" footer="0.5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20"/>
  <sheetViews>
    <sheetView workbookViewId="0">
      <selection activeCell="D18" sqref="D18"/>
    </sheetView>
  </sheetViews>
  <sheetFormatPr defaultColWidth="8.88495575221239" defaultRowHeight="12.75"/>
  <cols>
    <col min="1" max="2" width="11.2212389380531" style="7" customWidth="1"/>
    <col min="3" max="3" width="38.8849557522124" style="7" customWidth="1"/>
    <col min="4" max="4" width="43.8849557522124" style="7" customWidth="1"/>
    <col min="5" max="5" width="17.4424778761062" style="8" customWidth="1"/>
    <col min="6" max="7" width="8.88495575221239" style="7"/>
    <col min="8" max="8" width="14.6637168141593" style="7" customWidth="1"/>
    <col min="9" max="9" width="13.8849557522124" style="7" customWidth="1"/>
    <col min="10" max="16384" width="8.88495575221239" style="7"/>
  </cols>
  <sheetData>
    <row r="1" s="7" customFormat="1" spans="1:9">
      <c r="A1" s="7" t="s">
        <v>306</v>
      </c>
      <c r="B1" s="9" t="s">
        <v>307</v>
      </c>
      <c r="C1" s="7" t="s">
        <v>159</v>
      </c>
      <c r="D1" s="7" t="s">
        <v>157</v>
      </c>
      <c r="E1" s="8" t="s">
        <v>308</v>
      </c>
    </row>
    <row r="2" s="7" customFormat="1" spans="1:9">
      <c r="A2" s="7" t="s">
        <v>26</v>
      </c>
      <c r="B2" s="7" t="str">
        <f t="shared" ref="B2:B19" si="0">A2</f>
        <v>其他应付款</v>
      </c>
      <c r="C2" s="7" t="s">
        <v>233</v>
      </c>
      <c r="D2" s="7" t="s">
        <v>309</v>
      </c>
      <c r="E2" s="8">
        <v>-340465</v>
      </c>
      <c r="G2" s="9" t="s">
        <v>15</v>
      </c>
      <c r="H2" s="8">
        <f t="shared" ref="H2:H7" si="1">SUMIFS(E:E,B:B,G2)</f>
        <v>908206.67</v>
      </c>
      <c r="I2" s="8">
        <f>H2</f>
        <v>908206.67</v>
      </c>
    </row>
    <row r="3" s="7" customFormat="1" spans="1:9">
      <c r="A3" s="7" t="s">
        <v>26</v>
      </c>
      <c r="B3" s="7" t="str">
        <f t="shared" si="0"/>
        <v>其他应付款</v>
      </c>
      <c r="C3" s="7" t="s">
        <v>247</v>
      </c>
      <c r="D3" s="7" t="s">
        <v>309</v>
      </c>
      <c r="E3" s="8">
        <v>-150363.47</v>
      </c>
      <c r="G3" s="9" t="s">
        <v>19</v>
      </c>
      <c r="H3" s="8">
        <f t="shared" si="1"/>
        <v>0</v>
      </c>
      <c r="I3" s="8">
        <f>H3</f>
        <v>0</v>
      </c>
    </row>
    <row r="4" s="7" customFormat="1" spans="1:9">
      <c r="A4" s="7" t="s">
        <v>26</v>
      </c>
      <c r="B4" s="7" t="str">
        <f t="shared" si="0"/>
        <v>其他应付款</v>
      </c>
      <c r="C4" s="7" t="s">
        <v>243</v>
      </c>
      <c r="D4" s="7" t="s">
        <v>309</v>
      </c>
      <c r="E4" s="8">
        <v>-112264.13</v>
      </c>
      <c r="G4" s="9" t="s">
        <v>21</v>
      </c>
      <c r="H4" s="8">
        <f t="shared" si="1"/>
        <v>81886.46</v>
      </c>
      <c r="I4" s="8">
        <f>H4</f>
        <v>81886.46</v>
      </c>
    </row>
    <row r="5" s="7" customFormat="1" spans="1:9">
      <c r="A5" s="7" t="s">
        <v>26</v>
      </c>
      <c r="B5" s="7" t="str">
        <f t="shared" si="0"/>
        <v>其他应付款</v>
      </c>
      <c r="C5" s="7" t="s">
        <v>269</v>
      </c>
      <c r="D5" s="7" t="s">
        <v>309</v>
      </c>
      <c r="E5" s="8">
        <v>-106310.41</v>
      </c>
      <c r="G5" s="9" t="s">
        <v>16</v>
      </c>
      <c r="H5" s="8">
        <f t="shared" si="1"/>
        <v>-1260096.12</v>
      </c>
      <c r="I5" s="8">
        <f t="shared" ref="I5:I7" si="2">-H5</f>
        <v>1260096.12</v>
      </c>
    </row>
    <row r="6" s="7" customFormat="1" spans="1:9">
      <c r="A6" s="7" t="s">
        <v>21</v>
      </c>
      <c r="B6" s="7" t="str">
        <f t="shared" si="0"/>
        <v>其他应收款</v>
      </c>
      <c r="C6" s="7" t="s">
        <v>309</v>
      </c>
      <c r="D6" s="7" t="s">
        <v>219</v>
      </c>
      <c r="E6" s="8">
        <v>500</v>
      </c>
      <c r="G6" s="9" t="s">
        <v>18</v>
      </c>
      <c r="H6" s="8">
        <f t="shared" si="1"/>
        <v>-12790.19</v>
      </c>
      <c r="I6" s="8">
        <f t="shared" si="2"/>
        <v>12790.19</v>
      </c>
    </row>
    <row r="7" s="7" customFormat="1" spans="1:9">
      <c r="A7" s="7" t="s">
        <v>21</v>
      </c>
      <c r="B7" s="7" t="str">
        <f t="shared" si="0"/>
        <v>其他应收款</v>
      </c>
      <c r="C7" s="7" t="s">
        <v>309</v>
      </c>
      <c r="D7" s="7" t="s">
        <v>231</v>
      </c>
      <c r="E7" s="8">
        <v>2838.19</v>
      </c>
      <c r="G7" s="9" t="s">
        <v>26</v>
      </c>
      <c r="H7" s="8">
        <f t="shared" si="1"/>
        <v>-709403.01</v>
      </c>
      <c r="I7" s="8">
        <f t="shared" si="2"/>
        <v>709403.01</v>
      </c>
    </row>
    <row r="8" s="7" customFormat="1" spans="1:9">
      <c r="A8" s="7" t="s">
        <v>21</v>
      </c>
      <c r="B8" s="7" t="str">
        <f t="shared" si="0"/>
        <v>其他应收款</v>
      </c>
      <c r="C8" s="7" t="s">
        <v>309</v>
      </c>
      <c r="D8" s="7" t="s">
        <v>185</v>
      </c>
      <c r="E8" s="8">
        <v>11548.27</v>
      </c>
      <c r="G8" s="9" t="s">
        <v>310</v>
      </c>
      <c r="H8" s="8">
        <f>SUM(H2:H7)</f>
        <v>-992196.19</v>
      </c>
      <c r="I8" s="8"/>
    </row>
    <row r="9" s="7" customFormat="1" spans="1:9">
      <c r="A9" s="7" t="s">
        <v>21</v>
      </c>
      <c r="B9" s="7" t="str">
        <f t="shared" si="0"/>
        <v>其他应收款</v>
      </c>
      <c r="C9" s="7" t="s">
        <v>309</v>
      </c>
      <c r="D9" s="7" t="s">
        <v>195</v>
      </c>
      <c r="E9" s="8">
        <v>5000</v>
      </c>
    </row>
    <row r="10" s="7" customFormat="1" spans="1:9">
      <c r="A10" s="7" t="s">
        <v>21</v>
      </c>
      <c r="B10" s="7" t="str">
        <f t="shared" si="0"/>
        <v>其他应收款</v>
      </c>
      <c r="C10" s="7" t="s">
        <v>309</v>
      </c>
      <c r="D10" s="7" t="s">
        <v>191</v>
      </c>
      <c r="E10" s="8">
        <v>50000</v>
      </c>
    </row>
    <row r="11" s="7" customFormat="1" spans="1:9">
      <c r="A11" s="7" t="s">
        <v>21</v>
      </c>
      <c r="B11" s="7" t="str">
        <f t="shared" si="0"/>
        <v>其他应收款</v>
      </c>
      <c r="C11" s="7" t="s">
        <v>309</v>
      </c>
      <c r="D11" s="7" t="s">
        <v>227</v>
      </c>
      <c r="E11" s="8">
        <v>2000</v>
      </c>
    </row>
    <row r="12" s="7" customFormat="1" spans="1:9">
      <c r="A12" s="7" t="s">
        <v>21</v>
      </c>
      <c r="B12" s="7" t="str">
        <f t="shared" si="0"/>
        <v>其他应收款</v>
      </c>
      <c r="C12" s="7" t="s">
        <v>309</v>
      </c>
      <c r="D12" s="7" t="s">
        <v>223</v>
      </c>
      <c r="E12" s="8">
        <v>10000</v>
      </c>
    </row>
    <row r="13" s="7" customFormat="1" spans="1:9">
      <c r="A13" s="7" t="s">
        <v>16</v>
      </c>
      <c r="B13" s="7" t="str">
        <f t="shared" si="0"/>
        <v>应付账款</v>
      </c>
      <c r="C13" s="7" t="s">
        <v>247</v>
      </c>
      <c r="D13" s="7" t="s">
        <v>309</v>
      </c>
      <c r="E13" s="8">
        <v>-633415.04</v>
      </c>
    </row>
    <row r="14" s="7" customFormat="1" spans="1:9">
      <c r="A14" s="7" t="s">
        <v>16</v>
      </c>
      <c r="B14" s="7" t="str">
        <f t="shared" si="0"/>
        <v>应付账款</v>
      </c>
      <c r="C14" s="7" t="s">
        <v>231</v>
      </c>
      <c r="D14" s="7" t="s">
        <v>309</v>
      </c>
      <c r="E14" s="8">
        <v>-50141.39</v>
      </c>
    </row>
    <row r="15" s="7" customFormat="1" spans="1:9">
      <c r="A15" s="7" t="s">
        <v>16</v>
      </c>
      <c r="B15" s="7" t="str">
        <f t="shared" si="0"/>
        <v>应付账款</v>
      </c>
      <c r="C15" s="7" t="s">
        <v>283</v>
      </c>
      <c r="D15" s="7" t="s">
        <v>309</v>
      </c>
      <c r="E15" s="8">
        <v>-490297.08</v>
      </c>
    </row>
    <row r="16" s="7" customFormat="1" spans="1:9">
      <c r="A16" s="7" t="s">
        <v>16</v>
      </c>
      <c r="B16" s="7" t="str">
        <f t="shared" si="0"/>
        <v>应付账款</v>
      </c>
      <c r="C16" s="7" t="s">
        <v>199</v>
      </c>
      <c r="D16" s="7" t="s">
        <v>309</v>
      </c>
      <c r="E16" s="8">
        <v>-86242.61</v>
      </c>
    </row>
    <row r="17" s="7" customFormat="1" spans="1:5">
      <c r="A17" s="7" t="s">
        <v>15</v>
      </c>
      <c r="B17" s="7" t="str">
        <f t="shared" si="0"/>
        <v>应收账款</v>
      </c>
      <c r="C17" s="7" t="s">
        <v>309</v>
      </c>
      <c r="D17" s="7" t="s">
        <v>191</v>
      </c>
      <c r="E17" s="8">
        <v>10.01</v>
      </c>
    </row>
    <row r="18" s="7" customFormat="1" spans="1:5">
      <c r="A18" s="7" t="s">
        <v>15</v>
      </c>
      <c r="B18" s="7" t="str">
        <f t="shared" si="0"/>
        <v>应收账款</v>
      </c>
      <c r="C18" s="7" t="s">
        <v>309</v>
      </c>
      <c r="D18" s="7" t="s">
        <v>175</v>
      </c>
      <c r="E18" s="8">
        <v>7090.15</v>
      </c>
    </row>
    <row r="19" s="7" customFormat="1" spans="1:5">
      <c r="A19" s="7" t="s">
        <v>15</v>
      </c>
      <c r="B19" s="7" t="str">
        <f t="shared" si="0"/>
        <v>应收账款</v>
      </c>
      <c r="C19" s="7" t="s">
        <v>309</v>
      </c>
      <c r="D19" s="7" t="s">
        <v>199</v>
      </c>
      <c r="E19" s="8">
        <v>901106.51</v>
      </c>
    </row>
    <row r="20" s="7" customFormat="1" spans="1:5">
      <c r="A20" s="7" t="s">
        <v>15</v>
      </c>
      <c r="B20" s="9" t="s">
        <v>18</v>
      </c>
      <c r="C20" s="7" t="s">
        <v>309</v>
      </c>
      <c r="D20" s="7" t="s">
        <v>205</v>
      </c>
      <c r="E20" s="8">
        <v>-12790.19</v>
      </c>
    </row>
  </sheetData>
  <pageMargins left="0.75" right="0.75" top="1" bottom="1" header="0.5" footer="0.5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6:AJ1048576"/>
  <sheetViews>
    <sheetView tabSelected="1" workbookViewId="0">
      <selection activeCell="I15" sqref="I15"/>
    </sheetView>
  </sheetViews>
  <sheetFormatPr defaultColWidth="9.02654867256637" defaultRowHeight="13.5"/>
  <cols>
    <col min="1" max="16384" width="9.02654867256637" style="1"/>
  </cols>
  <sheetData>
    <row r="6" s="1" customFormat="1" spans="1:36">
      <c r="A6" s="2" t="s">
        <v>311</v>
      </c>
      <c r="B6" s="2" t="s">
        <v>312</v>
      </c>
      <c r="C6" s="2" t="s">
        <v>313</v>
      </c>
      <c r="D6" s="2" t="s">
        <v>314</v>
      </c>
      <c r="E6" s="2" t="s">
        <v>315</v>
      </c>
      <c r="F6" s="2" t="s">
        <v>316</v>
      </c>
      <c r="G6" s="2" t="s">
        <v>317</v>
      </c>
      <c r="H6" s="2" t="s">
        <v>318</v>
      </c>
      <c r="I6" s="2" t="s">
        <v>319</v>
      </c>
      <c r="J6" s="2" t="s">
        <v>320</v>
      </c>
      <c r="K6" s="2" t="s">
        <v>321</v>
      </c>
      <c r="L6" s="2" t="s">
        <v>322</v>
      </c>
      <c r="M6" s="2" t="s">
        <v>323</v>
      </c>
      <c r="N6" s="2" t="s">
        <v>324</v>
      </c>
      <c r="O6" s="2" t="s">
        <v>325</v>
      </c>
      <c r="P6" s="2" t="s">
        <v>326</v>
      </c>
      <c r="Q6" s="2" t="s">
        <v>327</v>
      </c>
      <c r="R6" s="2" t="s">
        <v>328</v>
      </c>
      <c r="S6" s="2" t="s">
        <v>329</v>
      </c>
      <c r="T6" s="2" t="s">
        <v>330</v>
      </c>
      <c r="U6" s="2" t="s">
        <v>331</v>
      </c>
      <c r="V6" s="2" t="s">
        <v>332</v>
      </c>
      <c r="W6" s="2" t="s">
        <v>333</v>
      </c>
      <c r="X6" s="2" t="s">
        <v>334</v>
      </c>
      <c r="Y6" s="2" t="s">
        <v>335</v>
      </c>
      <c r="Z6" s="2" t="s">
        <v>336</v>
      </c>
      <c r="AA6" s="2" t="s">
        <v>337</v>
      </c>
      <c r="AB6" s="2" t="s">
        <v>338</v>
      </c>
      <c r="AC6" s="2" t="s">
        <v>339</v>
      </c>
      <c r="AD6" s="2" t="s">
        <v>340</v>
      </c>
      <c r="AE6" s="2" t="s">
        <v>341</v>
      </c>
      <c r="AF6" s="2" t="s">
        <v>342</v>
      </c>
      <c r="AG6" s="2" t="s">
        <v>343</v>
      </c>
      <c r="AH6" s="2" t="s">
        <v>344</v>
      </c>
      <c r="AI6" s="2" t="s">
        <v>345</v>
      </c>
      <c r="AJ6" s="2" t="s">
        <v>346</v>
      </c>
    </row>
    <row r="7" s="1" customFormat="1" spans="1:36">
      <c r="A7" s="3" t="s">
        <v>347</v>
      </c>
      <c r="B7" s="3" t="s">
        <v>165</v>
      </c>
      <c r="C7" s="3" t="s">
        <v>348</v>
      </c>
      <c r="D7" s="3" t="s">
        <v>349</v>
      </c>
      <c r="E7" s="3" t="s">
        <v>350</v>
      </c>
      <c r="F7" s="3" t="s">
        <v>349</v>
      </c>
      <c r="G7" s="3" t="s">
        <v>351</v>
      </c>
      <c r="H7" s="4">
        <v>4531</v>
      </c>
      <c r="I7" s="4"/>
      <c r="J7" s="4">
        <v>1001218.79</v>
      </c>
      <c r="K7" s="3" t="s">
        <v>352</v>
      </c>
      <c r="L7" s="3" t="s">
        <v>353</v>
      </c>
      <c r="M7" s="3" t="s">
        <v>354</v>
      </c>
      <c r="N7" s="3" t="s">
        <v>355</v>
      </c>
      <c r="O7" s="3"/>
      <c r="P7" s="3" t="s">
        <v>356</v>
      </c>
      <c r="Q7" s="3"/>
      <c r="R7" s="3"/>
      <c r="S7" s="3"/>
      <c r="T7" s="3" t="s">
        <v>357</v>
      </c>
      <c r="U7" s="3" t="s">
        <v>358</v>
      </c>
      <c r="V7" s="3"/>
      <c r="W7" s="3" t="s">
        <v>359</v>
      </c>
      <c r="X7" s="3" t="s">
        <v>360</v>
      </c>
      <c r="Y7" s="3"/>
      <c r="Z7" s="3"/>
      <c r="AA7" s="3"/>
    </row>
    <row r="8" s="1" customFormat="1" spans="1:36">
      <c r="A8" s="5" t="s">
        <v>347</v>
      </c>
      <c r="B8" s="5" t="s">
        <v>165</v>
      </c>
      <c r="C8" s="5" t="s">
        <v>348</v>
      </c>
      <c r="D8" s="5" t="s">
        <v>349</v>
      </c>
      <c r="E8" s="5" t="s">
        <v>350</v>
      </c>
      <c r="F8" s="5" t="s">
        <v>349</v>
      </c>
      <c r="G8" s="5" t="s">
        <v>351</v>
      </c>
      <c r="H8" s="6">
        <v>50</v>
      </c>
      <c r="I8" s="6"/>
      <c r="J8" s="6">
        <v>1001168.79</v>
      </c>
      <c r="K8" s="5" t="s">
        <v>361</v>
      </c>
      <c r="L8" s="5" t="s">
        <v>362</v>
      </c>
      <c r="M8" s="5" t="s">
        <v>363</v>
      </c>
      <c r="N8" s="5" t="s">
        <v>355</v>
      </c>
      <c r="O8" s="5"/>
      <c r="P8" s="5" t="s">
        <v>364</v>
      </c>
      <c r="Q8" s="5"/>
      <c r="R8" s="5"/>
      <c r="S8" s="5"/>
      <c r="T8" s="5" t="s">
        <v>365</v>
      </c>
      <c r="U8" s="5" t="s">
        <v>366</v>
      </c>
      <c r="V8" s="5"/>
      <c r="W8" s="5" t="s">
        <v>367</v>
      </c>
      <c r="X8" s="5" t="s">
        <v>368</v>
      </c>
      <c r="Y8" s="5"/>
      <c r="Z8" s="5"/>
      <c r="AA8" s="5"/>
    </row>
    <row r="9" s="1" customFormat="1" spans="1:36">
      <c r="A9" s="3" t="s">
        <v>347</v>
      </c>
      <c r="B9" s="3" t="s">
        <v>165</v>
      </c>
      <c r="C9" s="3" t="s">
        <v>348</v>
      </c>
      <c r="D9" s="3" t="s">
        <v>349</v>
      </c>
      <c r="E9" s="3" t="s">
        <v>350</v>
      </c>
      <c r="F9" s="3" t="s">
        <v>349</v>
      </c>
      <c r="G9" s="3" t="s">
        <v>351</v>
      </c>
      <c r="H9" s="4">
        <v>157604.62</v>
      </c>
      <c r="I9" s="4"/>
      <c r="J9" s="4">
        <v>843564.17</v>
      </c>
      <c r="K9" s="3" t="s">
        <v>369</v>
      </c>
      <c r="L9" s="3" t="s">
        <v>370</v>
      </c>
      <c r="M9" s="3" t="s">
        <v>371</v>
      </c>
      <c r="N9" s="3" t="s">
        <v>355</v>
      </c>
      <c r="O9" s="3"/>
      <c r="P9" s="3" t="s">
        <v>372</v>
      </c>
      <c r="Q9" s="3"/>
      <c r="R9" s="3"/>
      <c r="S9" s="3"/>
      <c r="T9" s="3" t="s">
        <v>247</v>
      </c>
      <c r="U9" s="3" t="s">
        <v>373</v>
      </c>
      <c r="V9" s="3"/>
      <c r="W9" s="3" t="s">
        <v>374</v>
      </c>
      <c r="X9" s="3" t="s">
        <v>375</v>
      </c>
      <c r="Y9" s="3"/>
      <c r="Z9" s="3"/>
      <c r="AA9" s="3"/>
    </row>
    <row r="10" s="1" customFormat="1" spans="1:36">
      <c r="A10" s="5" t="s">
        <v>347</v>
      </c>
      <c r="B10" s="5" t="s">
        <v>165</v>
      </c>
      <c r="C10" s="5" t="s">
        <v>348</v>
      </c>
      <c r="D10" s="5" t="s">
        <v>349</v>
      </c>
      <c r="E10" s="5" t="s">
        <v>350</v>
      </c>
      <c r="F10" s="5" t="s">
        <v>349</v>
      </c>
      <c r="G10" s="5" t="s">
        <v>351</v>
      </c>
      <c r="H10" s="6">
        <v>37357.35</v>
      </c>
      <c r="I10" s="6"/>
      <c r="J10" s="6">
        <v>806206.82</v>
      </c>
      <c r="K10" s="5" t="s">
        <v>376</v>
      </c>
      <c r="L10" s="5" t="s">
        <v>377</v>
      </c>
      <c r="M10" s="5" t="s">
        <v>378</v>
      </c>
      <c r="N10" s="5" t="s">
        <v>355</v>
      </c>
      <c r="O10" s="5"/>
      <c r="P10" s="5" t="s">
        <v>379</v>
      </c>
      <c r="Q10" s="5"/>
      <c r="R10" s="5"/>
      <c r="S10" s="5"/>
      <c r="T10" s="5" t="s">
        <v>243</v>
      </c>
      <c r="U10" s="5" t="s">
        <v>380</v>
      </c>
      <c r="V10" s="5"/>
      <c r="W10" s="5" t="s">
        <v>381</v>
      </c>
      <c r="X10" s="5" t="s">
        <v>375</v>
      </c>
      <c r="Y10" s="5"/>
      <c r="Z10" s="5"/>
      <c r="AA10" s="5"/>
    </row>
    <row r="11" s="1" customFormat="1" spans="1:36">
      <c r="A11" s="3" t="s">
        <v>347</v>
      </c>
      <c r="B11" s="3" t="s">
        <v>165</v>
      </c>
      <c r="C11" s="3" t="s">
        <v>348</v>
      </c>
      <c r="D11" s="3" t="s">
        <v>349</v>
      </c>
      <c r="E11" s="3" t="s">
        <v>350</v>
      </c>
      <c r="F11" s="3" t="s">
        <v>349</v>
      </c>
      <c r="G11" s="3" t="s">
        <v>351</v>
      </c>
      <c r="H11" s="4">
        <v>36000</v>
      </c>
      <c r="I11" s="4"/>
      <c r="J11" s="4">
        <v>770206.82</v>
      </c>
      <c r="K11" s="3" t="s">
        <v>376</v>
      </c>
      <c r="L11" s="3" t="s">
        <v>382</v>
      </c>
      <c r="M11" s="3" t="s">
        <v>383</v>
      </c>
      <c r="N11" s="3" t="s">
        <v>355</v>
      </c>
      <c r="O11" s="3"/>
      <c r="P11" s="3" t="s">
        <v>384</v>
      </c>
      <c r="Q11" s="3"/>
      <c r="R11" s="3"/>
      <c r="S11" s="3"/>
      <c r="T11" s="3" t="s">
        <v>283</v>
      </c>
      <c r="U11" s="3" t="s">
        <v>385</v>
      </c>
      <c r="V11" s="3"/>
      <c r="W11" s="3" t="s">
        <v>386</v>
      </c>
      <c r="X11" s="3" t="s">
        <v>387</v>
      </c>
      <c r="Y11" s="3"/>
      <c r="Z11" s="3"/>
      <c r="AA11" s="3"/>
    </row>
    <row r="12" s="1" customFormat="1" spans="1:36">
      <c r="A12" s="5" t="s">
        <v>347</v>
      </c>
      <c r="B12" s="5" t="s">
        <v>165</v>
      </c>
      <c r="C12" s="5" t="s">
        <v>348</v>
      </c>
      <c r="D12" s="5" t="s">
        <v>388</v>
      </c>
      <c r="E12" s="5" t="s">
        <v>389</v>
      </c>
      <c r="F12" s="5" t="s">
        <v>388</v>
      </c>
      <c r="G12" s="5" t="s">
        <v>390</v>
      </c>
      <c r="H12" s="6">
        <v>99.91</v>
      </c>
      <c r="I12" s="6"/>
      <c r="J12" s="6">
        <v>770106.91</v>
      </c>
      <c r="K12" s="5" t="s">
        <v>391</v>
      </c>
      <c r="L12" s="5" t="s">
        <v>392</v>
      </c>
      <c r="M12" s="5"/>
      <c r="N12" s="5"/>
      <c r="O12" s="5"/>
      <c r="P12" s="5"/>
      <c r="Q12" s="5"/>
      <c r="R12" s="5"/>
      <c r="S12" s="5"/>
      <c r="T12" s="5" t="s">
        <v>393</v>
      </c>
      <c r="U12" s="5" t="s">
        <v>394</v>
      </c>
      <c r="V12" s="5"/>
      <c r="W12" s="5"/>
      <c r="X12" s="5"/>
      <c r="Y12" s="5"/>
      <c r="Z12" s="5"/>
      <c r="AA12" s="5"/>
    </row>
    <row r="13" s="1" customFormat="1" spans="1:36">
      <c r="A13" s="3" t="s">
        <v>347</v>
      </c>
      <c r="B13" s="3" t="s">
        <v>165</v>
      </c>
      <c r="C13" s="3" t="s">
        <v>348</v>
      </c>
      <c r="D13" s="3" t="s">
        <v>388</v>
      </c>
      <c r="E13" s="3" t="s">
        <v>395</v>
      </c>
      <c r="F13" s="3" t="s">
        <v>388</v>
      </c>
      <c r="G13" s="3" t="s">
        <v>390</v>
      </c>
      <c r="H13" s="4">
        <v>14.25</v>
      </c>
      <c r="I13" s="4"/>
      <c r="J13" s="4">
        <v>770092.66</v>
      </c>
      <c r="K13" s="3" t="s">
        <v>396</v>
      </c>
      <c r="L13" s="3" t="s">
        <v>397</v>
      </c>
      <c r="M13" s="3"/>
      <c r="N13" s="3"/>
      <c r="O13" s="3"/>
      <c r="P13" s="3"/>
      <c r="Q13" s="3"/>
      <c r="R13" s="3"/>
      <c r="S13" s="3"/>
      <c r="T13" s="3" t="s">
        <v>393</v>
      </c>
      <c r="U13" s="3" t="s">
        <v>394</v>
      </c>
      <c r="V13" s="3"/>
      <c r="W13" s="3"/>
      <c r="X13" s="3"/>
      <c r="Y13" s="3"/>
      <c r="Z13" s="3"/>
      <c r="AA13" s="3"/>
    </row>
    <row r="14" s="1" customFormat="1" spans="1:36">
      <c r="A14" s="5" t="s">
        <v>347</v>
      </c>
      <c r="B14" s="5" t="s">
        <v>165</v>
      </c>
      <c r="C14" s="5" t="s">
        <v>348</v>
      </c>
      <c r="D14" s="5" t="s">
        <v>388</v>
      </c>
      <c r="E14" s="5" t="s">
        <v>395</v>
      </c>
      <c r="F14" s="5" t="s">
        <v>388</v>
      </c>
      <c r="G14" s="5" t="s">
        <v>390</v>
      </c>
      <c r="H14" s="6">
        <v>25</v>
      </c>
      <c r="I14" s="6"/>
      <c r="J14" s="6">
        <v>770067.66</v>
      </c>
      <c r="K14" s="5" t="s">
        <v>398</v>
      </c>
      <c r="L14" s="5" t="s">
        <v>399</v>
      </c>
      <c r="M14" s="5"/>
      <c r="N14" s="5"/>
      <c r="O14" s="5"/>
      <c r="P14" s="5"/>
      <c r="Q14" s="5"/>
      <c r="R14" s="5"/>
      <c r="S14" s="5"/>
      <c r="T14" s="5" t="s">
        <v>400</v>
      </c>
      <c r="U14" s="5" t="s">
        <v>401</v>
      </c>
      <c r="V14" s="5"/>
      <c r="W14" s="5"/>
      <c r="X14" s="5"/>
      <c r="Y14" s="5"/>
      <c r="Z14" s="5"/>
      <c r="AA14" s="5"/>
    </row>
    <row r="15" s="1" customFormat="1" spans="1:36">
      <c r="A15" s="3" t="s">
        <v>347</v>
      </c>
      <c r="B15" s="3" t="s">
        <v>165</v>
      </c>
      <c r="C15" s="3" t="s">
        <v>348</v>
      </c>
      <c r="D15" s="3" t="s">
        <v>402</v>
      </c>
      <c r="E15" s="3" t="s">
        <v>403</v>
      </c>
      <c r="F15" s="3" t="s">
        <v>402</v>
      </c>
      <c r="G15" s="3" t="s">
        <v>404</v>
      </c>
      <c r="H15" s="4"/>
      <c r="I15" s="4">
        <v>240</v>
      </c>
      <c r="J15" s="4">
        <v>770307.66</v>
      </c>
      <c r="K15" s="3" t="s">
        <v>405</v>
      </c>
      <c r="L15" s="3" t="s">
        <v>406</v>
      </c>
      <c r="M15" s="3" t="s">
        <v>407</v>
      </c>
      <c r="N15" s="3" t="s">
        <v>355</v>
      </c>
      <c r="O15" s="3"/>
      <c r="P15" s="3" t="s">
        <v>408</v>
      </c>
      <c r="Q15" s="3"/>
      <c r="R15" s="3"/>
      <c r="S15" s="3"/>
      <c r="T15" s="3" t="s">
        <v>201</v>
      </c>
      <c r="U15" s="3" t="s">
        <v>409</v>
      </c>
      <c r="V15" s="3"/>
      <c r="W15" s="3" t="s">
        <v>410</v>
      </c>
      <c r="X15" s="3" t="s">
        <v>387</v>
      </c>
      <c r="Y15" s="3"/>
      <c r="Z15" s="3"/>
      <c r="AA15" s="3"/>
    </row>
    <row r="16" s="1" customFormat="1" spans="1:36">
      <c r="A16" s="5" t="s">
        <v>347</v>
      </c>
      <c r="B16" s="5" t="s">
        <v>165</v>
      </c>
      <c r="C16" s="5" t="s">
        <v>348</v>
      </c>
      <c r="D16" s="5" t="s">
        <v>411</v>
      </c>
      <c r="E16" s="5" t="s">
        <v>412</v>
      </c>
      <c r="F16" s="5" t="s">
        <v>411</v>
      </c>
      <c r="G16" s="5" t="s">
        <v>413</v>
      </c>
      <c r="H16" s="6"/>
      <c r="I16" s="6">
        <v>100000</v>
      </c>
      <c r="J16" s="6">
        <v>870307.66</v>
      </c>
      <c r="K16" s="5" t="s">
        <v>414</v>
      </c>
      <c r="L16" s="5" t="s">
        <v>415</v>
      </c>
      <c r="M16" s="5"/>
      <c r="N16" s="5"/>
      <c r="O16" s="5"/>
      <c r="P16" s="5"/>
      <c r="Q16" s="5"/>
      <c r="R16" s="5"/>
      <c r="S16" s="5"/>
      <c r="T16" s="5" t="s">
        <v>416</v>
      </c>
      <c r="U16" s="5" t="s">
        <v>417</v>
      </c>
      <c r="V16" s="5"/>
      <c r="W16" s="5" t="s">
        <v>418</v>
      </c>
      <c r="X16" s="5"/>
      <c r="Y16" s="5"/>
      <c r="Z16" s="5"/>
      <c r="AA16" s="5"/>
    </row>
    <row r="17" s="1" customFormat="1" spans="1:27">
      <c r="A17" s="3" t="s">
        <v>347</v>
      </c>
      <c r="B17" s="3" t="s">
        <v>165</v>
      </c>
      <c r="C17" s="3" t="s">
        <v>348</v>
      </c>
      <c r="D17" s="3" t="s">
        <v>411</v>
      </c>
      <c r="E17" s="3" t="s">
        <v>419</v>
      </c>
      <c r="F17" s="3" t="s">
        <v>411</v>
      </c>
      <c r="G17" s="3" t="s">
        <v>420</v>
      </c>
      <c r="H17" s="4"/>
      <c r="I17" s="4">
        <v>260000</v>
      </c>
      <c r="J17" s="4">
        <v>1130307.66</v>
      </c>
      <c r="K17" s="3" t="s">
        <v>421</v>
      </c>
      <c r="L17" s="3" t="s">
        <v>422</v>
      </c>
      <c r="M17" s="3"/>
      <c r="N17" s="3"/>
      <c r="O17" s="3"/>
      <c r="P17" s="3"/>
      <c r="Q17" s="3"/>
      <c r="R17" s="3"/>
      <c r="S17" s="3"/>
      <c r="T17" s="3" t="s">
        <v>423</v>
      </c>
      <c r="U17" s="3" t="s">
        <v>424</v>
      </c>
      <c r="V17" s="3"/>
      <c r="W17" s="3" t="s">
        <v>425</v>
      </c>
      <c r="X17" s="3"/>
      <c r="Y17" s="3"/>
      <c r="Z17" s="3"/>
      <c r="AA17" s="3"/>
    </row>
    <row r="18" s="1" customFormat="1" spans="1:27">
      <c r="A18" s="5" t="s">
        <v>347</v>
      </c>
      <c r="B18" s="5" t="s">
        <v>165</v>
      </c>
      <c r="C18" s="5" t="s">
        <v>348</v>
      </c>
      <c r="D18" s="5" t="s">
        <v>411</v>
      </c>
      <c r="E18" s="5" t="s">
        <v>426</v>
      </c>
      <c r="F18" s="5" t="s">
        <v>411</v>
      </c>
      <c r="G18" s="5" t="s">
        <v>404</v>
      </c>
      <c r="H18" s="6"/>
      <c r="I18" s="6">
        <v>2107.35</v>
      </c>
      <c r="J18" s="6">
        <v>1132415.01</v>
      </c>
      <c r="K18" s="5" t="s">
        <v>427</v>
      </c>
      <c r="L18" s="5" t="s">
        <v>428</v>
      </c>
      <c r="M18" s="5" t="s">
        <v>429</v>
      </c>
      <c r="N18" s="5" t="s">
        <v>355</v>
      </c>
      <c r="O18" s="5"/>
      <c r="P18" s="5" t="s">
        <v>430</v>
      </c>
      <c r="Q18" s="5"/>
      <c r="R18" s="5"/>
      <c r="S18" s="5"/>
      <c r="T18" s="5" t="s">
        <v>201</v>
      </c>
      <c r="U18" s="5" t="s">
        <v>409</v>
      </c>
      <c r="V18" s="5"/>
      <c r="W18" s="5" t="s">
        <v>410</v>
      </c>
      <c r="X18" s="5" t="s">
        <v>387</v>
      </c>
      <c r="Y18" s="5"/>
      <c r="Z18" s="5"/>
      <c r="AA18" s="5"/>
    </row>
    <row r="19" s="1" customFormat="1" spans="1:27">
      <c r="A19" s="3" t="s">
        <v>347</v>
      </c>
      <c r="B19" s="3" t="s">
        <v>165</v>
      </c>
      <c r="C19" s="3" t="s">
        <v>348</v>
      </c>
      <c r="D19" s="3" t="s">
        <v>411</v>
      </c>
      <c r="E19" s="3" t="s">
        <v>431</v>
      </c>
      <c r="F19" s="3" t="s">
        <v>411</v>
      </c>
      <c r="G19" s="3" t="s">
        <v>404</v>
      </c>
      <c r="H19" s="4"/>
      <c r="I19" s="4">
        <v>3676.9</v>
      </c>
      <c r="J19" s="4">
        <v>1136091.91</v>
      </c>
      <c r="K19" s="3" t="s">
        <v>432</v>
      </c>
      <c r="L19" s="3" t="s">
        <v>433</v>
      </c>
      <c r="M19" s="3" t="s">
        <v>434</v>
      </c>
      <c r="N19" s="3" t="s">
        <v>355</v>
      </c>
      <c r="O19" s="3"/>
      <c r="P19" s="3" t="s">
        <v>435</v>
      </c>
      <c r="Q19" s="3"/>
      <c r="R19" s="3"/>
      <c r="S19" s="3"/>
      <c r="T19" s="3" t="s">
        <v>201</v>
      </c>
      <c r="U19" s="3" t="s">
        <v>409</v>
      </c>
      <c r="V19" s="3"/>
      <c r="W19" s="3" t="s">
        <v>410</v>
      </c>
      <c r="X19" s="3" t="s">
        <v>387</v>
      </c>
      <c r="Y19" s="3"/>
      <c r="Z19" s="3"/>
      <c r="AA19" s="3"/>
    </row>
    <row r="20" s="1" customFormat="1" spans="1:27">
      <c r="A20" s="5" t="s">
        <v>347</v>
      </c>
      <c r="B20" s="5" t="s">
        <v>165</v>
      </c>
      <c r="C20" s="5" t="s">
        <v>348</v>
      </c>
      <c r="D20" s="5" t="s">
        <v>436</v>
      </c>
      <c r="E20" s="5" t="s">
        <v>437</v>
      </c>
      <c r="F20" s="5" t="s">
        <v>436</v>
      </c>
      <c r="G20" s="5" t="s">
        <v>438</v>
      </c>
      <c r="H20" s="6"/>
      <c r="I20" s="6">
        <v>0.13</v>
      </c>
      <c r="J20" s="6">
        <v>1136092.04</v>
      </c>
      <c r="K20" s="5" t="s">
        <v>439</v>
      </c>
      <c r="L20" s="5" t="s">
        <v>440</v>
      </c>
      <c r="M20" s="5"/>
      <c r="N20" s="5"/>
      <c r="O20" s="5"/>
      <c r="P20" s="5"/>
      <c r="Q20" s="5"/>
      <c r="R20" s="5"/>
      <c r="S20" s="5"/>
      <c r="T20" s="5" t="s">
        <v>219</v>
      </c>
      <c r="U20" s="5" t="s">
        <v>441</v>
      </c>
      <c r="V20" s="5"/>
      <c r="W20" s="5" t="s">
        <v>442</v>
      </c>
      <c r="X20" s="5"/>
      <c r="Y20" s="5"/>
      <c r="Z20" s="5"/>
      <c r="AA20" s="5"/>
    </row>
    <row r="21" s="1" customFormat="1" spans="1:27">
      <c r="A21" s="3" t="s">
        <v>347</v>
      </c>
      <c r="B21" s="3" t="s">
        <v>165</v>
      </c>
      <c r="C21" s="3" t="s">
        <v>348</v>
      </c>
      <c r="D21" s="3" t="s">
        <v>436</v>
      </c>
      <c r="E21" s="3" t="s">
        <v>443</v>
      </c>
      <c r="F21" s="3" t="s">
        <v>436</v>
      </c>
      <c r="G21" s="3" t="s">
        <v>404</v>
      </c>
      <c r="H21" s="4"/>
      <c r="I21" s="4">
        <v>1396.5</v>
      </c>
      <c r="J21" s="4">
        <v>1137488.54</v>
      </c>
      <c r="K21" s="3" t="s">
        <v>444</v>
      </c>
      <c r="L21" s="3" t="s">
        <v>445</v>
      </c>
      <c r="M21" s="3" t="s">
        <v>446</v>
      </c>
      <c r="N21" s="3" t="s">
        <v>355</v>
      </c>
      <c r="O21" s="3"/>
      <c r="P21" s="3" t="s">
        <v>447</v>
      </c>
      <c r="Q21" s="3"/>
      <c r="R21" s="3"/>
      <c r="S21" s="3"/>
      <c r="T21" s="3" t="s">
        <v>201</v>
      </c>
      <c r="U21" s="3" t="s">
        <v>409</v>
      </c>
      <c r="V21" s="3"/>
      <c r="W21" s="3" t="s">
        <v>410</v>
      </c>
      <c r="X21" s="3" t="s">
        <v>387</v>
      </c>
      <c r="Y21" s="3"/>
      <c r="Z21" s="3"/>
      <c r="AA21" s="3"/>
    </row>
    <row r="22" s="1" customFormat="1" spans="1:27">
      <c r="A22" s="5" t="s">
        <v>347</v>
      </c>
      <c r="B22" s="5" t="s">
        <v>165</v>
      </c>
      <c r="C22" s="5" t="s">
        <v>348</v>
      </c>
      <c r="D22" s="5" t="s">
        <v>448</v>
      </c>
      <c r="E22" s="5" t="s">
        <v>449</v>
      </c>
      <c r="F22" s="5" t="s">
        <v>448</v>
      </c>
      <c r="G22" s="5" t="s">
        <v>450</v>
      </c>
      <c r="H22" s="6">
        <v>70000</v>
      </c>
      <c r="I22" s="6"/>
      <c r="J22" s="6">
        <v>1067488.54</v>
      </c>
      <c r="K22" s="5" t="s">
        <v>451</v>
      </c>
      <c r="L22" s="5" t="s">
        <v>452</v>
      </c>
      <c r="M22" s="5" t="s">
        <v>453</v>
      </c>
      <c r="N22" s="5" t="s">
        <v>454</v>
      </c>
      <c r="O22" s="5"/>
      <c r="P22" s="5" t="s">
        <v>455</v>
      </c>
      <c r="Q22" s="5" t="s">
        <v>451</v>
      </c>
      <c r="R22" s="5"/>
      <c r="S22" s="5"/>
      <c r="T22" s="5" t="s">
        <v>211</v>
      </c>
      <c r="U22" s="5" t="s">
        <v>456</v>
      </c>
      <c r="V22" s="5"/>
      <c r="W22" s="5" t="s">
        <v>416</v>
      </c>
      <c r="X22" s="5"/>
      <c r="Y22" s="5"/>
      <c r="Z22" s="5"/>
      <c r="AA22" s="5"/>
    </row>
    <row r="23" s="1" customFormat="1" spans="1:27">
      <c r="A23" s="3" t="s">
        <v>347</v>
      </c>
      <c r="B23" s="3" t="s">
        <v>165</v>
      </c>
      <c r="C23" s="3" t="s">
        <v>348</v>
      </c>
      <c r="D23" s="3" t="s">
        <v>448</v>
      </c>
      <c r="E23" s="3" t="s">
        <v>457</v>
      </c>
      <c r="F23" s="3" t="s">
        <v>448</v>
      </c>
      <c r="G23" s="3" t="s">
        <v>351</v>
      </c>
      <c r="H23" s="4">
        <v>5850</v>
      </c>
      <c r="I23" s="4"/>
      <c r="J23" s="4">
        <v>1061638.54</v>
      </c>
      <c r="K23" s="3" t="s">
        <v>369</v>
      </c>
      <c r="L23" s="3" t="s">
        <v>458</v>
      </c>
      <c r="M23" s="3" t="s">
        <v>459</v>
      </c>
      <c r="N23" s="3" t="s">
        <v>355</v>
      </c>
      <c r="O23" s="3"/>
      <c r="P23" s="3" t="s">
        <v>460</v>
      </c>
      <c r="Q23" s="3"/>
      <c r="R23" s="3"/>
      <c r="S23" s="3"/>
      <c r="T23" s="3" t="s">
        <v>247</v>
      </c>
      <c r="U23" s="3" t="s">
        <v>373</v>
      </c>
      <c r="V23" s="3"/>
      <c r="W23" s="3" t="s">
        <v>374</v>
      </c>
      <c r="X23" s="3" t="s">
        <v>375</v>
      </c>
      <c r="Y23" s="3"/>
      <c r="Z23" s="3"/>
      <c r="AA23" s="3"/>
    </row>
    <row r="24" s="1" customFormat="1" spans="1:27">
      <c r="A24" s="5" t="s">
        <v>347</v>
      </c>
      <c r="B24" s="5" t="s">
        <v>165</v>
      </c>
      <c r="C24" s="5" t="s">
        <v>348</v>
      </c>
      <c r="D24" s="5" t="s">
        <v>448</v>
      </c>
      <c r="E24" s="5" t="s">
        <v>457</v>
      </c>
      <c r="F24" s="5" t="s">
        <v>448</v>
      </c>
      <c r="G24" s="5" t="s">
        <v>351</v>
      </c>
      <c r="H24" s="6">
        <v>66422.24</v>
      </c>
      <c r="I24" s="6"/>
      <c r="J24" s="6">
        <v>995216.3</v>
      </c>
      <c r="K24" s="5" t="s">
        <v>369</v>
      </c>
      <c r="L24" s="5" t="s">
        <v>461</v>
      </c>
      <c r="M24" s="5" t="s">
        <v>462</v>
      </c>
      <c r="N24" s="5" t="s">
        <v>355</v>
      </c>
      <c r="O24" s="5"/>
      <c r="P24" s="5" t="s">
        <v>463</v>
      </c>
      <c r="Q24" s="5"/>
      <c r="R24" s="5"/>
      <c r="S24" s="5"/>
      <c r="T24" s="5" t="s">
        <v>247</v>
      </c>
      <c r="U24" s="5" t="s">
        <v>373</v>
      </c>
      <c r="V24" s="5"/>
      <c r="W24" s="5" t="s">
        <v>374</v>
      </c>
      <c r="X24" s="5" t="s">
        <v>375</v>
      </c>
      <c r="Y24" s="5"/>
      <c r="Z24" s="5"/>
      <c r="AA24" s="5"/>
    </row>
    <row r="25" s="1" customFormat="1" spans="1:27">
      <c r="A25" s="3" t="s">
        <v>347</v>
      </c>
      <c r="B25" s="3" t="s">
        <v>165</v>
      </c>
      <c r="C25" s="3" t="s">
        <v>348</v>
      </c>
      <c r="D25" s="3" t="s">
        <v>448</v>
      </c>
      <c r="E25" s="3" t="s">
        <v>457</v>
      </c>
      <c r="F25" s="3" t="s">
        <v>448</v>
      </c>
      <c r="G25" s="3" t="s">
        <v>351</v>
      </c>
      <c r="H25" s="4">
        <v>50946</v>
      </c>
      <c r="I25" s="4"/>
      <c r="J25" s="4">
        <v>944270.3</v>
      </c>
      <c r="K25" s="3" t="s">
        <v>369</v>
      </c>
      <c r="L25" s="3" t="s">
        <v>464</v>
      </c>
      <c r="M25" s="3" t="s">
        <v>465</v>
      </c>
      <c r="N25" s="3" t="s">
        <v>355</v>
      </c>
      <c r="O25" s="3"/>
      <c r="P25" s="3" t="s">
        <v>466</v>
      </c>
      <c r="Q25" s="3"/>
      <c r="R25" s="3"/>
      <c r="S25" s="3"/>
      <c r="T25" s="3" t="s">
        <v>247</v>
      </c>
      <c r="U25" s="3" t="s">
        <v>373</v>
      </c>
      <c r="V25" s="3"/>
      <c r="W25" s="3" t="s">
        <v>374</v>
      </c>
      <c r="X25" s="3" t="s">
        <v>375</v>
      </c>
      <c r="Y25" s="3"/>
      <c r="Z25" s="3"/>
      <c r="AA25" s="3"/>
    </row>
    <row r="26" s="1" customFormat="1" spans="1:27">
      <c r="A26" s="5" t="s">
        <v>347</v>
      </c>
      <c r="B26" s="5" t="s">
        <v>165</v>
      </c>
      <c r="C26" s="5" t="s">
        <v>348</v>
      </c>
      <c r="D26" s="5" t="s">
        <v>448</v>
      </c>
      <c r="E26" s="5" t="s">
        <v>457</v>
      </c>
      <c r="F26" s="5" t="s">
        <v>448</v>
      </c>
      <c r="G26" s="5" t="s">
        <v>351</v>
      </c>
      <c r="H26" s="6">
        <v>122355.86</v>
      </c>
      <c r="I26" s="6"/>
      <c r="J26" s="6">
        <v>821914.44</v>
      </c>
      <c r="K26" s="5" t="s">
        <v>376</v>
      </c>
      <c r="L26" s="5" t="s">
        <v>467</v>
      </c>
      <c r="M26" s="5" t="s">
        <v>468</v>
      </c>
      <c r="N26" s="5" t="s">
        <v>355</v>
      </c>
      <c r="O26" s="5"/>
      <c r="P26" s="5" t="s">
        <v>469</v>
      </c>
      <c r="Q26" s="5"/>
      <c r="R26" s="5"/>
      <c r="S26" s="5"/>
      <c r="T26" s="5" t="s">
        <v>233</v>
      </c>
      <c r="U26" s="5" t="s">
        <v>470</v>
      </c>
      <c r="V26" s="5"/>
      <c r="W26" s="5" t="s">
        <v>386</v>
      </c>
      <c r="X26" s="5" t="s">
        <v>471</v>
      </c>
      <c r="Y26" s="5"/>
      <c r="Z26" s="5"/>
      <c r="AA26" s="5"/>
    </row>
    <row r="27" s="1" customFormat="1" spans="1:27">
      <c r="A27" s="3" t="s">
        <v>347</v>
      </c>
      <c r="B27" s="3" t="s">
        <v>165</v>
      </c>
      <c r="C27" s="3" t="s">
        <v>348</v>
      </c>
      <c r="D27" s="3" t="s">
        <v>472</v>
      </c>
      <c r="E27" s="3" t="s">
        <v>473</v>
      </c>
      <c r="F27" s="3" t="s">
        <v>472</v>
      </c>
      <c r="G27" s="3" t="s">
        <v>474</v>
      </c>
      <c r="H27" s="4">
        <v>2139.02</v>
      </c>
      <c r="I27" s="4"/>
      <c r="J27" s="4">
        <v>819775.42</v>
      </c>
      <c r="K27" s="3" t="s">
        <v>475</v>
      </c>
      <c r="L27" s="3" t="s">
        <v>476</v>
      </c>
      <c r="M27" s="3"/>
      <c r="N27" s="3"/>
      <c r="O27" s="3"/>
      <c r="P27" s="3"/>
      <c r="Q27" s="3"/>
      <c r="R27" s="3"/>
      <c r="S27" s="3"/>
      <c r="T27" s="3" t="s">
        <v>477</v>
      </c>
      <c r="U27" s="3" t="s">
        <v>478</v>
      </c>
      <c r="V27" s="3"/>
      <c r="W27" s="3" t="s">
        <v>479</v>
      </c>
      <c r="X27" s="3"/>
      <c r="Y27" s="3"/>
      <c r="Z27" s="3"/>
      <c r="AA27" s="3"/>
    </row>
    <row r="28" s="1" customFormat="1" spans="1:27">
      <c r="A28" s="5" t="s">
        <v>347</v>
      </c>
      <c r="B28" s="5" t="s">
        <v>165</v>
      </c>
      <c r="C28" s="5" t="s">
        <v>348</v>
      </c>
      <c r="D28" s="5" t="s">
        <v>480</v>
      </c>
      <c r="E28" s="5" t="s">
        <v>481</v>
      </c>
      <c r="F28" s="5" t="s">
        <v>480</v>
      </c>
      <c r="G28" s="5" t="s">
        <v>351</v>
      </c>
      <c r="H28" s="6">
        <v>699.3</v>
      </c>
      <c r="I28" s="6"/>
      <c r="J28" s="6">
        <v>819076.12</v>
      </c>
      <c r="K28" s="5" t="s">
        <v>369</v>
      </c>
      <c r="L28" s="5" t="s">
        <v>482</v>
      </c>
      <c r="M28" s="5" t="s">
        <v>483</v>
      </c>
      <c r="N28" s="5" t="s">
        <v>355</v>
      </c>
      <c r="O28" s="5"/>
      <c r="P28" s="5" t="s">
        <v>484</v>
      </c>
      <c r="Q28" s="5"/>
      <c r="R28" s="5"/>
      <c r="S28" s="5"/>
      <c r="T28" s="5" t="s">
        <v>247</v>
      </c>
      <c r="U28" s="5" t="s">
        <v>373</v>
      </c>
      <c r="V28" s="5"/>
      <c r="W28" s="5" t="s">
        <v>374</v>
      </c>
      <c r="X28" s="5" t="s">
        <v>375</v>
      </c>
      <c r="Y28" s="5"/>
      <c r="Z28" s="5"/>
      <c r="AA28" s="5"/>
    </row>
    <row r="29" s="1" customFormat="1" spans="1:27">
      <c r="A29" s="3" t="s">
        <v>347</v>
      </c>
      <c r="B29" s="3" t="s">
        <v>165</v>
      </c>
      <c r="C29" s="3" t="s">
        <v>348</v>
      </c>
      <c r="D29" s="3" t="s">
        <v>480</v>
      </c>
      <c r="E29" s="3" t="s">
        <v>481</v>
      </c>
      <c r="F29" s="3" t="s">
        <v>480</v>
      </c>
      <c r="G29" s="3" t="s">
        <v>351</v>
      </c>
      <c r="H29" s="4">
        <v>407</v>
      </c>
      <c r="I29" s="4"/>
      <c r="J29" s="4">
        <v>818669.12</v>
      </c>
      <c r="K29" s="3" t="s">
        <v>485</v>
      </c>
      <c r="L29" s="3" t="s">
        <v>486</v>
      </c>
      <c r="M29" s="3" t="s">
        <v>487</v>
      </c>
      <c r="N29" s="3" t="s">
        <v>355</v>
      </c>
      <c r="O29" s="3"/>
      <c r="P29" s="3" t="s">
        <v>488</v>
      </c>
      <c r="Q29" s="3"/>
      <c r="R29" s="3"/>
      <c r="S29" s="3"/>
      <c r="T29" s="3" t="s">
        <v>489</v>
      </c>
      <c r="U29" s="3" t="s">
        <v>490</v>
      </c>
      <c r="V29" s="3"/>
      <c r="W29" s="3" t="s">
        <v>386</v>
      </c>
      <c r="X29" s="3" t="s">
        <v>387</v>
      </c>
      <c r="Y29" s="3"/>
      <c r="Z29" s="3"/>
      <c r="AA29" s="3"/>
    </row>
    <row r="30" s="1" customFormat="1" spans="1:27">
      <c r="A30" s="5" t="s">
        <v>347</v>
      </c>
      <c r="B30" s="5" t="s">
        <v>165</v>
      </c>
      <c r="C30" s="5" t="s">
        <v>348</v>
      </c>
      <c r="D30" s="5" t="s">
        <v>480</v>
      </c>
      <c r="E30" s="5" t="s">
        <v>491</v>
      </c>
      <c r="F30" s="5" t="s">
        <v>480</v>
      </c>
      <c r="G30" s="5" t="s">
        <v>450</v>
      </c>
      <c r="H30" s="6">
        <v>20000</v>
      </c>
      <c r="I30" s="6"/>
      <c r="J30" s="6">
        <v>798669.12</v>
      </c>
      <c r="K30" s="5" t="s">
        <v>492</v>
      </c>
      <c r="L30" s="5" t="s">
        <v>493</v>
      </c>
      <c r="M30" s="5" t="s">
        <v>494</v>
      </c>
      <c r="N30" s="5" t="s">
        <v>454</v>
      </c>
      <c r="O30" s="5"/>
      <c r="P30" s="5" t="s">
        <v>495</v>
      </c>
      <c r="Q30" s="5" t="s">
        <v>492</v>
      </c>
      <c r="R30" s="5"/>
      <c r="S30" s="5"/>
      <c r="T30" s="5" t="s">
        <v>215</v>
      </c>
      <c r="U30" s="5" t="s">
        <v>496</v>
      </c>
      <c r="V30" s="5"/>
      <c r="W30" s="5" t="s">
        <v>497</v>
      </c>
      <c r="X30" s="5"/>
      <c r="Y30" s="5"/>
      <c r="Z30" s="5"/>
      <c r="AA30" s="5"/>
    </row>
    <row r="31" s="1" customFormat="1" spans="1:27">
      <c r="A31" s="3" t="s">
        <v>347</v>
      </c>
      <c r="B31" s="3" t="s">
        <v>165</v>
      </c>
      <c r="C31" s="3" t="s">
        <v>348</v>
      </c>
      <c r="D31" s="3" t="s">
        <v>480</v>
      </c>
      <c r="E31" s="3" t="s">
        <v>498</v>
      </c>
      <c r="F31" s="3" t="s">
        <v>480</v>
      </c>
      <c r="G31" s="3" t="s">
        <v>404</v>
      </c>
      <c r="H31" s="4"/>
      <c r="I31" s="4">
        <v>76.9</v>
      </c>
      <c r="J31" s="4">
        <v>798746.02</v>
      </c>
      <c r="K31" s="3" t="s">
        <v>499</v>
      </c>
      <c r="L31" s="3" t="s">
        <v>500</v>
      </c>
      <c r="M31" s="3"/>
      <c r="N31" s="3"/>
      <c r="O31" s="3"/>
      <c r="P31" s="3"/>
      <c r="Q31" s="3"/>
      <c r="R31" s="3"/>
      <c r="S31" s="3"/>
      <c r="T31" s="3" t="s">
        <v>501</v>
      </c>
      <c r="U31" s="3" t="s">
        <v>502</v>
      </c>
      <c r="V31" s="3"/>
      <c r="W31" s="3" t="s">
        <v>386</v>
      </c>
      <c r="X31" s="3"/>
      <c r="Y31" s="3"/>
      <c r="Z31" s="3"/>
      <c r="AA31" s="3"/>
    </row>
    <row r="32" s="1" customFormat="1" spans="1:27">
      <c r="A32" s="5" t="s">
        <v>347</v>
      </c>
      <c r="B32" s="5" t="s">
        <v>165</v>
      </c>
      <c r="C32" s="5" t="s">
        <v>348</v>
      </c>
      <c r="D32" s="5" t="s">
        <v>480</v>
      </c>
      <c r="E32" s="5" t="s">
        <v>503</v>
      </c>
      <c r="F32" s="5" t="s">
        <v>480</v>
      </c>
      <c r="G32" s="5" t="s">
        <v>351</v>
      </c>
      <c r="H32" s="6">
        <v>1084.65</v>
      </c>
      <c r="I32" s="6"/>
      <c r="J32" s="6">
        <v>797661.37</v>
      </c>
      <c r="K32" s="5" t="s">
        <v>504</v>
      </c>
      <c r="L32" s="5" t="s">
        <v>505</v>
      </c>
      <c r="M32" s="5" t="s">
        <v>506</v>
      </c>
      <c r="N32" s="5" t="s">
        <v>355</v>
      </c>
      <c r="O32" s="5"/>
      <c r="P32" s="5" t="s">
        <v>507</v>
      </c>
      <c r="Q32" s="5"/>
      <c r="R32" s="5"/>
      <c r="S32" s="5"/>
      <c r="T32" s="5" t="s">
        <v>508</v>
      </c>
      <c r="U32" s="5" t="s">
        <v>509</v>
      </c>
      <c r="V32" s="5"/>
      <c r="W32" s="5" t="s">
        <v>386</v>
      </c>
      <c r="X32" s="5" t="s">
        <v>387</v>
      </c>
      <c r="Y32" s="5"/>
      <c r="Z32" s="5"/>
      <c r="AA32" s="5"/>
    </row>
    <row r="33" s="1" customFormat="1" spans="1:36">
      <c r="A33" s="3" t="s">
        <v>347</v>
      </c>
      <c r="B33" s="3" t="s">
        <v>165</v>
      </c>
      <c r="C33" s="3" t="s">
        <v>348</v>
      </c>
      <c r="D33" s="3" t="s">
        <v>480</v>
      </c>
      <c r="E33" s="3" t="s">
        <v>510</v>
      </c>
      <c r="F33" s="3" t="s">
        <v>480</v>
      </c>
      <c r="G33" s="3" t="s">
        <v>351</v>
      </c>
      <c r="H33" s="4">
        <v>203</v>
      </c>
      <c r="I33" s="4"/>
      <c r="J33" s="4">
        <v>797458.37</v>
      </c>
      <c r="K33" s="3" t="s">
        <v>504</v>
      </c>
      <c r="L33" s="3" t="s">
        <v>511</v>
      </c>
      <c r="M33" s="3" t="s">
        <v>512</v>
      </c>
      <c r="N33" s="3" t="s">
        <v>355</v>
      </c>
      <c r="O33" s="3"/>
      <c r="P33" s="3" t="s">
        <v>513</v>
      </c>
      <c r="Q33" s="3"/>
      <c r="R33" s="3"/>
      <c r="S33" s="3"/>
      <c r="T33" s="3" t="s">
        <v>514</v>
      </c>
      <c r="U33" s="3" t="s">
        <v>515</v>
      </c>
      <c r="V33" s="3"/>
      <c r="W33" s="3" t="s">
        <v>386</v>
      </c>
      <c r="X33" s="3" t="s">
        <v>387</v>
      </c>
      <c r="Y33" s="3"/>
      <c r="Z33" s="3"/>
      <c r="AA33" s="3"/>
    </row>
    <row r="34" s="1" customFormat="1" spans="1:36">
      <c r="A34" s="5" t="s">
        <v>347</v>
      </c>
      <c r="B34" s="5" t="s">
        <v>165</v>
      </c>
      <c r="C34" s="5" t="s">
        <v>348</v>
      </c>
      <c r="D34" s="5" t="s">
        <v>480</v>
      </c>
      <c r="E34" s="5" t="s">
        <v>510</v>
      </c>
      <c r="F34" s="5" t="s">
        <v>480</v>
      </c>
      <c r="G34" s="5" t="s">
        <v>351</v>
      </c>
      <c r="H34" s="6">
        <v>1871.67</v>
      </c>
      <c r="I34" s="6"/>
      <c r="J34" s="6">
        <v>795586.7</v>
      </c>
      <c r="K34" s="5" t="s">
        <v>504</v>
      </c>
      <c r="L34" s="5" t="s">
        <v>516</v>
      </c>
      <c r="M34" s="5" t="s">
        <v>517</v>
      </c>
      <c r="N34" s="5" t="s">
        <v>355</v>
      </c>
      <c r="O34" s="5"/>
      <c r="P34" s="5" t="s">
        <v>518</v>
      </c>
      <c r="Q34" s="5"/>
      <c r="R34" s="5"/>
      <c r="S34" s="5"/>
      <c r="T34" s="5" t="s">
        <v>489</v>
      </c>
      <c r="U34" s="5" t="s">
        <v>490</v>
      </c>
      <c r="V34" s="5"/>
      <c r="W34" s="5" t="s">
        <v>386</v>
      </c>
      <c r="X34" s="5" t="s">
        <v>387</v>
      </c>
      <c r="Y34" s="5"/>
      <c r="Z34" s="5"/>
      <c r="AA34" s="5"/>
    </row>
    <row r="35" s="1" customFormat="1" spans="1:36">
      <c r="A35" s="3" t="s">
        <v>347</v>
      </c>
      <c r="B35" s="3" t="s">
        <v>165</v>
      </c>
      <c r="C35" s="3" t="s">
        <v>348</v>
      </c>
      <c r="D35" s="3" t="s">
        <v>519</v>
      </c>
      <c r="E35" s="3" t="s">
        <v>520</v>
      </c>
      <c r="F35" s="3" t="s">
        <v>519</v>
      </c>
      <c r="G35" s="3" t="s">
        <v>404</v>
      </c>
      <c r="H35" s="4"/>
      <c r="I35" s="4">
        <v>3820.5</v>
      </c>
      <c r="J35" s="4">
        <v>799407.2</v>
      </c>
      <c r="K35" s="3" t="s">
        <v>521</v>
      </c>
      <c r="L35" s="3" t="s">
        <v>522</v>
      </c>
      <c r="M35" s="3" t="s">
        <v>523</v>
      </c>
      <c r="N35" s="3" t="s">
        <v>355</v>
      </c>
      <c r="O35" s="3"/>
      <c r="P35" s="3" t="s">
        <v>524</v>
      </c>
      <c r="Q35" s="3"/>
      <c r="R35" s="3"/>
      <c r="S35" s="3"/>
      <c r="T35" s="3" t="s">
        <v>201</v>
      </c>
      <c r="U35" s="3" t="s">
        <v>409</v>
      </c>
      <c r="V35" s="3"/>
      <c r="W35" s="3" t="s">
        <v>410</v>
      </c>
      <c r="X35" s="3" t="s">
        <v>387</v>
      </c>
      <c r="Y35" s="3"/>
      <c r="Z35" s="3"/>
      <c r="AA35" s="3"/>
    </row>
    <row r="36" s="1" customFormat="1" spans="1:36">
      <c r="A36" s="3" t="s">
        <v>347</v>
      </c>
      <c r="B36" s="3" t="s">
        <v>165</v>
      </c>
      <c r="C36" s="3" t="s">
        <v>348</v>
      </c>
      <c r="D36" s="3" t="s">
        <v>525</v>
      </c>
      <c r="E36" s="3" t="s">
        <v>526</v>
      </c>
      <c r="F36" s="3" t="s">
        <v>525</v>
      </c>
      <c r="G36" s="3" t="s">
        <v>474</v>
      </c>
      <c r="H36" s="4">
        <v>23638.6</v>
      </c>
      <c r="I36" s="4"/>
      <c r="J36" s="4">
        <v>775768.6</v>
      </c>
      <c r="K36" s="3" t="s">
        <v>527</v>
      </c>
      <c r="L36" s="3" t="s">
        <v>528</v>
      </c>
      <c r="M36" s="3"/>
      <c r="N36" s="3"/>
      <c r="O36" s="3"/>
      <c r="P36" s="3"/>
      <c r="Q36" s="3"/>
      <c r="R36" s="3"/>
      <c r="S36" s="3"/>
      <c r="T36" s="3" t="s">
        <v>477</v>
      </c>
      <c r="U36" s="3" t="s">
        <v>478</v>
      </c>
      <c r="V36" s="3"/>
      <c r="W36" s="3" t="s">
        <v>479</v>
      </c>
      <c r="X36" s="3"/>
      <c r="Y36" s="3"/>
      <c r="Z36" s="3"/>
      <c r="AA36" s="3"/>
      <c r="AB36" s="3" t="s">
        <v>529</v>
      </c>
      <c r="AC36" s="3"/>
      <c r="AD36" s="3"/>
      <c r="AE36" s="3"/>
      <c r="AF36" s="3" t="s">
        <v>530</v>
      </c>
      <c r="AG36" s="3"/>
      <c r="AH36" s="3"/>
      <c r="AI36" s="3"/>
      <c r="AJ36" s="3"/>
    </row>
    <row r="37" s="1" customFormat="1" spans="1:36">
      <c r="A37" s="5" t="s">
        <v>347</v>
      </c>
      <c r="B37" s="5" t="s">
        <v>165</v>
      </c>
      <c r="C37" s="5" t="s">
        <v>348</v>
      </c>
      <c r="D37" s="5" t="s">
        <v>525</v>
      </c>
      <c r="E37" s="5" t="s">
        <v>531</v>
      </c>
      <c r="F37" s="5" t="s">
        <v>525</v>
      </c>
      <c r="G37" s="5" t="s">
        <v>532</v>
      </c>
      <c r="H37" s="6">
        <v>9142</v>
      </c>
      <c r="I37" s="6"/>
      <c r="J37" s="6">
        <v>766626.6</v>
      </c>
      <c r="K37" s="5" t="s">
        <v>533</v>
      </c>
      <c r="L37" s="5" t="s">
        <v>534</v>
      </c>
      <c r="M37" s="5"/>
      <c r="N37" s="5"/>
      <c r="O37" s="5"/>
      <c r="P37" s="5"/>
      <c r="Q37" s="5"/>
      <c r="R37" s="5"/>
      <c r="S37" s="5"/>
      <c r="T37" s="5" t="s">
        <v>535</v>
      </c>
      <c r="U37" s="5" t="s">
        <v>536</v>
      </c>
      <c r="V37" s="5"/>
      <c r="W37" s="5" t="s">
        <v>537</v>
      </c>
      <c r="X37" s="5"/>
      <c r="Y37" s="5"/>
      <c r="Z37" s="5"/>
      <c r="AA37" s="5"/>
      <c r="AB37" s="5" t="s">
        <v>529</v>
      </c>
      <c r="AC37" s="5"/>
      <c r="AD37" s="5"/>
      <c r="AE37" s="5"/>
      <c r="AF37" s="5" t="s">
        <v>538</v>
      </c>
      <c r="AG37" s="5"/>
      <c r="AH37" s="5"/>
      <c r="AI37" s="5"/>
      <c r="AJ37" s="5"/>
    </row>
    <row r="38" s="1" customFormat="1" spans="1:36">
      <c r="A38" s="3" t="s">
        <v>347</v>
      </c>
      <c r="B38" s="3" t="s">
        <v>165</v>
      </c>
      <c r="C38" s="3" t="s">
        <v>348</v>
      </c>
      <c r="D38" s="3" t="s">
        <v>525</v>
      </c>
      <c r="E38" s="3" t="s">
        <v>539</v>
      </c>
      <c r="F38" s="3" t="s">
        <v>525</v>
      </c>
      <c r="G38" s="3" t="s">
        <v>540</v>
      </c>
      <c r="H38" s="4">
        <v>92024.26</v>
      </c>
      <c r="I38" s="4"/>
      <c r="J38" s="4">
        <v>674602.34</v>
      </c>
      <c r="K38" s="3" t="s">
        <v>541</v>
      </c>
      <c r="L38" s="3" t="s">
        <v>542</v>
      </c>
      <c r="M38" s="3" t="s">
        <v>543</v>
      </c>
      <c r="N38" s="3" t="s">
        <v>540</v>
      </c>
      <c r="O38" s="3"/>
      <c r="P38" s="3" t="s">
        <v>544</v>
      </c>
      <c r="Q38" s="3"/>
      <c r="R38" s="3"/>
      <c r="S38" s="3"/>
      <c r="T38" s="3"/>
      <c r="U38" s="3"/>
      <c r="V38" s="3"/>
      <c r="W38" s="3"/>
      <c r="X38" s="3"/>
      <c r="Y38" s="3"/>
      <c r="Z38" s="3"/>
      <c r="AA38" s="3"/>
      <c r="AB38" s="3" t="s">
        <v>529</v>
      </c>
      <c r="AC38" s="3"/>
      <c r="AD38" s="3"/>
      <c r="AE38" s="3" t="s">
        <v>545</v>
      </c>
      <c r="AF38" s="3" t="s">
        <v>546</v>
      </c>
      <c r="AG38" s="3"/>
      <c r="AH38" s="3"/>
      <c r="AI38" s="3"/>
      <c r="AJ38" s="3"/>
    </row>
    <row r="39" s="1" customFormat="1" spans="1:36">
      <c r="A39" s="5" t="s">
        <v>347</v>
      </c>
      <c r="B39" s="5" t="s">
        <v>165</v>
      </c>
      <c r="C39" s="5" t="s">
        <v>348</v>
      </c>
      <c r="D39" s="5" t="s">
        <v>525</v>
      </c>
      <c r="E39" s="5" t="s">
        <v>547</v>
      </c>
      <c r="F39" s="5" t="s">
        <v>525</v>
      </c>
      <c r="G39" s="5" t="s">
        <v>548</v>
      </c>
      <c r="H39" s="6">
        <v>3.5</v>
      </c>
      <c r="I39" s="6"/>
      <c r="J39" s="6">
        <v>674598.84</v>
      </c>
      <c r="K39" s="5" t="s">
        <v>549</v>
      </c>
      <c r="L39" s="5" t="s">
        <v>550</v>
      </c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5"/>
      <c r="AA39" s="5"/>
      <c r="AB39" s="5" t="s">
        <v>529</v>
      </c>
      <c r="AC39" s="5"/>
      <c r="AD39" s="5"/>
      <c r="AE39" s="5"/>
      <c r="AF39" s="5" t="s">
        <v>538</v>
      </c>
      <c r="AG39" s="5"/>
      <c r="AH39" s="5"/>
      <c r="AI39" s="5"/>
      <c r="AJ39" s="5"/>
    </row>
    <row r="40" s="1" customFormat="1" spans="1:36">
      <c r="A40" s="3" t="s">
        <v>347</v>
      </c>
      <c r="B40" s="3" t="s">
        <v>165</v>
      </c>
      <c r="C40" s="3" t="s">
        <v>348</v>
      </c>
      <c r="D40" s="3" t="s">
        <v>525</v>
      </c>
      <c r="E40" s="3" t="s">
        <v>551</v>
      </c>
      <c r="F40" s="3" t="s">
        <v>525</v>
      </c>
      <c r="G40" s="3" t="s">
        <v>351</v>
      </c>
      <c r="H40" s="4">
        <v>1029.42</v>
      </c>
      <c r="I40" s="4"/>
      <c r="J40" s="4">
        <v>673569.42</v>
      </c>
      <c r="K40" s="3" t="s">
        <v>552</v>
      </c>
      <c r="L40" s="3" t="s">
        <v>553</v>
      </c>
      <c r="M40" s="3" t="s">
        <v>554</v>
      </c>
      <c r="N40" s="3" t="s">
        <v>355</v>
      </c>
      <c r="O40" s="3"/>
      <c r="P40" s="3" t="s">
        <v>555</v>
      </c>
      <c r="Q40" s="3"/>
      <c r="R40" s="3"/>
      <c r="S40" s="3"/>
      <c r="T40" s="3" t="s">
        <v>556</v>
      </c>
      <c r="U40" s="3" t="s">
        <v>557</v>
      </c>
      <c r="V40" s="3"/>
      <c r="W40" s="3" t="s">
        <v>386</v>
      </c>
      <c r="X40" s="3" t="s">
        <v>558</v>
      </c>
      <c r="Y40" s="3"/>
      <c r="Z40" s="3"/>
      <c r="AA40" s="3"/>
      <c r="AB40" s="3" t="s">
        <v>529</v>
      </c>
      <c r="AC40" s="3"/>
      <c r="AD40" s="3"/>
      <c r="AE40" s="3" t="s">
        <v>559</v>
      </c>
      <c r="AF40" s="3" t="s">
        <v>560</v>
      </c>
      <c r="AG40" s="3"/>
      <c r="AH40" s="3"/>
      <c r="AI40" s="3"/>
      <c r="AJ40" s="3"/>
    </row>
    <row r="41" s="1" customFormat="1" spans="1:36">
      <c r="A41" s="5" t="s">
        <v>347</v>
      </c>
      <c r="B41" s="5" t="s">
        <v>165</v>
      </c>
      <c r="C41" s="5" t="s">
        <v>348</v>
      </c>
      <c r="D41" s="5" t="s">
        <v>525</v>
      </c>
      <c r="E41" s="5" t="s">
        <v>561</v>
      </c>
      <c r="F41" s="5" t="s">
        <v>525</v>
      </c>
      <c r="G41" s="5" t="s">
        <v>404</v>
      </c>
      <c r="H41" s="6"/>
      <c r="I41" s="6">
        <v>14238</v>
      </c>
      <c r="J41" s="6">
        <v>687807.42</v>
      </c>
      <c r="K41" s="5" t="s">
        <v>369</v>
      </c>
      <c r="L41" s="5" t="s">
        <v>562</v>
      </c>
      <c r="M41" s="5" t="s">
        <v>563</v>
      </c>
      <c r="N41" s="5" t="s">
        <v>355</v>
      </c>
      <c r="O41" s="5"/>
      <c r="P41" s="5" t="s">
        <v>564</v>
      </c>
      <c r="Q41" s="5"/>
      <c r="R41" s="5"/>
      <c r="S41" s="5"/>
      <c r="T41" s="5" t="s">
        <v>565</v>
      </c>
      <c r="U41" s="5" t="s">
        <v>566</v>
      </c>
      <c r="V41" s="5"/>
      <c r="W41" s="5" t="s">
        <v>567</v>
      </c>
      <c r="X41" s="5" t="s">
        <v>558</v>
      </c>
      <c r="Y41" s="5"/>
      <c r="Z41" s="5"/>
      <c r="AA41" s="5"/>
      <c r="AB41" s="5"/>
      <c r="AC41" s="5"/>
      <c r="AD41" s="5"/>
      <c r="AE41" s="5" t="s">
        <v>568</v>
      </c>
      <c r="AF41" s="5" t="s">
        <v>560</v>
      </c>
      <c r="AG41" s="5"/>
      <c r="AH41" s="5"/>
      <c r="AI41" s="5"/>
      <c r="AJ41" s="5"/>
    </row>
    <row r="42" s="1" customFormat="1" spans="1:36">
      <c r="A42" s="3" t="s">
        <v>347</v>
      </c>
      <c r="B42" s="3" t="s">
        <v>165</v>
      </c>
      <c r="C42" s="3" t="s">
        <v>348</v>
      </c>
      <c r="D42" s="3" t="s">
        <v>569</v>
      </c>
      <c r="E42" s="3" t="s">
        <v>570</v>
      </c>
      <c r="F42" s="3" t="s">
        <v>569</v>
      </c>
      <c r="G42" s="3" t="s">
        <v>351</v>
      </c>
      <c r="H42" s="4">
        <v>29400</v>
      </c>
      <c r="I42" s="4"/>
      <c r="J42" s="4">
        <v>658407.42</v>
      </c>
      <c r="K42" s="3" t="s">
        <v>369</v>
      </c>
      <c r="L42" s="3" t="s">
        <v>571</v>
      </c>
      <c r="M42" s="3" t="s">
        <v>572</v>
      </c>
      <c r="N42" s="3" t="s">
        <v>355</v>
      </c>
      <c r="O42" s="3"/>
      <c r="P42" s="3" t="s">
        <v>573</v>
      </c>
      <c r="Q42" s="3"/>
      <c r="R42" s="3"/>
      <c r="S42" s="3"/>
      <c r="T42" s="3" t="s">
        <v>247</v>
      </c>
      <c r="U42" s="3" t="s">
        <v>373</v>
      </c>
      <c r="V42" s="3"/>
      <c r="W42" s="3" t="s">
        <v>374</v>
      </c>
      <c r="X42" s="3" t="s">
        <v>375</v>
      </c>
      <c r="Y42" s="3"/>
      <c r="Z42" s="3"/>
      <c r="AA42" s="3"/>
      <c r="AB42" s="3" t="s">
        <v>529</v>
      </c>
      <c r="AC42" s="3"/>
      <c r="AD42" s="3"/>
      <c r="AE42" s="3" t="s">
        <v>574</v>
      </c>
      <c r="AF42" s="3" t="s">
        <v>560</v>
      </c>
      <c r="AG42" s="3"/>
      <c r="AH42" s="3"/>
      <c r="AI42" s="3"/>
      <c r="AJ42" s="3"/>
    </row>
    <row r="43" s="1" customFormat="1" spans="1:36">
      <c r="A43" s="5" t="s">
        <v>347</v>
      </c>
      <c r="B43" s="5" t="s">
        <v>165</v>
      </c>
      <c r="C43" s="5" t="s">
        <v>348</v>
      </c>
      <c r="D43" s="5" t="s">
        <v>569</v>
      </c>
      <c r="E43" s="5" t="s">
        <v>570</v>
      </c>
      <c r="F43" s="5" t="s">
        <v>569</v>
      </c>
      <c r="G43" s="5" t="s">
        <v>351</v>
      </c>
      <c r="H43" s="6">
        <v>91000</v>
      </c>
      <c r="I43" s="6"/>
      <c r="J43" s="6">
        <v>567407.42</v>
      </c>
      <c r="K43" s="5" t="s">
        <v>369</v>
      </c>
      <c r="L43" s="5" t="s">
        <v>575</v>
      </c>
      <c r="M43" s="5" t="s">
        <v>576</v>
      </c>
      <c r="N43" s="5" t="s">
        <v>355</v>
      </c>
      <c r="O43" s="5"/>
      <c r="P43" s="5" t="s">
        <v>577</v>
      </c>
      <c r="Q43" s="5"/>
      <c r="R43" s="5"/>
      <c r="S43" s="5"/>
      <c r="T43" s="5" t="s">
        <v>247</v>
      </c>
      <c r="U43" s="5" t="s">
        <v>373</v>
      </c>
      <c r="V43" s="5"/>
      <c r="W43" s="5" t="s">
        <v>374</v>
      </c>
      <c r="X43" s="5" t="s">
        <v>375</v>
      </c>
      <c r="Y43" s="5"/>
      <c r="Z43" s="5"/>
      <c r="AA43" s="5"/>
      <c r="AB43" s="5" t="s">
        <v>529</v>
      </c>
      <c r="AC43" s="5"/>
      <c r="AD43" s="5"/>
      <c r="AE43" s="5" t="s">
        <v>578</v>
      </c>
      <c r="AF43" s="5" t="s">
        <v>560</v>
      </c>
      <c r="AG43" s="5"/>
      <c r="AH43" s="5"/>
      <c r="AI43" s="5"/>
      <c r="AJ43" s="5"/>
    </row>
    <row r="44" s="1" customFormat="1" spans="1:36">
      <c r="A44" s="3" t="s">
        <v>347</v>
      </c>
      <c r="B44" s="3" t="s">
        <v>165</v>
      </c>
      <c r="C44" s="3" t="s">
        <v>348</v>
      </c>
      <c r="D44" s="3" t="s">
        <v>579</v>
      </c>
      <c r="E44" s="3" t="s">
        <v>580</v>
      </c>
      <c r="F44" s="3" t="s">
        <v>579</v>
      </c>
      <c r="G44" s="3" t="s">
        <v>351</v>
      </c>
      <c r="H44" s="4">
        <v>112689.03</v>
      </c>
      <c r="I44" s="4"/>
      <c r="J44" s="4">
        <v>454718.39</v>
      </c>
      <c r="K44" s="3" t="s">
        <v>376</v>
      </c>
      <c r="L44" s="3" t="s">
        <v>581</v>
      </c>
      <c r="M44" s="3" t="s">
        <v>582</v>
      </c>
      <c r="N44" s="3" t="s">
        <v>355</v>
      </c>
      <c r="O44" s="3"/>
      <c r="P44" s="3" t="s">
        <v>583</v>
      </c>
      <c r="Q44" s="3"/>
      <c r="R44" s="3"/>
      <c r="S44" s="3"/>
      <c r="T44" s="3" t="s">
        <v>269</v>
      </c>
      <c r="U44" s="3" t="s">
        <v>584</v>
      </c>
      <c r="V44" s="3"/>
      <c r="W44" s="3" t="s">
        <v>585</v>
      </c>
      <c r="X44" s="3" t="s">
        <v>586</v>
      </c>
      <c r="Y44" s="3"/>
      <c r="Z44" s="3"/>
      <c r="AA44" s="3"/>
      <c r="AB44" s="3" t="s">
        <v>529</v>
      </c>
      <c r="AC44" s="3"/>
      <c r="AD44" s="3"/>
      <c r="AE44" s="3" t="s">
        <v>587</v>
      </c>
      <c r="AF44" s="3" t="s">
        <v>560</v>
      </c>
      <c r="AG44" s="3"/>
      <c r="AH44" s="3"/>
      <c r="AI44" s="3"/>
      <c r="AJ44" s="3"/>
    </row>
    <row r="45" s="1" customFormat="1" spans="1:36">
      <c r="A45" s="5" t="s">
        <v>347</v>
      </c>
      <c r="B45" s="5" t="s">
        <v>165</v>
      </c>
      <c r="C45" s="5" t="s">
        <v>348</v>
      </c>
      <c r="D45" s="5" t="s">
        <v>588</v>
      </c>
      <c r="E45" s="5" t="s">
        <v>589</v>
      </c>
      <c r="F45" s="5" t="s">
        <v>588</v>
      </c>
      <c r="G45" s="5" t="s">
        <v>590</v>
      </c>
      <c r="H45" s="6"/>
      <c r="I45" s="6">
        <v>182.36</v>
      </c>
      <c r="J45" s="6">
        <v>454900.75</v>
      </c>
      <c r="K45" s="5" t="s">
        <v>591</v>
      </c>
      <c r="L45" s="5" t="s">
        <v>592</v>
      </c>
      <c r="M45" s="5"/>
      <c r="N45" s="5"/>
      <c r="O45" s="5"/>
      <c r="P45" s="5"/>
      <c r="Q45" s="5"/>
      <c r="R45" s="5"/>
      <c r="S45" s="5"/>
      <c r="T45" s="5" t="s">
        <v>593</v>
      </c>
      <c r="U45" s="5" t="s">
        <v>594</v>
      </c>
      <c r="V45" s="5"/>
      <c r="W45" s="5"/>
      <c r="X45" s="5"/>
      <c r="Y45" s="5"/>
      <c r="Z45" s="5"/>
      <c r="AA45" s="5"/>
      <c r="AB45" s="5"/>
      <c r="AC45" s="5"/>
      <c r="AD45" s="5"/>
      <c r="AE45" s="5"/>
      <c r="AF45" s="5" t="s">
        <v>595</v>
      </c>
      <c r="AG45" s="5"/>
      <c r="AH45" s="5"/>
      <c r="AI45" s="5"/>
      <c r="AJ45" s="5"/>
    </row>
    <row r="1048111" customFormat="1"/>
    <row r="1048112" customFormat="1"/>
    <row r="1048113" customFormat="1"/>
    <row r="1048114" customFormat="1"/>
    <row r="1048115" customFormat="1"/>
    <row r="1048116" customFormat="1"/>
    <row r="1048117" customFormat="1"/>
    <row r="1048118" customFormat="1"/>
    <row r="1048119" customFormat="1"/>
    <row r="1048120" customFormat="1"/>
    <row r="1048121" customFormat="1"/>
    <row r="1048122" customFormat="1"/>
    <row r="1048123" customFormat="1"/>
    <row r="1048124" customFormat="1"/>
    <row r="1048125" customFormat="1"/>
    <row r="1048126" customFormat="1"/>
    <row r="1048127" customFormat="1"/>
    <row r="1048128" customFormat="1"/>
    <row r="1048129" customFormat="1"/>
    <row r="1048130" customFormat="1"/>
    <row r="1048131" customFormat="1"/>
    <row r="1048132" customFormat="1"/>
    <row r="1048133" customFormat="1"/>
    <row r="1048134" customFormat="1"/>
    <row r="1048135" customFormat="1"/>
    <row r="1048136" customFormat="1"/>
    <row r="1048137" customFormat="1"/>
    <row r="1048138" customFormat="1"/>
    <row r="1048139" customFormat="1"/>
    <row r="1048140" customFormat="1"/>
    <row r="1048141" customFormat="1"/>
    <row r="1048142" customFormat="1"/>
    <row r="1048143" customFormat="1"/>
    <row r="1048144" customFormat="1"/>
    <row r="1048145" customFormat="1"/>
    <row r="1048146" customFormat="1"/>
    <row r="1048147" customFormat="1"/>
    <row r="1048148" customFormat="1"/>
    <row r="1048149" customFormat="1"/>
    <row r="1048150" customFormat="1"/>
    <row r="1048151" customFormat="1"/>
    <row r="1048152" customFormat="1"/>
    <row r="1048153" customFormat="1"/>
    <row r="1048154" customFormat="1"/>
    <row r="1048155" customFormat="1"/>
    <row r="1048156" customFormat="1"/>
    <row r="1048157" customFormat="1"/>
    <row r="1048158" customFormat="1"/>
    <row r="1048159" customFormat="1"/>
    <row r="1048160" customFormat="1"/>
    <row r="1048161" customFormat="1"/>
    <row r="1048162" customFormat="1"/>
    <row r="1048163" customFormat="1"/>
    <row r="1048164" customFormat="1"/>
    <row r="1048165" customFormat="1"/>
    <row r="1048166" customFormat="1"/>
    <row r="1048167" customFormat="1"/>
    <row r="1048168" customFormat="1"/>
    <row r="1048169" customFormat="1"/>
    <row r="1048170" customFormat="1"/>
    <row r="1048171" customFormat="1"/>
    <row r="1048172" customFormat="1"/>
    <row r="1048173" customFormat="1"/>
    <row r="1048174" customFormat="1"/>
    <row r="1048175" customFormat="1"/>
    <row r="1048176" customFormat="1"/>
    <row r="1048177" customFormat="1"/>
    <row r="1048178" customFormat="1"/>
    <row r="1048179" customFormat="1"/>
    <row r="1048180" customFormat="1"/>
    <row r="1048181" customFormat="1"/>
    <row r="1048182" customFormat="1"/>
    <row r="1048183" customFormat="1"/>
    <row r="1048184" customFormat="1"/>
    <row r="1048185" customFormat="1"/>
    <row r="1048186" customFormat="1"/>
    <row r="1048187" customFormat="1"/>
    <row r="1048188" customFormat="1"/>
    <row r="1048189" customFormat="1"/>
    <row r="1048190" customFormat="1"/>
    <row r="1048191" customFormat="1"/>
    <row r="1048192" customFormat="1"/>
    <row r="1048193" customFormat="1"/>
    <row r="1048194" customFormat="1"/>
    <row r="1048195" customFormat="1"/>
    <row r="1048196" customFormat="1"/>
    <row r="1048197" customFormat="1"/>
    <row r="1048198" customFormat="1"/>
    <row r="1048199" customFormat="1"/>
    <row r="1048200" customFormat="1"/>
    <row r="1048201" customFormat="1"/>
    <row r="1048202" customFormat="1"/>
    <row r="1048203" customFormat="1"/>
    <row r="1048204" customFormat="1"/>
    <row r="1048205" customFormat="1"/>
    <row r="1048206" customFormat="1"/>
    <row r="1048207" customFormat="1"/>
    <row r="1048208" customFormat="1"/>
    <row r="1048209" customFormat="1"/>
    <row r="1048210" customFormat="1"/>
    <row r="1048211" customFormat="1"/>
    <row r="1048212" customFormat="1"/>
    <row r="1048213" customFormat="1"/>
    <row r="1048214" customFormat="1"/>
    <row r="1048215" customFormat="1"/>
    <row r="1048216" customFormat="1"/>
    <row r="1048217" customFormat="1"/>
    <row r="1048218" customFormat="1"/>
    <row r="1048219" customFormat="1"/>
    <row r="1048220" customFormat="1"/>
    <row r="1048221" customFormat="1"/>
    <row r="1048222" customFormat="1"/>
    <row r="1048223" customFormat="1"/>
    <row r="1048224" customFormat="1"/>
    <row r="1048225" customFormat="1"/>
    <row r="1048226" customFormat="1"/>
    <row r="1048227" customFormat="1"/>
    <row r="1048228" customFormat="1"/>
    <row r="1048229" customFormat="1"/>
    <row r="1048230" customFormat="1"/>
    <row r="1048231" customFormat="1"/>
    <row r="1048232" customFormat="1"/>
    <row r="1048233" customFormat="1"/>
    <row r="1048234" customFormat="1"/>
    <row r="1048235" customFormat="1"/>
    <row r="1048236" customFormat="1"/>
    <row r="1048237" customFormat="1"/>
    <row r="1048238" customFormat="1"/>
    <row r="1048239" customFormat="1"/>
    <row r="1048240" customFormat="1"/>
    <row r="1048241" customFormat="1"/>
    <row r="1048242" customFormat="1"/>
    <row r="1048243" customFormat="1"/>
    <row r="1048244" customFormat="1"/>
    <row r="1048245" customFormat="1"/>
    <row r="1048246" customFormat="1"/>
    <row r="1048247" customFormat="1"/>
    <row r="1048248" customFormat="1"/>
    <row r="1048249" customFormat="1"/>
    <row r="1048250" customFormat="1"/>
    <row r="1048251" customFormat="1"/>
    <row r="1048252" customFormat="1"/>
    <row r="1048253" customFormat="1"/>
    <row r="1048254" customFormat="1"/>
    <row r="1048255" customFormat="1"/>
    <row r="1048256" customFormat="1"/>
    <row r="1048257" customFormat="1"/>
    <row r="1048258" customFormat="1"/>
    <row r="1048259" customFormat="1"/>
    <row r="1048260" customFormat="1"/>
    <row r="1048261" customFormat="1"/>
    <row r="1048262" customFormat="1"/>
    <row r="1048263" customFormat="1"/>
    <row r="1048264" customFormat="1"/>
    <row r="1048265" customFormat="1"/>
    <row r="1048266" customFormat="1"/>
    <row r="1048267" customFormat="1"/>
    <row r="1048268" customFormat="1"/>
    <row r="1048269" customFormat="1"/>
    <row r="1048270" customFormat="1"/>
    <row r="1048271" customFormat="1"/>
    <row r="1048272" customFormat="1"/>
    <row r="1048273" customFormat="1"/>
    <row r="1048274" customFormat="1"/>
    <row r="1048275" customFormat="1"/>
    <row r="1048276" customFormat="1"/>
    <row r="1048277" customFormat="1"/>
    <row r="1048278" customFormat="1"/>
    <row r="1048279" customFormat="1"/>
    <row r="1048280" customFormat="1"/>
    <row r="1048281" customFormat="1"/>
    <row r="1048282" customFormat="1"/>
    <row r="1048283" customFormat="1"/>
    <row r="1048284" customFormat="1"/>
    <row r="1048285" customFormat="1"/>
    <row r="1048286" customFormat="1"/>
    <row r="1048287" customFormat="1"/>
    <row r="1048288" customFormat="1"/>
    <row r="1048289" customFormat="1"/>
    <row r="1048290" customFormat="1"/>
    <row r="1048291" customFormat="1"/>
    <row r="1048292" customFormat="1"/>
    <row r="1048293" customFormat="1"/>
    <row r="1048294" customFormat="1"/>
    <row r="1048295" customFormat="1"/>
    <row r="1048296" customFormat="1"/>
    <row r="1048297" customFormat="1"/>
    <row r="1048298" customFormat="1"/>
    <row r="1048299" customFormat="1"/>
    <row r="1048300" customFormat="1"/>
    <row r="1048301" customFormat="1"/>
    <row r="1048302" customFormat="1"/>
    <row r="1048303" customFormat="1"/>
    <row r="1048304" customFormat="1"/>
    <row r="1048305" customFormat="1"/>
    <row r="1048306" customFormat="1"/>
    <row r="1048307" customFormat="1"/>
    <row r="1048308" customFormat="1"/>
    <row r="1048309" customFormat="1"/>
    <row r="1048310" customFormat="1"/>
    <row r="1048311" customFormat="1"/>
    <row r="1048312" customFormat="1"/>
    <row r="1048313" customFormat="1"/>
    <row r="1048314" customFormat="1"/>
    <row r="1048315" customFormat="1"/>
    <row r="1048316" customFormat="1"/>
    <row r="1048317" customFormat="1"/>
    <row r="1048318" customFormat="1"/>
    <row r="1048319" customFormat="1"/>
    <row r="1048320" customFormat="1"/>
    <row r="1048321" customFormat="1"/>
    <row r="1048322" customFormat="1"/>
    <row r="1048323" customFormat="1"/>
    <row r="1048324" customFormat="1"/>
    <row r="1048325" customFormat="1"/>
    <row r="1048326" customFormat="1"/>
    <row r="1048327" customFormat="1"/>
    <row r="1048328" customFormat="1"/>
    <row r="1048329" customFormat="1"/>
    <row r="1048330" customFormat="1"/>
    <row r="1048331" customFormat="1"/>
    <row r="1048332" customFormat="1"/>
    <row r="1048333" customFormat="1"/>
    <row r="1048334" customFormat="1"/>
    <row r="1048335" customFormat="1"/>
    <row r="1048336" customFormat="1"/>
    <row r="1048337" customFormat="1"/>
    <row r="1048338" customFormat="1"/>
    <row r="1048339" customFormat="1"/>
    <row r="1048340" customFormat="1"/>
    <row r="1048341" customFormat="1"/>
    <row r="1048342" customFormat="1"/>
    <row r="1048343" customFormat="1"/>
    <row r="1048344" customFormat="1"/>
    <row r="1048345" customFormat="1"/>
    <row r="1048346" customFormat="1"/>
    <row r="1048347" customFormat="1"/>
    <row r="1048348" customFormat="1"/>
    <row r="1048349" customFormat="1"/>
    <row r="1048350" customFormat="1"/>
    <row r="1048351" customFormat="1"/>
    <row r="1048352" customFormat="1"/>
    <row r="1048353" customFormat="1"/>
    <row r="1048354" customFormat="1"/>
    <row r="1048355" customFormat="1"/>
    <row r="1048356" customFormat="1"/>
    <row r="1048357" customFormat="1"/>
    <row r="1048358" customFormat="1"/>
    <row r="1048359" customFormat="1"/>
    <row r="1048360" customFormat="1"/>
    <row r="1048361" customFormat="1"/>
    <row r="1048362" customFormat="1"/>
    <row r="1048363" customFormat="1"/>
    <row r="1048364" customFormat="1"/>
    <row r="1048365" customFormat="1"/>
    <row r="1048366" customFormat="1"/>
    <row r="1048367" customFormat="1"/>
    <row r="1048368" customFormat="1"/>
    <row r="1048369" customFormat="1"/>
    <row r="1048370" customFormat="1"/>
    <row r="1048371" customFormat="1"/>
    <row r="1048372" customFormat="1"/>
    <row r="1048373" customFormat="1"/>
    <row r="1048374" customFormat="1"/>
    <row r="1048375" customFormat="1"/>
    <row r="1048376" customFormat="1"/>
    <row r="1048377" customFormat="1"/>
    <row r="1048378" customFormat="1"/>
    <row r="1048379" customFormat="1"/>
    <row r="1048380" customFormat="1"/>
    <row r="1048381" customFormat="1"/>
    <row r="1048382" customFormat="1"/>
    <row r="1048383" customFormat="1"/>
    <row r="1048384" customFormat="1"/>
    <row r="1048385" customFormat="1"/>
    <row r="1048386" customFormat="1"/>
    <row r="1048387" customFormat="1"/>
    <row r="1048388" customFormat="1"/>
    <row r="1048389" customFormat="1"/>
    <row r="1048390" customFormat="1"/>
    <row r="1048391" customFormat="1"/>
    <row r="1048392" customFormat="1"/>
    <row r="1048393" customFormat="1"/>
    <row r="1048394" customFormat="1"/>
    <row r="1048395" customFormat="1"/>
    <row r="1048396" customFormat="1"/>
    <row r="1048397" customFormat="1"/>
    <row r="1048398" customFormat="1"/>
    <row r="1048399" customFormat="1"/>
    <row r="1048400" customFormat="1"/>
    <row r="1048401" customFormat="1"/>
    <row r="1048402" customFormat="1"/>
    <row r="1048403" customFormat="1"/>
    <row r="1048404" customFormat="1"/>
    <row r="1048405" customFormat="1"/>
    <row r="1048406" customFormat="1"/>
    <row r="1048407" customFormat="1"/>
    <row r="1048408" customFormat="1"/>
    <row r="1048409" customFormat="1"/>
    <row r="1048410" customFormat="1"/>
    <row r="1048411" customFormat="1"/>
    <row r="1048412" customFormat="1"/>
    <row r="1048413" customFormat="1"/>
    <row r="1048414" customFormat="1"/>
    <row r="1048415" customFormat="1"/>
    <row r="1048416" customFormat="1"/>
    <row r="1048417" customFormat="1"/>
    <row r="1048418" customFormat="1"/>
    <row r="1048419" customFormat="1"/>
    <row r="1048420" customFormat="1"/>
    <row r="1048421" customFormat="1"/>
    <row r="1048422" customFormat="1"/>
    <row r="1048423" customFormat="1"/>
    <row r="1048424" customFormat="1"/>
    <row r="1048425" customFormat="1"/>
    <row r="1048426" customFormat="1"/>
    <row r="1048427" customFormat="1"/>
    <row r="1048428" customFormat="1"/>
    <row r="1048429" customFormat="1"/>
    <row r="1048430" customFormat="1"/>
    <row r="1048431" customFormat="1"/>
    <row r="1048432" customFormat="1"/>
    <row r="1048433" customFormat="1"/>
    <row r="1048434" customFormat="1"/>
    <row r="1048435" customFormat="1"/>
    <row r="1048436" customFormat="1"/>
    <row r="1048437" customFormat="1"/>
    <row r="1048438" customFormat="1"/>
    <row r="1048439" customFormat="1"/>
    <row r="1048440" customFormat="1"/>
    <row r="1048441" customFormat="1"/>
    <row r="1048442" customFormat="1"/>
    <row r="1048443" customFormat="1"/>
    <row r="1048444" customFormat="1"/>
    <row r="1048445" customFormat="1"/>
    <row r="1048446" customFormat="1"/>
    <row r="1048447" customFormat="1"/>
    <row r="1048448" customFormat="1"/>
    <row r="1048449" customFormat="1"/>
    <row r="1048450" customFormat="1"/>
    <row r="1048451" customFormat="1"/>
    <row r="1048452" customFormat="1"/>
    <row r="1048453" customFormat="1"/>
    <row r="1048454" customFormat="1"/>
    <row r="1048455" customFormat="1"/>
    <row r="1048456" customFormat="1"/>
    <row r="1048457" customFormat="1"/>
    <row r="1048458" customFormat="1"/>
    <row r="1048459" customFormat="1"/>
    <row r="1048460" customFormat="1"/>
    <row r="1048461" customFormat="1"/>
    <row r="1048462" customFormat="1"/>
    <row r="1048463" customFormat="1"/>
    <row r="1048464" customFormat="1"/>
    <row r="1048465" customFormat="1"/>
    <row r="1048466" customFormat="1"/>
    <row r="1048467" customFormat="1"/>
    <row r="1048468" customFormat="1"/>
    <row r="1048469" customFormat="1"/>
    <row r="1048470" customFormat="1"/>
    <row r="1048471" customFormat="1"/>
    <row r="1048472" customFormat="1"/>
    <row r="1048473" customFormat="1"/>
    <row r="1048474" customFormat="1"/>
    <row r="1048475" customFormat="1"/>
    <row r="1048476" customFormat="1"/>
    <row r="1048477" customFormat="1"/>
    <row r="1048478" customFormat="1"/>
    <row r="1048479" customFormat="1"/>
    <row r="1048480" customFormat="1"/>
    <row r="1048481" customFormat="1"/>
    <row r="1048482" customFormat="1"/>
    <row r="1048483" customFormat="1"/>
    <row r="1048484" customFormat="1"/>
    <row r="1048485" customFormat="1"/>
    <row r="1048486" customFormat="1"/>
    <row r="1048487" customFormat="1"/>
    <row r="1048488" customFormat="1"/>
    <row r="1048489" customFormat="1"/>
    <row r="1048490" customFormat="1"/>
    <row r="1048491" customFormat="1"/>
    <row r="1048492" customFormat="1"/>
    <row r="1048493" customFormat="1"/>
    <row r="1048494" customFormat="1"/>
    <row r="1048495" customFormat="1"/>
    <row r="1048496" customFormat="1"/>
    <row r="1048497" customFormat="1"/>
    <row r="1048498" customFormat="1"/>
    <row r="1048499" customFormat="1"/>
    <row r="1048500" customFormat="1"/>
    <row r="1048501" customFormat="1"/>
    <row r="1048502" customFormat="1"/>
    <row r="1048503" customFormat="1"/>
    <row r="1048504" customFormat="1"/>
    <row r="1048505" customFormat="1"/>
    <row r="1048506" customFormat="1"/>
    <row r="1048507" customFormat="1"/>
    <row r="1048508" customFormat="1"/>
    <row r="1048509" customFormat="1"/>
    <row r="1048510" customFormat="1"/>
    <row r="1048511" customFormat="1"/>
    <row r="1048512" customFormat="1"/>
    <row r="1048513" customFormat="1"/>
    <row r="1048514" customFormat="1"/>
    <row r="1048515" customFormat="1"/>
    <row r="1048516" customFormat="1"/>
    <row r="1048517" customFormat="1"/>
    <row r="1048518" customFormat="1"/>
    <row r="1048519" customFormat="1"/>
    <row r="1048520" customFormat="1"/>
    <row r="1048521" customFormat="1"/>
    <row r="1048522" customFormat="1"/>
    <row r="1048523" customFormat="1"/>
    <row r="1048524" customFormat="1"/>
    <row r="1048525" customFormat="1"/>
    <row r="1048526" customFormat="1"/>
    <row r="1048527" customFormat="1"/>
    <row r="1048528" customFormat="1"/>
    <row r="1048529" customFormat="1"/>
    <row r="1048530" customFormat="1"/>
    <row r="1048531" customFormat="1"/>
    <row r="1048532" customFormat="1"/>
    <row r="1048533" customFormat="1"/>
    <row r="1048534" customFormat="1"/>
    <row r="1048535" customFormat="1"/>
    <row r="1048536" customFormat="1"/>
    <row r="1048537" customFormat="1"/>
    <row r="1048538" customFormat="1"/>
    <row r="1048539" customFormat="1"/>
    <row r="1048540" customFormat="1"/>
    <row r="1048541" customFormat="1"/>
    <row r="1048542" customFormat="1"/>
    <row r="1048543" customFormat="1"/>
    <row r="1048544" customFormat="1"/>
    <row r="1048545" customFormat="1"/>
    <row r="1048546" customFormat="1"/>
    <row r="1048547" customFormat="1"/>
    <row r="1048548" customFormat="1"/>
    <row r="1048549" customFormat="1"/>
    <row r="1048550" customFormat="1"/>
    <row r="1048551" customFormat="1"/>
    <row r="1048552" customFormat="1"/>
    <row r="1048553" customFormat="1"/>
    <row r="1048554" customFormat="1"/>
    <row r="1048555" customFormat="1"/>
    <row r="1048556" customFormat="1"/>
    <row r="1048557" customFormat="1"/>
    <row r="1048558" customFormat="1"/>
    <row r="1048559" customFormat="1"/>
    <row r="1048560" customFormat="1"/>
    <row r="1048561" customFormat="1"/>
    <row r="1048562" customFormat="1"/>
    <row r="1048563" customFormat="1"/>
    <row r="1048564" customFormat="1"/>
    <row r="1048565" customFormat="1"/>
    <row r="1048566" customFormat="1"/>
    <row r="1048567" customFormat="1"/>
    <row r="1048568" customFormat="1"/>
    <row r="1048569" customFormat="1"/>
    <row r="1048570" customFormat="1"/>
    <row r="1048571" customFormat="1"/>
    <row r="1048572" customFormat="1"/>
    <row r="1048573" customFormat="1"/>
    <row r="1048574" customFormat="1"/>
    <row r="1048575" customFormat="1"/>
    <row r="1048576" customFormat="1"/>
  </sheetData>
  <pageMargins left="0.75" right="0.75" top="1" bottom="1" header="0.5" footer="0.5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6</vt:i4>
      </vt:variant>
    </vt:vector>
  </HeadingPairs>
  <TitlesOfParts>
    <vt:vector size="6" baseType="lpstr">
      <vt:lpstr>资产负债表</vt:lpstr>
      <vt:lpstr>利润表</vt:lpstr>
      <vt:lpstr>现金流量表</vt:lpstr>
      <vt:lpstr>科余表</vt:lpstr>
      <vt:lpstr>六大往来</vt:lpstr>
      <vt:lpstr>支付明细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单秋香</dc:creator>
  <cp:lastModifiedBy>刘岳伟</cp:lastModifiedBy>
  <dcterms:created xsi:type="dcterms:W3CDTF">2023-05-12T11:15:00Z</dcterms:created>
  <dcterms:modified xsi:type="dcterms:W3CDTF">2026-06-22T10:34:43Z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2052-12.1.0.26895</vt:lpwstr>
  </property>
  <property fmtid="{D5CDD505-2E9C-101B-9397-08002B2CF9AE}" pid="3" name="ICV">
    <vt:lpwstr>32D0F3DEAC2B4CBBA62E51C77CA8098E_12</vt:lpwstr>
  </property>
  <property fmtid="{D5CDD505-2E9C-101B-9397-08002B2CF9AE}" pid="4" name="CalculationRule">
    <vt:i4>0</vt:i4>
  </property>
  <property fmtid="{D5CDD505-2E9C-101B-9397-08002B2CF9AE}" pid="5" name="KSOReadingLayout">
    <vt:bool>true</vt:bool>
  </property>
</Properties>
</file>